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_02-07-2025\"/>
    </mc:Choice>
  </mc:AlternateContent>
  <xr:revisionPtr revIDLastSave="0" documentId="13_ncr:1_{F04C3AA5-22F0-4370-83F1-51C5825A09ED}" xr6:coauthVersionLast="47" xr6:coauthVersionMax="47" xr10:uidLastSave="{00000000-0000-0000-0000-000000000000}"/>
  <bookViews>
    <workbookView xWindow="-120" yWindow="-120" windowWidth="20730" windowHeight="11160" activeTab="4" xr2:uid="{6D270E81-9F0F-4233-A1EE-EBDF7DC2C8D9}"/>
  </bookViews>
  <sheets>
    <sheet name="Comparar1" sheetId="4" r:id="rId1"/>
    <sheet name="Ex1" sheetId="1" r:id="rId2"/>
    <sheet name="Ex2" sheetId="8" r:id="rId3"/>
    <sheet name="Ex3" sheetId="2" r:id="rId4"/>
    <sheet name="AnáliseDado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7" l="1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4" i="7"/>
  <c r="O8" i="2"/>
  <c r="O7" i="2"/>
  <c r="O6" i="2"/>
  <c r="H10" i="8"/>
  <c r="H8" i="8"/>
  <c r="H6" i="8"/>
  <c r="K4" i="1"/>
  <c r="K5" i="1"/>
  <c r="K6" i="1"/>
  <c r="K7" i="1"/>
  <c r="K3" i="1"/>
  <c r="L16" i="4"/>
  <c r="L17" i="4"/>
  <c r="L18" i="4"/>
  <c r="L19" i="4"/>
  <c r="L20" i="4"/>
  <c r="L15" i="4"/>
  <c r="H8" i="4"/>
  <c r="H7" i="4"/>
  <c r="H9" i="4"/>
  <c r="H10" i="4"/>
  <c r="H11" i="4"/>
  <c r="H6" i="4"/>
  <c r="M7" i="4"/>
  <c r="M8" i="4"/>
  <c r="M9" i="4"/>
  <c r="M10" i="4"/>
  <c r="M11" i="4"/>
  <c r="M6" i="4"/>
  <c r="L7" i="4"/>
  <c r="L8" i="4"/>
  <c r="L9" i="4"/>
  <c r="L10" i="4"/>
  <c r="L11" i="4"/>
  <c r="L6" i="4"/>
  <c r="H16" i="4"/>
  <c r="H17" i="4"/>
  <c r="H18" i="4"/>
  <c r="H19" i="4"/>
  <c r="H20" i="4"/>
  <c r="H15" i="4"/>
</calcChain>
</file>

<file path=xl/sharedStrings.xml><?xml version="1.0" encoding="utf-8"?>
<sst xmlns="http://schemas.openxmlformats.org/spreadsheetml/2006/main" count="380" uniqueCount="228">
  <si>
    <t>Exemplo XLookUP</t>
  </si>
  <si>
    <t>Cliente</t>
  </si>
  <si>
    <t>Descrição</t>
  </si>
  <si>
    <t>Nº Factura</t>
  </si>
  <si>
    <t>Região</t>
  </si>
  <si>
    <t>Valor</t>
  </si>
  <si>
    <t>Colombo</t>
  </si>
  <si>
    <t>Acções</t>
  </si>
  <si>
    <t>INV0051</t>
  </si>
  <si>
    <t>Sul</t>
  </si>
  <si>
    <t>INV0052</t>
  </si>
  <si>
    <t>EDP Pt</t>
  </si>
  <si>
    <t>INV0058</t>
  </si>
  <si>
    <t>Leste</t>
  </si>
  <si>
    <t>Serviços Consultoria</t>
  </si>
  <si>
    <t>INV0059</t>
  </si>
  <si>
    <t>Remax</t>
  </si>
  <si>
    <t>INV0071</t>
  </si>
  <si>
    <t>Oeste</t>
  </si>
  <si>
    <t>INV0080</t>
  </si>
  <si>
    <t>Finanças</t>
  </si>
  <si>
    <t>Valorsul</t>
  </si>
  <si>
    <t>Universia</t>
  </si>
  <si>
    <t>SR Consultores</t>
  </si>
  <si>
    <t>Obras e Obras, Ldª</t>
  </si>
  <si>
    <t>TI Sado</t>
  </si>
  <si>
    <t>FAREMI, LDA</t>
  </si>
  <si>
    <t>INV220</t>
  </si>
  <si>
    <t>Apresenta Mensagem - Código inexistente</t>
  </si>
  <si>
    <t>Serviços</t>
  </si>
  <si>
    <t>Duck River</t>
  </si>
  <si>
    <t>INV2201</t>
  </si>
  <si>
    <t>Emp ID</t>
  </si>
  <si>
    <t>VLOOKUP</t>
  </si>
  <si>
    <t>XLOOKUP</t>
  </si>
  <si>
    <t>Carlos Silva</t>
  </si>
  <si>
    <t>Rui Sousa</t>
  </si>
  <si>
    <t>Isabel Pais</t>
  </si>
  <si>
    <t>José Castro</t>
  </si>
  <si>
    <t>Paulo Rios</t>
  </si>
  <si>
    <t>Pedro Paulo</t>
  </si>
  <si>
    <t>Ana Maria</t>
  </si>
  <si>
    <t>Sara Mendes</t>
  </si>
  <si>
    <t>Edgar Luís</t>
  </si>
  <si>
    <t>Pedro Sousa</t>
  </si>
  <si>
    <t>Ana Filipe</t>
  </si>
  <si>
    <t>Filipe Costa</t>
  </si>
  <si>
    <t>Karina Melo</t>
  </si>
  <si>
    <t>Tanya Ribas</t>
  </si>
  <si>
    <t>Vanessa Lemos</t>
  </si>
  <si>
    <t>Joana Silva</t>
  </si>
  <si>
    <t>Daniele Snider</t>
  </si>
  <si>
    <t>Helena Martinez</t>
  </si>
  <si>
    <t>Vendas</t>
  </si>
  <si>
    <t>Nome Gestor</t>
  </si>
  <si>
    <t>Geraldo Reis</t>
  </si>
  <si>
    <t>Destinatário</t>
  </si>
  <si>
    <t>Nº Cliente</t>
  </si>
  <si>
    <t>Tipo Incidência</t>
  </si>
  <si>
    <t>Departamento</t>
  </si>
  <si>
    <t>Localidade</t>
  </si>
  <si>
    <t>Obra/Cliente</t>
  </si>
  <si>
    <t>Observações</t>
  </si>
  <si>
    <t>Refª Cliente</t>
  </si>
  <si>
    <t>Instruções</t>
  </si>
  <si>
    <t>Cliente 1</t>
  </si>
  <si>
    <t>Mercadoria não entregue</t>
  </si>
  <si>
    <t>Peças</t>
  </si>
  <si>
    <t>Norte</t>
  </si>
  <si>
    <t>PORTO</t>
  </si>
  <si>
    <t>Falha Logística</t>
  </si>
  <si>
    <t>1- Resolver com Xlookup</t>
  </si>
  <si>
    <t>Cliente 2</t>
  </si>
  <si>
    <t>Morada incorrecta</t>
  </si>
  <si>
    <t>BRAGA</t>
  </si>
  <si>
    <t>Obra</t>
  </si>
  <si>
    <t>Entregue dia seguinte</t>
  </si>
  <si>
    <t>Cliente 3</t>
  </si>
  <si>
    <t>Destinatário Ausente</t>
  </si>
  <si>
    <t>CAMARATE</t>
  </si>
  <si>
    <t>Cliente 4</t>
  </si>
  <si>
    <t>LAGOS</t>
  </si>
  <si>
    <t>Nome Cliente</t>
  </si>
  <si>
    <t>Cliente 5</t>
  </si>
  <si>
    <t>Máquinas</t>
  </si>
  <si>
    <t>Entrega dia 7 Out</t>
  </si>
  <si>
    <t>Cliente 6</t>
  </si>
  <si>
    <t>CABANELAS VVD</t>
  </si>
  <si>
    <t>Entregue dia 5 Out</t>
  </si>
  <si>
    <t>Cliente 7</t>
  </si>
  <si>
    <t>Embalagem danificada</t>
  </si>
  <si>
    <t>LISBOA</t>
  </si>
  <si>
    <t>Peça estava ok</t>
  </si>
  <si>
    <t>Cliente 8</t>
  </si>
  <si>
    <t>Cancelado ordem expedidor</t>
  </si>
  <si>
    <t>Peça em garantia no própria dia</t>
  </si>
  <si>
    <t>Cliente 9</t>
  </si>
  <si>
    <t>BELAS</t>
  </si>
  <si>
    <t>Cliente 10</t>
  </si>
  <si>
    <t>Mercadoria Recusada</t>
  </si>
  <si>
    <t>TRAFARIA</t>
  </si>
  <si>
    <t>Cliente 11</t>
  </si>
  <si>
    <t>PALMELA</t>
  </si>
  <si>
    <t>Cliente reclama kit incompleto</t>
  </si>
  <si>
    <t>Cliente 12</t>
  </si>
  <si>
    <t>Mercadoria danificada</t>
  </si>
  <si>
    <t>RIO TINTO</t>
  </si>
  <si>
    <t>Reclama compressor danificado</t>
  </si>
  <si>
    <t>Cliente 13</t>
  </si>
  <si>
    <t>ARADA-OVAR</t>
  </si>
  <si>
    <t>Cliente 14</t>
  </si>
  <si>
    <t>CARANGUEJEIRA</t>
  </si>
  <si>
    <t>Vasco diz que está ok</t>
  </si>
  <si>
    <t>Cliente 15</t>
  </si>
  <si>
    <t>CASTELOES PNF</t>
  </si>
  <si>
    <t>Cliente 16</t>
  </si>
  <si>
    <t>TORRAO MCN</t>
  </si>
  <si>
    <t>Volume não localizado</t>
  </si>
  <si>
    <t>Cliente 17</t>
  </si>
  <si>
    <t>MAIA</t>
  </si>
  <si>
    <t>Mercadoria sem picagens</t>
  </si>
  <si>
    <t>Cliente 18</t>
  </si>
  <si>
    <t>Cliente 19</t>
  </si>
  <si>
    <t>ESTREMOZ</t>
  </si>
  <si>
    <t>Cliente reclamou passado meses</t>
  </si>
  <si>
    <t>Cliente 20</t>
  </si>
  <si>
    <t>Devolvido ao armazém</t>
  </si>
  <si>
    <t>Cliente 21</t>
  </si>
  <si>
    <t>MOZELOS</t>
  </si>
  <si>
    <t>Motivos Logisticos Operacionais</t>
  </si>
  <si>
    <t>Cliente 22</t>
  </si>
  <si>
    <t>Contacto cliente- resolvido</t>
  </si>
  <si>
    <t>Cliente 23</t>
  </si>
  <si>
    <t>Cliente 24</t>
  </si>
  <si>
    <t>VERMOIM-MAIA</t>
  </si>
  <si>
    <t>Comparação preços por Fornecedor</t>
  </si>
  <si>
    <t>No.</t>
  </si>
  <si>
    <t>Produto</t>
  </si>
  <si>
    <t>Fornecedor 1</t>
  </si>
  <si>
    <t>Fornecedor 2</t>
  </si>
  <si>
    <t>Fornecedor 3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</si>
  <si>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</si>
  <si>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</si>
  <si>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</si>
  <si>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</si>
  <si>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</si>
  <si>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</si>
  <si>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</si>
  <si>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Preço mais baixo</t>
  </si>
  <si>
    <t>Fornecedor preço mais baixo</t>
  </si>
  <si>
    <t>Maior Preço</t>
  </si>
  <si>
    <t>Fornecedor com maior preço</t>
  </si>
  <si>
    <t>Diferença - Maior - Menor</t>
  </si>
  <si>
    <t>Produto 1</t>
  </si>
  <si>
    <t>Produto 2</t>
  </si>
  <si>
    <t>Menores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</si>
  <si>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</si>
  <si>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</si>
  <si>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</si>
  <si>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</si>
  <si>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</si>
  <si>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</si>
  <si>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</si>
  <si>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</si>
  <si>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</si>
  <si>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</si>
  <si>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</si>
  <si>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</si>
  <si>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</si>
  <si>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</si>
  <si>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</si>
  <si>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</si>
  <si>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</si>
  <si>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</si>
  <si>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</si>
  <si>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</si>
  <si>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</si>
  <si>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</si>
  <si>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</si>
  <si>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</si>
  <si>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</si>
  <si>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</si>
  <si>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</si>
  <si>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</si>
  <si>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</si>
  <si>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</si>
  <si>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</si>
  <si>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</si>
  <si>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</si>
  <si>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</si>
  <si>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</si>
  <si>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</si>
  <si>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</si>
  <si>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</si>
  <si>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</si>
  <si>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</si>
  <si>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</si>
  <si>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</si>
  <si>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</si>
  <si>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</si>
  <si>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</si>
  <si>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</si>
  <si>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</si>
  <si>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</si>
  <si>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Categorias</t>
  </si>
  <si>
    <t>Apps</t>
  </si>
  <si>
    <t>Lucros</t>
  </si>
  <si>
    <t>App</t>
  </si>
  <si>
    <t>Criar Lista</t>
  </si>
  <si>
    <t>Rede Social</t>
  </si>
  <si>
    <t>Produtividade</t>
  </si>
  <si>
    <t>Business</t>
  </si>
  <si>
    <t>Viagens</t>
  </si>
  <si>
    <t>PowerBI</t>
  </si>
  <si>
    <t>Facebook</t>
  </si>
  <si>
    <t>Instagram</t>
  </si>
  <si>
    <t>LinkedIn</t>
  </si>
  <si>
    <t>Design</t>
  </si>
  <si>
    <t>Lightroom</t>
  </si>
  <si>
    <t>Booking</t>
  </si>
  <si>
    <t>Entretenimento</t>
  </si>
  <si>
    <t>Spotify</t>
  </si>
  <si>
    <t>Word</t>
  </si>
  <si>
    <t>Categoria:</t>
  </si>
  <si>
    <t xml:space="preserve">Vendas: </t>
  </si>
  <si>
    <t xml:space="preserve">Lucros: </t>
  </si>
  <si>
    <t>Dados Junho 2025</t>
  </si>
  <si>
    <t>USO DA FUNÇÃO - PROCX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</si>
</sst>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E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164" fontId="1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6" fillId="0" borderId="0" xfId="0" applyFont="1"/>
    <xf numFmtId="165" fontId="6" fillId="0" borderId="0" xfId="1" applyNumberFormat="1" applyFont="1"/>
    <xf numFmtId="0" fontId="6" fillId="0" borderId="0" xfId="2" applyFont="1"/>
    <xf numFmtId="165" fontId="6" fillId="0" borderId="0" xfId="1" applyNumberFormat="1" applyFont="1" applyBorder="1"/>
    <xf numFmtId="165" fontId="6" fillId="0" borderId="0" xfId="1" applyNumberFormat="1" applyFont="1" applyFill="1" applyBorder="1"/>
    <xf numFmtId="0" fontId="8" fillId="3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5" fontId="9" fillId="0" borderId="3" xfId="0" applyNumberFormat="1" applyFont="1" applyBorder="1" applyAlignment="1">
      <alignment horizontal="center" vertical="center"/>
    </xf>
    <xf numFmtId="0" fontId="11" fillId="0" borderId="0" xfId="0" applyFont="1"/>
    <xf numFmtId="164" fontId="0" fillId="0" borderId="0" xfId="4" applyFont="1"/>
    <xf numFmtId="49" fontId="1" fillId="6" borderId="4" xfId="5" applyNumberFormat="1" applyFont="1" applyFill="1" applyBorder="1" applyAlignment="1">
      <alignment horizontal="center" vertical="center"/>
    </xf>
    <xf numFmtId="49" fontId="0" fillId="6" borderId="4" xfId="5" applyNumberFormat="1" applyFont="1" applyFill="1" applyBorder="1" applyAlignment="1">
      <alignment horizontal="center" vertical="center" wrapText="1"/>
    </xf>
    <xf numFmtId="49" fontId="1" fillId="6" borderId="4" xfId="5" applyNumberFormat="1" applyFont="1" applyFill="1" applyBorder="1" applyAlignment="1">
      <alignment horizontal="left" vertical="center"/>
    </xf>
    <xf numFmtId="49" fontId="0" fillId="6" borderId="4" xfId="5" applyNumberFormat="1" applyFont="1" applyFill="1" applyBorder="1" applyAlignment="1">
      <alignment horizontal="center" vertical="center"/>
    </xf>
    <xf numFmtId="164" fontId="0" fillId="6" borderId="4" xfId="4" applyFont="1" applyFill="1" applyBorder="1" applyAlignment="1">
      <alignment horizontal="center" vertical="center"/>
    </xf>
    <xf numFmtId="49" fontId="1" fillId="6" borderId="4" xfId="5" applyNumberFormat="1" applyFont="1" applyFill="1" applyBorder="1" applyAlignment="1">
      <alignment horizontal="left" vertical="center" wrapText="1"/>
    </xf>
    <xf numFmtId="0" fontId="7" fillId="0" borderId="0" xfId="0" applyFont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4" applyFont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164" fontId="0" fillId="0" borderId="2" xfId="4" applyFont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12" fillId="7" borderId="2" xfId="0" applyFont="1" applyFill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4" applyFont="1" applyBorder="1" applyAlignment="1">
      <alignment horizontal="center"/>
    </xf>
    <xf numFmtId="0" fontId="0" fillId="7" borderId="2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8" borderId="5" xfId="0" applyFill="1" applyBorder="1"/>
    <xf numFmtId="166" fontId="0" fillId="8" borderId="5" xfId="0" applyNumberForma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0" borderId="6" xfId="0" applyBorder="1"/>
    <xf numFmtId="0" fontId="0" fillId="9" borderId="2" xfId="0" applyFill="1" applyBorder="1" applyAlignment="1">
      <alignment horizontal="center"/>
    </xf>
    <xf numFmtId="0" fontId="0" fillId="9" borderId="6" xfId="0" applyFill="1" applyBorder="1"/>
    <xf numFmtId="164" fontId="0" fillId="0" borderId="2" xfId="4" applyFont="1" applyBorder="1"/>
    <xf numFmtId="165" fontId="9" fillId="10" borderId="3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0" fillId="0" borderId="0" xfId="0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5" xfId="0" applyNumberFormat="1" applyBorder="1" applyAlignment="1">
      <alignment horizontal="center"/>
    </xf>
  </cellXfs>
  <cellStyles count="6">
    <cellStyle name="Moeda" xfId="4" builtinId="4"/>
    <cellStyle name="Neutro" xfId="5" builtinId="28"/>
    <cellStyle name="Normal" xfId="0" builtinId="0"/>
    <cellStyle name="Normal 3" xfId="2" xr:uid="{46DB08E7-686D-4AAA-84F6-7F6D7AEBEFEE}"/>
    <cellStyle name="Normal 3 2" xfId="3" xr:uid="{B4EFC465-3BBB-4DAC-A4A8-1095DB841441}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224253</xdr:colOff>
      <xdr:row>0</xdr:row>
      <xdr:rowOff>0</xdr:rowOff>
    </xdr:from>
    <xdr:ext cx="2580450" cy="40543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2D80D6-7CA7-4336-B6A9-1E1F2227006A}"/>
            </a:ext>
          </a:extLst>
        </xdr:cNvPr>
        <xdr:cNvSpPr/>
      </xdr:nvSpPr>
      <xdr:spPr>
        <a:xfrm>
          <a:off x="6005928" y="0"/>
          <a:ext cx="2580450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VLOOKUP Vs XLOOKUP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E21-C86B-4492-9253-EFAE73C7357D}">
  <dimension ref="A1:M20"/>
  <sheetViews>
    <sheetView topLeftCell="B1" zoomScale="130" zoomScaleNormal="130" workbookViewId="0">
      <selection activeCell="L15" sqref="L15:L20"/>
    </sheetView>
  </sheetViews>
  <sheetFormatPr defaultRowHeight="15" x14ac:dyDescent="0.25"/>
  <cols>
    <col min="1" max="1" width="15.5703125" customWidth="1"/>
    <col min="2" max="2" width="18.28515625" customWidth="1"/>
    <col min="3" max="3" width="15.5703125" customWidth="1"/>
    <col min="7" max="7" width="12.85546875" bestFit="1" customWidth="1"/>
    <col min="8" max="8" width="14" customWidth="1"/>
    <col min="12" max="12" width="16.7109375" customWidth="1"/>
    <col min="13" max="13" width="12.28515625" bestFit="1" customWidth="1"/>
  </cols>
  <sheetData>
    <row r="1" spans="1:13" ht="15" customHeight="1" x14ac:dyDescent="0.25">
      <c r="A1" s="11" t="s">
        <v>32</v>
      </c>
      <c r="B1" s="11" t="s">
        <v>54</v>
      </c>
      <c r="C1" s="11" t="s">
        <v>53</v>
      </c>
    </row>
    <row r="2" spans="1:13" ht="15" customHeight="1" x14ac:dyDescent="0.25">
      <c r="A2" s="12">
        <v>817850</v>
      </c>
      <c r="B2" s="13" t="s">
        <v>43</v>
      </c>
      <c r="C2" s="16">
        <v>198.81</v>
      </c>
    </row>
    <row r="3" spans="1:13" ht="15" customHeight="1" x14ac:dyDescent="0.25">
      <c r="A3" s="12">
        <v>254767</v>
      </c>
      <c r="B3" s="13" t="s">
        <v>44</v>
      </c>
      <c r="C3" s="16">
        <v>331.64</v>
      </c>
    </row>
    <row r="4" spans="1:13" ht="15" customHeight="1" x14ac:dyDescent="0.25">
      <c r="A4" s="12">
        <v>930389</v>
      </c>
      <c r="B4" s="13" t="s">
        <v>45</v>
      </c>
      <c r="C4" s="16">
        <v>310.20999999999998</v>
      </c>
      <c r="G4" s="56" t="s">
        <v>33</v>
      </c>
      <c r="H4" s="56"/>
      <c r="I4" s="56"/>
      <c r="J4" s="56"/>
      <c r="K4" s="56"/>
      <c r="L4" s="56"/>
      <c r="M4" s="56"/>
    </row>
    <row r="5" spans="1:13" ht="15" customHeight="1" x14ac:dyDescent="0.25">
      <c r="A5" s="12">
        <v>357867</v>
      </c>
      <c r="B5" s="13" t="s">
        <v>46</v>
      </c>
      <c r="C5" s="16">
        <v>154.63</v>
      </c>
      <c r="G5" s="11" t="s">
        <v>54</v>
      </c>
      <c r="H5" s="11" t="s">
        <v>53</v>
      </c>
      <c r="K5" s="11" t="s">
        <v>32</v>
      </c>
      <c r="L5" s="11" t="s">
        <v>54</v>
      </c>
      <c r="M5" s="11" t="s">
        <v>53</v>
      </c>
    </row>
    <row r="6" spans="1:13" ht="15" customHeight="1" x14ac:dyDescent="0.25">
      <c r="A6" s="12">
        <v>229901</v>
      </c>
      <c r="B6" s="13" t="s">
        <v>47</v>
      </c>
      <c r="C6" s="16">
        <v>327.9</v>
      </c>
      <c r="G6" s="12">
        <v>254767</v>
      </c>
      <c r="H6" s="16">
        <f>VLOOKUP(G6,A2:C20,3,0)</f>
        <v>331.64</v>
      </c>
      <c r="K6" s="12">
        <v>254767</v>
      </c>
      <c r="L6" s="12" t="str">
        <f>VLOOKUP(K6,A2:$C$20,2,0)</f>
        <v>Pedro Sousa</v>
      </c>
      <c r="M6" s="55">
        <f>VLOOKUP(K6,A2:C20,3,0)</f>
        <v>331.64</v>
      </c>
    </row>
    <row r="7" spans="1:13" ht="15" customHeight="1" x14ac:dyDescent="0.25">
      <c r="A7" s="12">
        <v>489609</v>
      </c>
      <c r="B7" s="13" t="s">
        <v>48</v>
      </c>
      <c r="C7" s="16">
        <v>149.46</v>
      </c>
      <c r="G7" s="12">
        <v>229901</v>
      </c>
      <c r="H7" s="16">
        <f t="shared" ref="H7:H11" si="0">VLOOKUP(G7,A3:C21,3,0)</f>
        <v>327.9</v>
      </c>
      <c r="K7" s="12">
        <v>229901</v>
      </c>
      <c r="L7" s="12" t="str">
        <f>VLOOKUP(K7,A3:$C$20,2,0)</f>
        <v>Karina Melo</v>
      </c>
      <c r="M7" s="55">
        <f t="shared" ref="M7:M11" si="1">VLOOKUP(K7,A3:C21,3,0)</f>
        <v>327.9</v>
      </c>
    </row>
    <row r="8" spans="1:13" ht="15" customHeight="1" x14ac:dyDescent="0.25">
      <c r="A8" s="12">
        <v>943716</v>
      </c>
      <c r="B8" s="13" t="s">
        <v>49</v>
      </c>
      <c r="C8" s="16">
        <v>340.82</v>
      </c>
      <c r="G8" s="12">
        <v>742583</v>
      </c>
      <c r="H8" s="16">
        <f>VLOOKUP(G8,A4:C22,3,0)</f>
        <v>373.73</v>
      </c>
      <c r="K8" s="12">
        <v>742583</v>
      </c>
      <c r="L8" s="12" t="str">
        <f>VLOOKUP(K8,A4:$C$20,2,0)</f>
        <v>Joana Silva</v>
      </c>
      <c r="M8" s="55">
        <f t="shared" si="1"/>
        <v>373.73</v>
      </c>
    </row>
    <row r="9" spans="1:13" ht="15" customHeight="1" x14ac:dyDescent="0.25">
      <c r="A9" s="12">
        <v>742583</v>
      </c>
      <c r="B9" s="13" t="s">
        <v>50</v>
      </c>
      <c r="C9" s="16">
        <v>373.73</v>
      </c>
      <c r="G9" s="12">
        <v>656008</v>
      </c>
      <c r="H9" s="16">
        <f t="shared" si="0"/>
        <v>403</v>
      </c>
      <c r="K9" s="12">
        <v>656008</v>
      </c>
      <c r="L9" s="12" t="str">
        <f>VLOOKUP(K9,A5:$C$20,2,0)</f>
        <v>José Castro</v>
      </c>
      <c r="M9" s="55">
        <f t="shared" si="1"/>
        <v>403</v>
      </c>
    </row>
    <row r="10" spans="1:13" ht="15" customHeight="1" x14ac:dyDescent="0.25">
      <c r="A10" s="12">
        <v>827531</v>
      </c>
      <c r="B10" s="13" t="s">
        <v>35</v>
      </c>
      <c r="C10" s="16">
        <v>420.23</v>
      </c>
      <c r="G10" s="12">
        <v>307939</v>
      </c>
      <c r="H10" s="16">
        <f t="shared" si="0"/>
        <v>317.86</v>
      </c>
      <c r="K10" s="12">
        <v>307939</v>
      </c>
      <c r="L10" s="12" t="str">
        <f>VLOOKUP(K10,A6:$C$20,2,0)</f>
        <v>Sara Mendes</v>
      </c>
      <c r="M10" s="55">
        <f t="shared" si="1"/>
        <v>317.86</v>
      </c>
    </row>
    <row r="11" spans="1:13" ht="15" customHeight="1" x14ac:dyDescent="0.25">
      <c r="A11" s="12">
        <v>842221</v>
      </c>
      <c r="B11" s="13" t="s">
        <v>36</v>
      </c>
      <c r="C11" s="16">
        <v>198.59</v>
      </c>
      <c r="G11" s="12">
        <v>728228</v>
      </c>
      <c r="H11" s="16">
        <f t="shared" si="0"/>
        <v>305.35000000000002</v>
      </c>
      <c r="K11" s="12">
        <v>728228</v>
      </c>
      <c r="L11" s="12" t="str">
        <f>VLOOKUP(K11,A7:$C$20,2,0)</f>
        <v>Daniele Snider</v>
      </c>
      <c r="M11" s="55">
        <f t="shared" si="1"/>
        <v>305.35000000000002</v>
      </c>
    </row>
    <row r="12" spans="1:13" ht="15" customHeight="1" x14ac:dyDescent="0.25">
      <c r="A12" s="12">
        <v>733637</v>
      </c>
      <c r="B12" s="13" t="s">
        <v>37</v>
      </c>
      <c r="C12" s="16">
        <v>319.26</v>
      </c>
      <c r="G12" s="14"/>
      <c r="H12" s="14"/>
      <c r="K12" s="14"/>
      <c r="L12" s="14"/>
      <c r="M12" s="14"/>
    </row>
    <row r="13" spans="1:13" ht="15" customHeight="1" x14ac:dyDescent="0.25">
      <c r="A13" s="12">
        <v>656008</v>
      </c>
      <c r="B13" s="13" t="s">
        <v>38</v>
      </c>
      <c r="C13" s="16">
        <v>403</v>
      </c>
      <c r="G13" s="56" t="s">
        <v>34</v>
      </c>
      <c r="H13" s="56"/>
      <c r="I13" s="56"/>
      <c r="J13" s="56"/>
      <c r="K13" s="56"/>
      <c r="L13" s="56"/>
      <c r="M13" s="56"/>
    </row>
    <row r="14" spans="1:13" ht="15" customHeight="1" x14ac:dyDescent="0.25">
      <c r="A14" s="12">
        <v>305986</v>
      </c>
      <c r="B14" s="13" t="s">
        <v>39</v>
      </c>
      <c r="C14" s="16">
        <v>372.68</v>
      </c>
      <c r="G14" s="11" t="s">
        <v>32</v>
      </c>
      <c r="H14" s="11" t="s">
        <v>53</v>
      </c>
      <c r="K14" s="11" t="s">
        <v>32</v>
      </c>
      <c r="L14" s="11" t="s">
        <v>54</v>
      </c>
      <c r="M14" s="11" t="s">
        <v>53</v>
      </c>
    </row>
    <row r="15" spans="1:13" ht="15" customHeight="1" x14ac:dyDescent="0.25">
      <c r="A15" s="12">
        <v>929247</v>
      </c>
      <c r="B15" s="13" t="s">
        <v>40</v>
      </c>
      <c r="C15" s="16">
        <v>116.17</v>
      </c>
      <c r="G15" s="12">
        <v>254767</v>
      </c>
      <c r="H15" s="18">
        <f>_xlfn.XLOOKUP(G15,A2:A20,C2:C20)</f>
        <v>331.64</v>
      </c>
      <c r="K15" s="12">
        <v>254767</v>
      </c>
      <c r="L15" s="12" t="str">
        <f>_xlfn.XLOOKUP(K15,A1:A20,B1:B20)</f>
        <v>Pedro Sousa</v>
      </c>
      <c r="M15" s="55"/>
    </row>
    <row r="16" spans="1:13" ht="15" customHeight="1" x14ac:dyDescent="0.25">
      <c r="A16" s="12">
        <v>633667</v>
      </c>
      <c r="B16" s="13" t="s">
        <v>41</v>
      </c>
      <c r="C16" s="16">
        <v>440.73</v>
      </c>
      <c r="G16" s="12">
        <v>229901</v>
      </c>
      <c r="H16" s="18">
        <f t="shared" ref="H16:H20" si="2">_xlfn.XLOOKUP(G16,A3:A21,C3:C21)</f>
        <v>327.9</v>
      </c>
      <c r="K16" s="12">
        <v>229901</v>
      </c>
      <c r="L16" s="12" t="str">
        <f t="shared" ref="L16:L20" si="3">_xlfn.XLOOKUP(K16,A2:A21,B2:B21)</f>
        <v>Karina Melo</v>
      </c>
      <c r="M16" s="55"/>
    </row>
    <row r="17" spans="1:13" ht="15" customHeight="1" x14ac:dyDescent="0.25">
      <c r="A17" s="12">
        <v>307939</v>
      </c>
      <c r="B17" s="13" t="s">
        <v>42</v>
      </c>
      <c r="C17" s="16">
        <v>317.86</v>
      </c>
      <c r="G17" s="12">
        <v>742583</v>
      </c>
      <c r="H17" s="18">
        <f t="shared" si="2"/>
        <v>373.73</v>
      </c>
      <c r="K17" s="12">
        <v>742583</v>
      </c>
      <c r="L17" s="12" t="str">
        <f t="shared" si="3"/>
        <v>Joana Silva</v>
      </c>
      <c r="M17" s="55"/>
    </row>
    <row r="18" spans="1:13" ht="15" customHeight="1" x14ac:dyDescent="0.25">
      <c r="A18" s="12">
        <v>354762</v>
      </c>
      <c r="B18" s="13" t="s">
        <v>55</v>
      </c>
      <c r="C18" s="16">
        <v>402.83</v>
      </c>
      <c r="G18" s="12">
        <v>656008</v>
      </c>
      <c r="H18" s="18">
        <f t="shared" si="2"/>
        <v>403</v>
      </c>
      <c r="K18" s="12">
        <v>656008</v>
      </c>
      <c r="L18" s="12" t="str">
        <f t="shared" si="3"/>
        <v>José Castro</v>
      </c>
      <c r="M18" s="55"/>
    </row>
    <row r="19" spans="1:13" ht="15" customHeight="1" x14ac:dyDescent="0.25">
      <c r="A19" s="12">
        <v>728228</v>
      </c>
      <c r="B19" s="13" t="s">
        <v>51</v>
      </c>
      <c r="C19" s="16">
        <v>305.35000000000002</v>
      </c>
      <c r="G19" s="12">
        <v>307939</v>
      </c>
      <c r="H19" s="18">
        <f t="shared" si="2"/>
        <v>317.86</v>
      </c>
      <c r="K19" s="12">
        <v>307939</v>
      </c>
      <c r="L19" s="12" t="str">
        <f t="shared" si="3"/>
        <v>Sara Mendes</v>
      </c>
      <c r="M19" s="55"/>
    </row>
    <row r="20" spans="1:13" ht="15" customHeight="1" x14ac:dyDescent="0.25">
      <c r="A20" s="12">
        <v>747248</v>
      </c>
      <c r="B20" s="13" t="s">
        <v>52</v>
      </c>
      <c r="C20" s="16">
        <v>491.7</v>
      </c>
      <c r="G20" s="12">
        <v>728228</v>
      </c>
      <c r="H20" s="18">
        <f t="shared" si="2"/>
        <v>305.35000000000002</v>
      </c>
      <c r="K20" s="12">
        <v>728228</v>
      </c>
      <c r="L20" s="12" t="str">
        <f t="shared" si="3"/>
        <v>Daniele Snider</v>
      </c>
      <c r="M20" s="55"/>
    </row>
  </sheetData>
  <mergeCells count="2">
    <mergeCell ref="G4:M4"/>
    <mergeCell ref="G13:M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346E-2A0C-46C0-A0DF-A37828270EAD}">
  <dimension ref="A1:M13"/>
  <sheetViews>
    <sheetView zoomScale="130" zoomScaleNormal="130" workbookViewId="0">
      <selection activeCell="J11" sqref="J11"/>
    </sheetView>
  </sheetViews>
  <sheetFormatPr defaultRowHeight="15" x14ac:dyDescent="0.25"/>
  <cols>
    <col min="2" max="2" width="17.42578125" customWidth="1"/>
    <col min="3" max="3" width="19.140625" bestFit="1" customWidth="1"/>
    <col min="4" max="4" width="12.7109375" customWidth="1"/>
    <col min="5" max="5" width="13.7109375" customWidth="1"/>
    <col min="6" max="6" width="12.5703125" bestFit="1" customWidth="1"/>
    <col min="7" max="7" width="2.42578125" customWidth="1"/>
    <col min="8" max="8" width="4.7109375" customWidth="1"/>
    <col min="9" max="9" width="3.7109375" customWidth="1"/>
    <col min="10" max="10" width="14.28515625" customWidth="1"/>
    <col min="11" max="11" width="22.5703125" customWidth="1"/>
    <col min="12" max="12" width="13" customWidth="1"/>
  </cols>
  <sheetData>
    <row r="1" spans="1:13" ht="15.75" x14ac:dyDescent="0.25">
      <c r="A1" s="17" t="s">
        <v>0</v>
      </c>
      <c r="C1" s="57" t="s">
        <v>227</v>
      </c>
      <c r="D1" s="57"/>
    </row>
    <row r="2" spans="1:13" x14ac:dyDescent="0.25">
      <c r="J2" s="4" t="s">
        <v>3</v>
      </c>
      <c r="K2" s="4" t="s">
        <v>1</v>
      </c>
      <c r="M2" t="s">
        <v>28</v>
      </c>
    </row>
    <row r="3" spans="1:13" x14ac:dyDescent="0.25">
      <c r="B3" s="1" t="s">
        <v>1</v>
      </c>
      <c r="C3" s="4" t="s">
        <v>2</v>
      </c>
      <c r="D3" s="4" t="s">
        <v>3</v>
      </c>
      <c r="E3" s="4" t="s">
        <v>4</v>
      </c>
      <c r="F3" s="5" t="s">
        <v>5</v>
      </c>
      <c r="J3" s="6" t="s">
        <v>8</v>
      </c>
      <c r="K3" t="str">
        <f>_xlfn.XLOOKUP(J3,$D$4:$D$13,$B$4:$B$13,"Código não encontrado!")</f>
        <v>Colombo</v>
      </c>
    </row>
    <row r="4" spans="1:13" x14ac:dyDescent="0.25">
      <c r="B4" s="2" t="s">
        <v>6</v>
      </c>
      <c r="C4" s="6" t="s">
        <v>7</v>
      </c>
      <c r="D4" s="6" t="s">
        <v>8</v>
      </c>
      <c r="E4" s="6" t="s">
        <v>9</v>
      </c>
      <c r="F4" s="7">
        <v>8000</v>
      </c>
      <c r="J4" s="6" t="s">
        <v>10</v>
      </c>
      <c r="K4" t="str">
        <f t="shared" ref="K4:K7" si="0">_xlfn.XLOOKUP(J4,$D$4:$D$13,$B$4:$B$13,"Código não encontrado!")</f>
        <v>Valorsul</v>
      </c>
    </row>
    <row r="5" spans="1:13" x14ac:dyDescent="0.25">
      <c r="B5" s="2" t="s">
        <v>21</v>
      </c>
      <c r="C5" s="6" t="s">
        <v>7</v>
      </c>
      <c r="D5" s="6" t="s">
        <v>10</v>
      </c>
      <c r="E5" s="6" t="s">
        <v>9</v>
      </c>
      <c r="F5" s="7">
        <v>15000</v>
      </c>
      <c r="J5" s="6" t="s">
        <v>12</v>
      </c>
      <c r="K5" t="str">
        <f t="shared" si="0"/>
        <v>Universia</v>
      </c>
    </row>
    <row r="6" spans="1:13" x14ac:dyDescent="0.25">
      <c r="B6" s="2" t="s">
        <v>22</v>
      </c>
      <c r="C6" s="6" t="s">
        <v>7</v>
      </c>
      <c r="D6" s="6" t="s">
        <v>12</v>
      </c>
      <c r="E6" s="6" t="s">
        <v>13</v>
      </c>
      <c r="F6" s="7">
        <v>8230</v>
      </c>
      <c r="J6" s="6" t="s">
        <v>15</v>
      </c>
      <c r="K6" t="str">
        <f t="shared" si="0"/>
        <v>EDP Pt</v>
      </c>
    </row>
    <row r="7" spans="1:13" x14ac:dyDescent="0.25">
      <c r="B7" s="2" t="s">
        <v>11</v>
      </c>
      <c r="C7" s="6" t="s">
        <v>14</v>
      </c>
      <c r="D7" s="6" t="s">
        <v>15</v>
      </c>
      <c r="E7" s="6" t="s">
        <v>13</v>
      </c>
      <c r="F7" s="7">
        <v>22800</v>
      </c>
      <c r="J7" s="6" t="s">
        <v>27</v>
      </c>
      <c r="K7" t="str">
        <f t="shared" si="0"/>
        <v>Código não encontrado!</v>
      </c>
    </row>
    <row r="8" spans="1:13" x14ac:dyDescent="0.25">
      <c r="B8" s="2" t="s">
        <v>16</v>
      </c>
      <c r="C8" s="6" t="s">
        <v>7</v>
      </c>
      <c r="D8" s="6" t="s">
        <v>17</v>
      </c>
      <c r="E8" s="6" t="s">
        <v>18</v>
      </c>
      <c r="F8" s="7">
        <v>25500</v>
      </c>
    </row>
    <row r="9" spans="1:13" x14ac:dyDescent="0.25">
      <c r="B9" s="2" t="s">
        <v>23</v>
      </c>
      <c r="C9" s="6" t="s">
        <v>7</v>
      </c>
      <c r="D9" s="6" t="s">
        <v>19</v>
      </c>
      <c r="E9" s="6" t="s">
        <v>13</v>
      </c>
      <c r="F9" s="7">
        <v>8000</v>
      </c>
    </row>
    <row r="10" spans="1:13" x14ac:dyDescent="0.25">
      <c r="B10" s="2" t="s">
        <v>24</v>
      </c>
      <c r="C10" s="8" t="s">
        <v>14</v>
      </c>
      <c r="D10" s="8" t="s">
        <v>10</v>
      </c>
      <c r="E10" s="6" t="s">
        <v>9</v>
      </c>
      <c r="F10" s="9">
        <v>15000</v>
      </c>
    </row>
    <row r="11" spans="1:13" x14ac:dyDescent="0.25">
      <c r="B11" s="2" t="s">
        <v>25</v>
      </c>
      <c r="C11" s="8" t="s">
        <v>20</v>
      </c>
      <c r="D11" s="8" t="s">
        <v>12</v>
      </c>
      <c r="E11" s="6" t="s">
        <v>13</v>
      </c>
      <c r="F11" s="9">
        <v>8230</v>
      </c>
    </row>
    <row r="12" spans="1:13" x14ac:dyDescent="0.25">
      <c r="B12" s="2" t="s">
        <v>26</v>
      </c>
      <c r="C12" s="8" t="s">
        <v>14</v>
      </c>
      <c r="D12" s="8" t="s">
        <v>15</v>
      </c>
      <c r="E12" s="6" t="s">
        <v>13</v>
      </c>
      <c r="F12" s="9">
        <v>22800</v>
      </c>
    </row>
    <row r="13" spans="1:13" x14ac:dyDescent="0.25">
      <c r="B13" s="2" t="s">
        <v>30</v>
      </c>
      <c r="C13" s="8" t="s">
        <v>29</v>
      </c>
      <c r="D13" s="6" t="s">
        <v>31</v>
      </c>
      <c r="E13" s="6" t="s">
        <v>18</v>
      </c>
      <c r="F13" s="10">
        <v>50000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13F3-4F17-416E-A5E5-51B58A597637}">
  <dimension ref="A1:H11"/>
  <sheetViews>
    <sheetView zoomScale="140" zoomScaleNormal="140" workbookViewId="0">
      <selection activeCell="H3" sqref="H3"/>
    </sheetView>
  </sheetViews>
  <sheetFormatPr defaultRowHeight="15" x14ac:dyDescent="0.25"/>
  <cols>
    <col min="2" max="2" width="19.7109375" customWidth="1"/>
    <col min="3" max="3" width="15.28515625" customWidth="1"/>
    <col min="4" max="4" width="12" customWidth="1"/>
    <col min="5" max="5" width="13" customWidth="1"/>
    <col min="7" max="7" width="11.85546875" customWidth="1"/>
    <col min="8" max="8" width="17.42578125" customWidth="1"/>
  </cols>
  <sheetData>
    <row r="1" spans="1:8" ht="15.75" x14ac:dyDescent="0.25">
      <c r="A1" s="17" t="s">
        <v>0</v>
      </c>
      <c r="H1" t="s">
        <v>208</v>
      </c>
    </row>
    <row r="2" spans="1:8" ht="15.75" thickBot="1" x14ac:dyDescent="0.3"/>
    <row r="3" spans="1:8" ht="15.75" thickBot="1" x14ac:dyDescent="0.3">
      <c r="B3" s="52" t="s">
        <v>204</v>
      </c>
      <c r="C3" s="52" t="s">
        <v>205</v>
      </c>
      <c r="D3" s="52" t="s">
        <v>53</v>
      </c>
      <c r="E3" s="52" t="s">
        <v>206</v>
      </c>
      <c r="G3" t="s">
        <v>207</v>
      </c>
      <c r="H3" s="53" t="s">
        <v>214</v>
      </c>
    </row>
    <row r="4" spans="1:8" x14ac:dyDescent="0.25">
      <c r="B4" s="3" t="s">
        <v>209</v>
      </c>
      <c r="C4" s="3" t="s">
        <v>214</v>
      </c>
      <c r="D4" s="3">
        <v>80000</v>
      </c>
      <c r="E4" s="3">
        <v>50000</v>
      </c>
    </row>
    <row r="5" spans="1:8" ht="15.75" thickBot="1" x14ac:dyDescent="0.3">
      <c r="B5" s="3" t="s">
        <v>209</v>
      </c>
      <c r="C5" s="3" t="s">
        <v>215</v>
      </c>
      <c r="D5" s="3">
        <v>30000</v>
      </c>
      <c r="E5" s="3">
        <v>20000</v>
      </c>
    </row>
    <row r="6" spans="1:8" ht="15.75" thickBot="1" x14ac:dyDescent="0.3">
      <c r="B6" s="3" t="s">
        <v>210</v>
      </c>
      <c r="C6" s="3" t="s">
        <v>222</v>
      </c>
      <c r="D6" s="3">
        <v>10000</v>
      </c>
      <c r="E6" s="3">
        <v>8000</v>
      </c>
      <c r="G6" t="s">
        <v>223</v>
      </c>
      <c r="H6" s="51" t="str">
        <f>_xlfn.XLOOKUP(H3,C4:C11,B4:B11)</f>
        <v>Rede Social</v>
      </c>
    </row>
    <row r="7" spans="1:8" ht="15.75" thickBot="1" x14ac:dyDescent="0.3">
      <c r="B7" s="3" t="s">
        <v>211</v>
      </c>
      <c r="C7" s="3" t="s">
        <v>216</v>
      </c>
      <c r="D7" s="3">
        <v>50000</v>
      </c>
      <c r="E7" s="3">
        <v>35000</v>
      </c>
    </row>
    <row r="8" spans="1:8" ht="15.75" thickBot="1" x14ac:dyDescent="0.3">
      <c r="B8" s="3" t="s">
        <v>217</v>
      </c>
      <c r="C8" s="3" t="s">
        <v>218</v>
      </c>
      <c r="D8" s="3">
        <v>15000</v>
      </c>
      <c r="E8" s="3">
        <v>10000</v>
      </c>
      <c r="G8" t="s">
        <v>224</v>
      </c>
      <c r="H8" s="51">
        <f>_xlfn.XLOOKUP(H3,C4:C11,D4:D11)</f>
        <v>80000</v>
      </c>
    </row>
    <row r="9" spans="1:8" ht="15.75" thickBot="1" x14ac:dyDescent="0.3">
      <c r="B9" s="3" t="s">
        <v>212</v>
      </c>
      <c r="C9" s="3" t="s">
        <v>219</v>
      </c>
      <c r="D9" s="3">
        <v>6500</v>
      </c>
      <c r="E9" s="3">
        <v>4000</v>
      </c>
    </row>
    <row r="10" spans="1:8" ht="15.75" thickBot="1" x14ac:dyDescent="0.3">
      <c r="B10" s="3" t="s">
        <v>210</v>
      </c>
      <c r="C10" s="3" t="s">
        <v>213</v>
      </c>
      <c r="D10" s="3">
        <v>25000</v>
      </c>
      <c r="E10" s="3">
        <v>20000</v>
      </c>
      <c r="G10" t="s">
        <v>225</v>
      </c>
      <c r="H10" s="51">
        <f>_xlfn.XLOOKUP(H3,C4:C11,E4:E11)</f>
        <v>50000</v>
      </c>
    </row>
    <row r="11" spans="1:8" x14ac:dyDescent="0.25">
      <c r="B11" s="3" t="s">
        <v>220</v>
      </c>
      <c r="C11" s="3" t="s">
        <v>221</v>
      </c>
      <c r="D11" s="3">
        <v>30000</v>
      </c>
      <c r="E11" s="3">
        <v>27000</v>
      </c>
    </row>
  </sheetData>
  <dataValidations count="1">
    <dataValidation type="list" allowBlank="1" showInputMessage="1" showErrorMessage="1" sqref="H3" xr:uid="{2883B07B-CB86-4F9C-84C9-333277868BCC}">
      <formula1>$C$4:$C$11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5686-C9B8-40A2-AEA8-CF9C3AA9E9D4}">
  <dimension ref="B1:O26"/>
  <sheetViews>
    <sheetView topLeftCell="F1" zoomScale="120" zoomScaleNormal="120" workbookViewId="0">
      <selection activeCell="O5" sqref="O5"/>
    </sheetView>
  </sheetViews>
  <sheetFormatPr defaultRowHeight="15" x14ac:dyDescent="0.25"/>
  <cols>
    <col min="1" max="1" width="0.28515625" customWidth="1"/>
    <col min="2" max="2" width="12.5703125" customWidth="1"/>
    <col min="3" max="3" width="10.5703125" customWidth="1"/>
    <col min="4" max="4" width="17" customWidth="1"/>
    <col min="5" max="5" width="14" bestFit="1" customWidth="1"/>
    <col min="6" max="6" width="7" bestFit="1" customWidth="1"/>
    <col min="7" max="7" width="15.85546875" bestFit="1" customWidth="1"/>
    <col min="8" max="8" width="12.5703125" style="15" bestFit="1" customWidth="1"/>
    <col min="9" max="9" width="21.5703125" customWidth="1"/>
    <col min="10" max="10" width="12.85546875" style="18" bestFit="1" customWidth="1"/>
    <col min="11" max="11" width="11.7109375" bestFit="1" customWidth="1"/>
    <col min="12" max="12" width="4.7109375" customWidth="1"/>
    <col min="14" max="14" width="16.28515625" customWidth="1"/>
    <col min="15" max="15" width="31.42578125" customWidth="1"/>
  </cols>
  <sheetData>
    <row r="1" spans="2:15" ht="15.75" x14ac:dyDescent="0.25">
      <c r="B1" s="17" t="s">
        <v>226</v>
      </c>
    </row>
    <row r="2" spans="2:15" x14ac:dyDescent="0.25">
      <c r="B2" s="19" t="s">
        <v>56</v>
      </c>
      <c r="C2" s="20" t="s">
        <v>57</v>
      </c>
      <c r="D2" s="21" t="s">
        <v>58</v>
      </c>
      <c r="E2" s="19" t="s">
        <v>59</v>
      </c>
      <c r="F2" s="22" t="s">
        <v>4</v>
      </c>
      <c r="G2" s="22" t="s">
        <v>60</v>
      </c>
      <c r="H2" s="22" t="s">
        <v>61</v>
      </c>
      <c r="I2" s="22" t="s">
        <v>62</v>
      </c>
      <c r="J2" s="23" t="s">
        <v>5</v>
      </c>
      <c r="K2" s="24" t="s">
        <v>63</v>
      </c>
      <c r="M2" s="25" t="s">
        <v>64</v>
      </c>
    </row>
    <row r="3" spans="2:15" x14ac:dyDescent="0.25">
      <c r="B3" s="26" t="s">
        <v>65</v>
      </c>
      <c r="C3" s="27">
        <v>209312</v>
      </c>
      <c r="D3" s="26" t="s">
        <v>66</v>
      </c>
      <c r="E3" s="28" t="s">
        <v>67</v>
      </c>
      <c r="F3" s="28" t="s">
        <v>68</v>
      </c>
      <c r="G3" s="28" t="s">
        <v>69</v>
      </c>
      <c r="H3" s="28" t="s">
        <v>1</v>
      </c>
      <c r="I3" s="29" t="s">
        <v>70</v>
      </c>
      <c r="J3" s="30">
        <v>24103</v>
      </c>
      <c r="K3" s="31">
        <v>872442554</v>
      </c>
      <c r="M3" t="s">
        <v>71</v>
      </c>
    </row>
    <row r="4" spans="2:15" x14ac:dyDescent="0.25">
      <c r="B4" s="26" t="s">
        <v>72</v>
      </c>
      <c r="C4" s="3">
        <v>501404</v>
      </c>
      <c r="D4" s="32" t="s">
        <v>73</v>
      </c>
      <c r="E4" s="33" t="s">
        <v>67</v>
      </c>
      <c r="F4" s="33" t="s">
        <v>68</v>
      </c>
      <c r="G4" s="33" t="s">
        <v>74</v>
      </c>
      <c r="H4" s="33" t="s">
        <v>75</v>
      </c>
      <c r="I4" s="34" t="s">
        <v>76</v>
      </c>
      <c r="J4" s="35">
        <v>4700</v>
      </c>
      <c r="K4" s="36">
        <v>872444506</v>
      </c>
    </row>
    <row r="5" spans="2:15" x14ac:dyDescent="0.25">
      <c r="B5" s="26" t="s">
        <v>77</v>
      </c>
      <c r="C5" s="3">
        <v>118535</v>
      </c>
      <c r="D5" s="32" t="s">
        <v>78</v>
      </c>
      <c r="E5" s="33" t="s">
        <v>67</v>
      </c>
      <c r="F5" s="33" t="s">
        <v>9</v>
      </c>
      <c r="G5" s="33" t="s">
        <v>79</v>
      </c>
      <c r="H5" s="33" t="s">
        <v>1</v>
      </c>
      <c r="I5" s="34" t="s">
        <v>76</v>
      </c>
      <c r="J5" s="35">
        <v>2680</v>
      </c>
      <c r="K5" s="36">
        <v>872444511</v>
      </c>
      <c r="N5" s="3" t="s">
        <v>63</v>
      </c>
      <c r="O5" s="3">
        <v>872452949</v>
      </c>
    </row>
    <row r="6" spans="2:15" x14ac:dyDescent="0.25">
      <c r="B6" s="26" t="s">
        <v>80</v>
      </c>
      <c r="C6" s="3">
        <v>257311</v>
      </c>
      <c r="D6" s="32" t="s">
        <v>78</v>
      </c>
      <c r="E6" s="33" t="s">
        <v>67</v>
      </c>
      <c r="F6" s="33" t="s">
        <v>9</v>
      </c>
      <c r="G6" s="33" t="s">
        <v>81</v>
      </c>
      <c r="H6" s="33" t="s">
        <v>1</v>
      </c>
      <c r="I6" s="3" t="s">
        <v>76</v>
      </c>
      <c r="J6" s="35">
        <v>28600</v>
      </c>
      <c r="K6" s="36">
        <v>872430104</v>
      </c>
      <c r="N6" s="3" t="s">
        <v>82</v>
      </c>
      <c r="O6" s="3" t="str">
        <f>_xlfn.XLOOKUP(O5,K3:K26,B3:B26)</f>
        <v>Cliente 10</v>
      </c>
    </row>
    <row r="7" spans="2:15" x14ac:dyDescent="0.25">
      <c r="B7" s="26" t="s">
        <v>83</v>
      </c>
      <c r="C7" s="3">
        <v>119013</v>
      </c>
      <c r="D7" s="32" t="s">
        <v>66</v>
      </c>
      <c r="E7" s="33" t="s">
        <v>84</v>
      </c>
      <c r="F7" s="33" t="s">
        <v>68</v>
      </c>
      <c r="G7" s="33" t="s">
        <v>69</v>
      </c>
      <c r="H7" s="33" t="s">
        <v>1</v>
      </c>
      <c r="I7" s="34" t="s">
        <v>85</v>
      </c>
      <c r="J7" s="35">
        <v>4250</v>
      </c>
      <c r="K7" s="36">
        <v>872442081</v>
      </c>
      <c r="N7" s="3" t="s">
        <v>62</v>
      </c>
      <c r="O7" s="3" t="str">
        <f>_xlfn.XLOOKUP(O5,K3:K26,I3:I26)</f>
        <v>Entregue dia seguinte</v>
      </c>
    </row>
    <row r="8" spans="2:15" x14ac:dyDescent="0.25">
      <c r="B8" s="26" t="s">
        <v>86</v>
      </c>
      <c r="C8" s="3">
        <v>130836</v>
      </c>
      <c r="D8" s="32" t="s">
        <v>78</v>
      </c>
      <c r="E8" s="33" t="s">
        <v>67</v>
      </c>
      <c r="F8" s="33" t="s">
        <v>68</v>
      </c>
      <c r="G8" s="33" t="s">
        <v>87</v>
      </c>
      <c r="H8" s="33" t="s">
        <v>1</v>
      </c>
      <c r="I8" s="34" t="s">
        <v>88</v>
      </c>
      <c r="J8" s="35">
        <v>4730</v>
      </c>
      <c r="K8" s="36">
        <v>872445053</v>
      </c>
      <c r="N8" s="3" t="s">
        <v>5</v>
      </c>
      <c r="O8" s="54">
        <f>_xlfn.XLOOKUP(O5,K3:K26,J3:J26)</f>
        <v>2825</v>
      </c>
    </row>
    <row r="9" spans="2:15" x14ac:dyDescent="0.25">
      <c r="B9" s="26" t="s">
        <v>89</v>
      </c>
      <c r="C9" s="3">
        <v>118381</v>
      </c>
      <c r="D9" s="32" t="s">
        <v>90</v>
      </c>
      <c r="E9" s="33" t="s">
        <v>67</v>
      </c>
      <c r="F9" s="33" t="s">
        <v>9</v>
      </c>
      <c r="G9" s="33" t="s">
        <v>91</v>
      </c>
      <c r="H9" s="33" t="s">
        <v>1</v>
      </c>
      <c r="I9" s="34" t="s">
        <v>92</v>
      </c>
      <c r="J9" s="35">
        <v>20300</v>
      </c>
      <c r="K9" s="36">
        <v>872424021</v>
      </c>
    </row>
    <row r="10" spans="2:15" ht="30" x14ac:dyDescent="0.25">
      <c r="B10" s="26" t="s">
        <v>93</v>
      </c>
      <c r="C10" s="3">
        <v>118738</v>
      </c>
      <c r="D10" s="32" t="s">
        <v>94</v>
      </c>
      <c r="E10" s="33" t="s">
        <v>67</v>
      </c>
      <c r="F10" s="33" t="s">
        <v>68</v>
      </c>
      <c r="G10" s="33" t="s">
        <v>91</v>
      </c>
      <c r="H10" s="33" t="s">
        <v>75</v>
      </c>
      <c r="I10" s="34" t="s">
        <v>95</v>
      </c>
      <c r="J10" s="35">
        <v>1549</v>
      </c>
      <c r="K10" s="36">
        <v>872451996</v>
      </c>
    </row>
    <row r="11" spans="2:15" ht="30" x14ac:dyDescent="0.25">
      <c r="B11" s="26" t="s">
        <v>96</v>
      </c>
      <c r="C11" s="3">
        <v>118372</v>
      </c>
      <c r="D11" s="37" t="s">
        <v>90</v>
      </c>
      <c r="E11" s="33" t="s">
        <v>84</v>
      </c>
      <c r="F11" s="33" t="s">
        <v>9</v>
      </c>
      <c r="G11" s="33" t="s">
        <v>97</v>
      </c>
      <c r="H11" s="33" t="s">
        <v>1</v>
      </c>
      <c r="I11" s="34" t="s">
        <v>92</v>
      </c>
      <c r="J11" s="35">
        <v>2605</v>
      </c>
      <c r="K11" s="36">
        <v>872429855</v>
      </c>
    </row>
    <row r="12" spans="2:15" x14ac:dyDescent="0.25">
      <c r="B12" s="26" t="s">
        <v>98</v>
      </c>
      <c r="C12" s="3">
        <v>271689</v>
      </c>
      <c r="D12" s="32" t="s">
        <v>99</v>
      </c>
      <c r="E12" s="33" t="s">
        <v>84</v>
      </c>
      <c r="F12" s="33" t="s">
        <v>9</v>
      </c>
      <c r="G12" s="33" t="s">
        <v>100</v>
      </c>
      <c r="H12" s="33" t="s">
        <v>75</v>
      </c>
      <c r="I12" s="34" t="s">
        <v>76</v>
      </c>
      <c r="J12" s="35">
        <v>2825</v>
      </c>
      <c r="K12" s="38">
        <v>872452949</v>
      </c>
    </row>
    <row r="13" spans="2:15" ht="30" x14ac:dyDescent="0.25">
      <c r="B13" s="26" t="s">
        <v>101</v>
      </c>
      <c r="C13" s="3">
        <v>342412</v>
      </c>
      <c r="D13" s="37" t="s">
        <v>66</v>
      </c>
      <c r="E13" s="33" t="s">
        <v>84</v>
      </c>
      <c r="F13" s="33" t="s">
        <v>9</v>
      </c>
      <c r="G13" s="33" t="s">
        <v>102</v>
      </c>
      <c r="H13" s="33" t="s">
        <v>1</v>
      </c>
      <c r="I13" s="34" t="s">
        <v>103</v>
      </c>
      <c r="J13" s="35">
        <v>22950</v>
      </c>
      <c r="K13" s="36">
        <v>872427639</v>
      </c>
    </row>
    <row r="14" spans="2:15" ht="30" x14ac:dyDescent="0.25">
      <c r="B14" s="26" t="s">
        <v>104</v>
      </c>
      <c r="C14" s="3">
        <v>119411</v>
      </c>
      <c r="D14" s="37" t="s">
        <v>105</v>
      </c>
      <c r="E14" s="33" t="s">
        <v>67</v>
      </c>
      <c r="F14" s="33" t="s">
        <v>68</v>
      </c>
      <c r="G14" s="33" t="s">
        <v>106</v>
      </c>
      <c r="H14" s="33" t="s">
        <v>1</v>
      </c>
      <c r="I14" s="34" t="s">
        <v>107</v>
      </c>
      <c r="J14" s="35">
        <v>4435</v>
      </c>
      <c r="K14" s="36">
        <v>872441751</v>
      </c>
    </row>
    <row r="15" spans="2:15" x14ac:dyDescent="0.25">
      <c r="B15" s="26" t="s">
        <v>108</v>
      </c>
      <c r="C15" s="3">
        <v>355130</v>
      </c>
      <c r="D15" s="32" t="s">
        <v>66</v>
      </c>
      <c r="E15" s="33" t="s">
        <v>84</v>
      </c>
      <c r="F15" s="33" t="s">
        <v>68</v>
      </c>
      <c r="G15" s="33" t="s">
        <v>109</v>
      </c>
      <c r="H15" s="33" t="s">
        <v>1</v>
      </c>
      <c r="I15" s="34" t="s">
        <v>76</v>
      </c>
      <c r="J15" s="35">
        <v>3885</v>
      </c>
      <c r="K15" s="36">
        <v>872452562</v>
      </c>
    </row>
    <row r="16" spans="2:15" x14ac:dyDescent="0.25">
      <c r="B16" s="26" t="s">
        <v>110</v>
      </c>
      <c r="C16" s="3">
        <v>118392</v>
      </c>
      <c r="D16" s="32" t="s">
        <v>90</v>
      </c>
      <c r="E16" s="33" t="s">
        <v>84</v>
      </c>
      <c r="F16" s="33" t="s">
        <v>9</v>
      </c>
      <c r="G16" s="33" t="s">
        <v>111</v>
      </c>
      <c r="H16" s="33" t="s">
        <v>1</v>
      </c>
      <c r="I16" s="34" t="s">
        <v>112</v>
      </c>
      <c r="J16" s="35">
        <v>2420</v>
      </c>
      <c r="K16" s="36">
        <v>872454199</v>
      </c>
    </row>
    <row r="17" spans="2:11" ht="30" x14ac:dyDescent="0.25">
      <c r="B17" s="26" t="s">
        <v>113</v>
      </c>
      <c r="C17" s="3">
        <v>296989</v>
      </c>
      <c r="D17" s="37" t="s">
        <v>66</v>
      </c>
      <c r="E17" s="33" t="s">
        <v>84</v>
      </c>
      <c r="F17" s="33" t="s">
        <v>68</v>
      </c>
      <c r="G17" s="33" t="s">
        <v>114</v>
      </c>
      <c r="H17" s="33" t="s">
        <v>1</v>
      </c>
      <c r="I17" s="34" t="s">
        <v>76</v>
      </c>
      <c r="J17" s="35">
        <v>4560</v>
      </c>
      <c r="K17" s="36">
        <v>872452834</v>
      </c>
    </row>
    <row r="18" spans="2:11" x14ac:dyDescent="0.25">
      <c r="B18" s="26" t="s">
        <v>115</v>
      </c>
      <c r="C18" s="3">
        <v>245220</v>
      </c>
      <c r="D18" s="32" t="s">
        <v>66</v>
      </c>
      <c r="E18" s="33" t="s">
        <v>84</v>
      </c>
      <c r="F18" s="33" t="s">
        <v>68</v>
      </c>
      <c r="G18" s="33" t="s">
        <v>116</v>
      </c>
      <c r="H18" s="33" t="s">
        <v>1</v>
      </c>
      <c r="I18" s="34" t="s">
        <v>117</v>
      </c>
      <c r="J18" s="35">
        <v>24575</v>
      </c>
      <c r="K18" s="36">
        <v>872464287</v>
      </c>
    </row>
    <row r="19" spans="2:11" ht="30" x14ac:dyDescent="0.25">
      <c r="B19" s="26" t="s">
        <v>118</v>
      </c>
      <c r="C19" s="39">
        <v>132904</v>
      </c>
      <c r="D19" s="37" t="s">
        <v>66</v>
      </c>
      <c r="E19" s="40" t="s">
        <v>67</v>
      </c>
      <c r="F19" s="33" t="s">
        <v>68</v>
      </c>
      <c r="G19" s="40" t="s">
        <v>119</v>
      </c>
      <c r="H19" s="40" t="s">
        <v>1</v>
      </c>
      <c r="I19" s="34" t="s">
        <v>120</v>
      </c>
      <c r="J19" s="41">
        <v>4470</v>
      </c>
      <c r="K19" s="36">
        <v>872458451</v>
      </c>
    </row>
    <row r="20" spans="2:11" ht="30" x14ac:dyDescent="0.25">
      <c r="B20" s="26" t="s">
        <v>121</v>
      </c>
      <c r="C20" s="3">
        <v>118726</v>
      </c>
      <c r="D20" s="37" t="s">
        <v>66</v>
      </c>
      <c r="E20" s="40" t="s">
        <v>67</v>
      </c>
      <c r="F20" s="33" t="s">
        <v>9</v>
      </c>
      <c r="G20" s="33" t="s">
        <v>91</v>
      </c>
      <c r="H20" s="40" t="s">
        <v>1</v>
      </c>
      <c r="I20" s="34" t="s">
        <v>120</v>
      </c>
      <c r="J20" s="35">
        <v>41900</v>
      </c>
      <c r="K20" s="36">
        <v>872455299</v>
      </c>
    </row>
    <row r="21" spans="2:11" ht="30" x14ac:dyDescent="0.25">
      <c r="B21" s="26" t="s">
        <v>122</v>
      </c>
      <c r="C21" s="3">
        <v>119043</v>
      </c>
      <c r="D21" s="32" t="s">
        <v>105</v>
      </c>
      <c r="E21" s="33" t="s">
        <v>84</v>
      </c>
      <c r="F21" s="33" t="s">
        <v>9</v>
      </c>
      <c r="G21" s="33" t="s">
        <v>123</v>
      </c>
      <c r="H21" s="40" t="s">
        <v>1</v>
      </c>
      <c r="I21" s="42" t="s">
        <v>124</v>
      </c>
      <c r="J21" s="35">
        <v>7100</v>
      </c>
      <c r="K21" s="36">
        <v>871676525</v>
      </c>
    </row>
    <row r="22" spans="2:11" x14ac:dyDescent="0.25">
      <c r="B22" s="26" t="s">
        <v>125</v>
      </c>
      <c r="C22" s="3">
        <v>209312</v>
      </c>
      <c r="D22" s="32" t="s">
        <v>105</v>
      </c>
      <c r="E22" s="33" t="s">
        <v>84</v>
      </c>
      <c r="F22" s="33" t="s">
        <v>68</v>
      </c>
      <c r="G22" s="33" t="s">
        <v>69</v>
      </c>
      <c r="H22" s="40" t="s">
        <v>75</v>
      </c>
      <c r="I22" s="34" t="s">
        <v>126</v>
      </c>
      <c r="J22" s="35">
        <v>44405</v>
      </c>
      <c r="K22" s="36">
        <v>872455746</v>
      </c>
    </row>
    <row r="23" spans="2:11" ht="30" x14ac:dyDescent="0.25">
      <c r="B23" s="26" t="s">
        <v>127</v>
      </c>
      <c r="C23" s="3">
        <v>139758</v>
      </c>
      <c r="D23" s="32" t="s">
        <v>66</v>
      </c>
      <c r="E23" s="33" t="s">
        <v>84</v>
      </c>
      <c r="F23" s="33" t="s">
        <v>68</v>
      </c>
      <c r="G23" s="33" t="s">
        <v>128</v>
      </c>
      <c r="H23" s="33" t="s">
        <v>1</v>
      </c>
      <c r="I23" s="42" t="s">
        <v>129</v>
      </c>
      <c r="J23" s="35">
        <v>4536</v>
      </c>
      <c r="K23" s="36">
        <v>872452440</v>
      </c>
    </row>
    <row r="24" spans="2:11" ht="30" x14ac:dyDescent="0.25">
      <c r="B24" s="26" t="s">
        <v>130</v>
      </c>
      <c r="C24" s="3">
        <v>118381</v>
      </c>
      <c r="D24" s="32" t="s">
        <v>90</v>
      </c>
      <c r="E24" s="33" t="s">
        <v>84</v>
      </c>
      <c r="F24" s="33" t="s">
        <v>9</v>
      </c>
      <c r="G24" s="33" t="s">
        <v>91</v>
      </c>
      <c r="H24" s="40" t="s">
        <v>1</v>
      </c>
      <c r="I24" s="34" t="s">
        <v>131</v>
      </c>
      <c r="J24" s="35">
        <v>1300</v>
      </c>
      <c r="K24" s="36">
        <v>872460371</v>
      </c>
    </row>
    <row r="25" spans="2:11" x14ac:dyDescent="0.25">
      <c r="B25" s="26" t="s">
        <v>132</v>
      </c>
      <c r="C25" s="3">
        <v>118471</v>
      </c>
      <c r="D25" s="32" t="s">
        <v>78</v>
      </c>
      <c r="E25" s="33" t="s">
        <v>67</v>
      </c>
      <c r="F25" s="33" t="s">
        <v>9</v>
      </c>
      <c r="G25" s="33" t="s">
        <v>91</v>
      </c>
      <c r="H25" s="33" t="s">
        <v>75</v>
      </c>
      <c r="I25" s="34" t="s">
        <v>76</v>
      </c>
      <c r="J25" s="35">
        <v>41250</v>
      </c>
      <c r="K25" s="36">
        <v>872467096</v>
      </c>
    </row>
    <row r="26" spans="2:11" x14ac:dyDescent="0.25">
      <c r="B26" s="26" t="s">
        <v>133</v>
      </c>
      <c r="C26" s="3">
        <v>259120</v>
      </c>
      <c r="D26" s="32" t="s">
        <v>90</v>
      </c>
      <c r="E26" s="33" t="s">
        <v>67</v>
      </c>
      <c r="F26" s="33" t="s">
        <v>68</v>
      </c>
      <c r="G26" s="33" t="s">
        <v>134</v>
      </c>
      <c r="H26" s="33" t="s">
        <v>1</v>
      </c>
      <c r="I26" s="34" t="s">
        <v>126</v>
      </c>
      <c r="J26" s="35">
        <v>4470</v>
      </c>
      <c r="K26" s="36">
        <v>872468437</v>
      </c>
    </row>
  </sheetData>
  <conditionalFormatting sqref="K22">
    <cfRule type="duplicateValues" dxfId="0" priority="1"/>
  </conditionalFormatting>
  <dataValidations count="1">
    <dataValidation type="list" allowBlank="1" showInputMessage="1" showErrorMessage="1" sqref="O5" xr:uid="{BE379D89-E83F-4CA9-AFF1-CF695F72BF7A}">
      <formula1>$K$3:$K$26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ED13-11BC-4F64-97B2-EA23B3353C2E}">
  <dimension ref="A1:U53"/>
  <sheetViews>
    <sheetView tabSelected="1" topLeftCell="D1" workbookViewId="0">
      <selection activeCell="R4" sqref="R4"/>
    </sheetView>
  </sheetViews>
  <sheetFormatPr defaultColWidth="9.140625" defaultRowHeight="15" x14ac:dyDescent="0.25"/>
  <cols>
    <col min="1" max="1" width="9.5703125" style="15" bestFit="1" customWidth="1"/>
    <col min="2" max="2" width="13.85546875" customWidth="1"/>
    <col min="3" max="3" width="12" style="15" customWidth="1"/>
    <col min="4" max="4" width="11.85546875" style="15" customWidth="1"/>
    <col min="5" max="5" width="11.5703125" style="15" customWidth="1"/>
    <col min="6" max="6" width="11.42578125" style="15" customWidth="1"/>
    <col min="7" max="7" width="12" style="15" customWidth="1"/>
    <col min="8" max="8" width="11.7109375" style="15" customWidth="1"/>
    <col min="9" max="9" width="12" style="15" customWidth="1"/>
    <col min="10" max="10" width="11.5703125" style="15" customWidth="1"/>
    <col min="11" max="11" width="11.85546875" style="15" customWidth="1"/>
    <col min="12" max="12" width="11.7109375" style="15" customWidth="1"/>
    <col min="13" max="13" width="2.28515625" customWidth="1"/>
    <col min="14" max="14" width="11.5703125" customWidth="1"/>
    <col min="15" max="15" width="21" customWidth="1"/>
    <col min="16" max="16" width="10.140625" customWidth="1"/>
    <col min="17" max="17" width="14.85546875" customWidth="1"/>
    <col min="18" max="18" width="13.5703125" customWidth="1"/>
    <col min="19" max="19" width="4.140625" customWidth="1"/>
    <col min="20" max="20" width="5.28515625" customWidth="1"/>
    <col min="21" max="21" width="15.42578125" customWidth="1"/>
  </cols>
  <sheetData>
    <row r="1" spans="1:21" ht="18.75" x14ac:dyDescent="0.3">
      <c r="C1" s="58" t="s">
        <v>135</v>
      </c>
      <c r="D1" s="59"/>
      <c r="E1" s="59"/>
      <c r="F1" s="59"/>
      <c r="G1" s="59"/>
      <c r="H1" s="59"/>
      <c r="I1" s="59"/>
      <c r="J1" s="59"/>
      <c r="K1" s="59"/>
      <c r="L1" s="59"/>
    </row>
    <row r="3" spans="1:21" s="43" customFormat="1" ht="45" x14ac:dyDescent="0.25">
      <c r="A3" s="43" t="s">
        <v>136</v>
      </c>
      <c r="B3" s="43" t="s">
        <v>137</v>
      </c>
      <c r="C3" s="44" t="s">
        <v>138</v>
      </c>
      <c r="D3" s="44" t="s">
        <v>139</v>
      </c>
      <c r="E3" s="44" t="s">
        <v>140</v>
      </c>
      <c r="F3" s="44" t="s">
        <v>141</v>
      </c>
      <c r="G3" s="44" t="s">
        <v>142</v>
      </c>
      <c r="H3" s="44" t="s">
        <v>143</v>
      </c>
      <c r="I3" s="44" t="s">
        <v>144</v>
      </c>
      <c r="J3" s="44" t="s">
        <v>145</v>
      </c>
      <c r="K3" s="44" t="s">
        <v>146</v>
      </c>
      <c r="L3" s="44" t="s">
        <v>147</v>
      </c>
      <c r="N3" s="45" t="s">
        <v>148</v>
      </c>
      <c r="O3" s="45" t="s">
        <v>149</v>
      </c>
      <c r="P3" s="45" t="s">
        <v>150</v>
      </c>
      <c r="Q3" s="45" t="s">
        <v>151</v>
      </c>
      <c r="R3" s="45" t="s">
        <v>152</v>
      </c>
    </row>
    <row r="4" spans="1:21" x14ac:dyDescent="0.25">
      <c r="A4" s="46">
        <v>1</v>
      </c>
      <c r="B4" s="47" t="s">
        <v>153</v>
      </c>
      <c r="C4" s="48">
        <v>521</v>
      </c>
      <c r="D4" s="48">
        <v>950</v>
      </c>
      <c r="E4" s="48">
        <v>562</v>
      </c>
      <c r="F4" s="48">
        <v>145</v>
      </c>
      <c r="G4" s="48">
        <v>390</v>
      </c>
      <c r="H4" s="48">
        <v>766</v>
      </c>
      <c r="I4" s="48">
        <v>165</v>
      </c>
      <c r="J4" s="48">
        <v>443</v>
      </c>
      <c r="K4" s="48">
        <v>262</v>
      </c>
      <c r="L4" s="48">
        <v>588</v>
      </c>
      <c r="N4" s="49">
        <f>MIN(C4:M4)</f>
        <v>145</v>
      </c>
      <c r="O4" s="60" t="str">
        <f>_xlfn.XLOOKUP(N4,C4:L4,$C$3:$L$3)</f>
        <v>Fornecedor 4</v>
      </c>
      <c r="P4" s="49">
        <f>MAX(C4:L4)</f>
        <v>950</v>
      </c>
      <c r="Q4" s="49" t="str">
        <f>_xlfn.XLOOKUP(P4,C4:L4,$C$3:$L$3)</f>
        <v>Fornecedor 2</v>
      </c>
      <c r="R4" s="49">
        <f>SUMIF(C4:L4,P4-N4)</f>
        <v>0</v>
      </c>
    </row>
    <row r="5" spans="1:21" x14ac:dyDescent="0.25">
      <c r="A5" s="46">
        <v>2</v>
      </c>
      <c r="B5" s="47" t="s">
        <v>154</v>
      </c>
      <c r="C5" s="48">
        <v>222</v>
      </c>
      <c r="D5" s="48">
        <v>117</v>
      </c>
      <c r="E5" s="48">
        <v>581</v>
      </c>
      <c r="F5" s="48">
        <v>185</v>
      </c>
      <c r="G5" s="48">
        <v>854</v>
      </c>
      <c r="H5" s="48">
        <v>999</v>
      </c>
      <c r="I5" s="48">
        <v>778</v>
      </c>
      <c r="J5" s="48">
        <v>985</v>
      </c>
      <c r="K5" s="48">
        <v>218</v>
      </c>
      <c r="L5" s="48">
        <v>813</v>
      </c>
      <c r="N5" s="49">
        <f t="shared" ref="N5:N53" si="0">MIN(C5:M5)</f>
        <v>117</v>
      </c>
      <c r="O5" s="60" t="str">
        <f t="shared" ref="O5:O53" si="1">_xlfn.XLOOKUP(N5,C5:L5,$C$3:$L$3)</f>
        <v>Fornecedor 2</v>
      </c>
      <c r="P5" s="49">
        <f t="shared" ref="P5:P53" si="2">MAX(C5:L5)</f>
        <v>999</v>
      </c>
      <c r="Q5" s="49" t="str">
        <f t="shared" ref="Q5:Q53" si="3">_xlfn.XLOOKUP(P5,C5:L5,$C$3:$L$3)</f>
        <v>Fornecedor 6</v>
      </c>
      <c r="R5" s="49"/>
      <c r="U5" t="s">
        <v>155</v>
      </c>
    </row>
    <row r="6" spans="1:21" x14ac:dyDescent="0.25">
      <c r="A6" s="46">
        <v>3</v>
      </c>
      <c r="B6" s="47" t="s">
        <v>156</v>
      </c>
      <c r="C6" s="48">
        <v>552</v>
      </c>
      <c r="D6" s="48">
        <v>226</v>
      </c>
      <c r="E6" s="48">
        <v>727</v>
      </c>
      <c r="F6" s="48">
        <v>142</v>
      </c>
      <c r="G6" s="48">
        <v>394</v>
      </c>
      <c r="H6" s="48">
        <v>218</v>
      </c>
      <c r="I6" s="48">
        <v>894</v>
      </c>
      <c r="J6" s="48">
        <v>739</v>
      </c>
      <c r="K6" s="48">
        <v>203</v>
      </c>
      <c r="L6" s="48">
        <v>303</v>
      </c>
      <c r="N6" s="49">
        <f t="shared" si="0"/>
        <v>142</v>
      </c>
      <c r="O6" s="60" t="str">
        <f t="shared" si="1"/>
        <v>Fornecedor 4</v>
      </c>
      <c r="P6" s="49">
        <f t="shared" si="2"/>
        <v>894</v>
      </c>
      <c r="Q6" s="49" t="str">
        <f t="shared" si="3"/>
        <v>Fornecedor 7</v>
      </c>
      <c r="R6" s="49"/>
      <c r="U6" s="50" t="s">
        <v>138</v>
      </c>
    </row>
    <row r="7" spans="1:21" x14ac:dyDescent="0.25">
      <c r="A7" s="46">
        <v>4</v>
      </c>
      <c r="B7" s="47" t="s">
        <v>157</v>
      </c>
      <c r="C7" s="48">
        <v>958</v>
      </c>
      <c r="D7" s="48">
        <v>895</v>
      </c>
      <c r="E7" s="48">
        <v>241</v>
      </c>
      <c r="F7" s="48">
        <v>671</v>
      </c>
      <c r="G7" s="48">
        <v>711</v>
      </c>
      <c r="H7" s="48">
        <v>216</v>
      </c>
      <c r="I7" s="48">
        <v>364</v>
      </c>
      <c r="J7" s="48">
        <v>528</v>
      </c>
      <c r="K7" s="48">
        <v>535</v>
      </c>
      <c r="L7" s="48">
        <v>231</v>
      </c>
      <c r="N7" s="49">
        <f t="shared" si="0"/>
        <v>216</v>
      </c>
      <c r="O7" s="60" t="str">
        <f t="shared" si="1"/>
        <v>Fornecedor 6</v>
      </c>
      <c r="P7" s="49">
        <f t="shared" si="2"/>
        <v>958</v>
      </c>
      <c r="Q7" s="49" t="str">
        <f t="shared" si="3"/>
        <v>Fornecedor 1</v>
      </c>
      <c r="R7" s="49"/>
      <c r="U7" s="50" t="s">
        <v>139</v>
      </c>
    </row>
    <row r="8" spans="1:21" x14ac:dyDescent="0.25">
      <c r="A8" s="46">
        <v>5</v>
      </c>
      <c r="B8" s="47" t="s">
        <v>158</v>
      </c>
      <c r="C8" s="48">
        <v>358</v>
      </c>
      <c r="D8" s="48">
        <v>792</v>
      </c>
      <c r="E8" s="48">
        <v>692</v>
      </c>
      <c r="F8" s="48">
        <v>398</v>
      </c>
      <c r="G8" s="48">
        <v>382</v>
      </c>
      <c r="H8" s="48">
        <v>407</v>
      </c>
      <c r="I8" s="48">
        <v>928</v>
      </c>
      <c r="J8" s="48">
        <v>315</v>
      </c>
      <c r="K8" s="48">
        <v>184</v>
      </c>
      <c r="L8" s="48">
        <v>940</v>
      </c>
      <c r="N8" s="49">
        <f t="shared" si="0"/>
        <v>184</v>
      </c>
      <c r="O8" s="60" t="str">
        <f t="shared" si="1"/>
        <v>Fornecedor 9</v>
      </c>
      <c r="P8" s="49">
        <f t="shared" si="2"/>
        <v>940</v>
      </c>
      <c r="Q8" s="49" t="str">
        <f t="shared" si="3"/>
        <v>Fornecedor 10</v>
      </c>
      <c r="R8" s="49"/>
      <c r="U8" s="50" t="s">
        <v>140</v>
      </c>
    </row>
    <row r="9" spans="1:21" x14ac:dyDescent="0.25">
      <c r="A9" s="46">
        <v>6</v>
      </c>
      <c r="B9" s="47" t="s">
        <v>159</v>
      </c>
      <c r="C9" s="48">
        <v>595</v>
      </c>
      <c r="D9" s="48">
        <v>939</v>
      </c>
      <c r="E9" s="48">
        <v>598</v>
      </c>
      <c r="F9" s="48">
        <v>784</v>
      </c>
      <c r="G9" s="48">
        <v>348</v>
      </c>
      <c r="H9" s="48">
        <v>967</v>
      </c>
      <c r="I9" s="48">
        <v>903</v>
      </c>
      <c r="J9" s="48">
        <v>646</v>
      </c>
      <c r="K9" s="48">
        <v>206</v>
      </c>
      <c r="L9" s="48">
        <v>234</v>
      </c>
      <c r="N9" s="49">
        <f t="shared" si="0"/>
        <v>206</v>
      </c>
      <c r="O9" s="60" t="str">
        <f t="shared" si="1"/>
        <v>Fornecedor 9</v>
      </c>
      <c r="P9" s="49">
        <f t="shared" si="2"/>
        <v>967</v>
      </c>
      <c r="Q9" s="49" t="str">
        <f t="shared" si="3"/>
        <v>Fornecedor 6</v>
      </c>
      <c r="R9" s="49"/>
      <c r="U9" s="50" t="s">
        <v>141</v>
      </c>
    </row>
    <row r="10" spans="1:21" x14ac:dyDescent="0.25">
      <c r="A10" s="46">
        <v>7</v>
      </c>
      <c r="B10" s="47" t="s">
        <v>160</v>
      </c>
      <c r="C10" s="48">
        <v>236</v>
      </c>
      <c r="D10" s="48">
        <v>234</v>
      </c>
      <c r="E10" s="48">
        <v>764</v>
      </c>
      <c r="F10" s="48">
        <v>421</v>
      </c>
      <c r="G10" s="48">
        <v>191</v>
      </c>
      <c r="H10" s="48">
        <v>115</v>
      </c>
      <c r="I10" s="48">
        <v>243</v>
      </c>
      <c r="J10" s="48">
        <v>103</v>
      </c>
      <c r="K10" s="48">
        <v>903</v>
      </c>
      <c r="L10" s="48">
        <v>410</v>
      </c>
      <c r="N10" s="49">
        <f t="shared" si="0"/>
        <v>103</v>
      </c>
      <c r="O10" s="60" t="str">
        <f t="shared" si="1"/>
        <v>Fornecedor 8</v>
      </c>
      <c r="P10" s="49">
        <f t="shared" si="2"/>
        <v>903</v>
      </c>
      <c r="Q10" s="49" t="str">
        <f t="shared" si="3"/>
        <v>Fornecedor 9</v>
      </c>
      <c r="R10" s="49"/>
      <c r="U10" s="50" t="s">
        <v>142</v>
      </c>
    </row>
    <row r="11" spans="1:21" x14ac:dyDescent="0.25">
      <c r="A11" s="46">
        <v>8</v>
      </c>
      <c r="B11" s="47" t="s">
        <v>161</v>
      </c>
      <c r="C11" s="48">
        <v>551</v>
      </c>
      <c r="D11" s="48">
        <v>341</v>
      </c>
      <c r="E11" s="48">
        <v>586</v>
      </c>
      <c r="F11" s="48">
        <v>126</v>
      </c>
      <c r="G11" s="48">
        <v>378</v>
      </c>
      <c r="H11" s="48">
        <v>157</v>
      </c>
      <c r="I11" s="48">
        <v>492</v>
      </c>
      <c r="J11" s="48">
        <v>637</v>
      </c>
      <c r="K11" s="48">
        <v>284</v>
      </c>
      <c r="L11" s="48">
        <v>420</v>
      </c>
      <c r="N11" s="49">
        <f t="shared" si="0"/>
        <v>126</v>
      </c>
      <c r="O11" s="60" t="str">
        <f t="shared" si="1"/>
        <v>Fornecedor 4</v>
      </c>
      <c r="P11" s="49">
        <f t="shared" si="2"/>
        <v>637</v>
      </c>
      <c r="Q11" s="49" t="str">
        <f t="shared" si="3"/>
        <v>Fornecedor 8</v>
      </c>
      <c r="R11" s="49"/>
      <c r="U11" s="50" t="s">
        <v>143</v>
      </c>
    </row>
    <row r="12" spans="1:21" x14ac:dyDescent="0.25">
      <c r="A12" s="46">
        <v>9</v>
      </c>
      <c r="B12" s="47" t="s">
        <v>162</v>
      </c>
      <c r="C12" s="48">
        <v>191</v>
      </c>
      <c r="D12" s="48">
        <v>502</v>
      </c>
      <c r="E12" s="48">
        <v>875</v>
      </c>
      <c r="F12" s="48">
        <v>239</v>
      </c>
      <c r="G12" s="48">
        <v>341</v>
      </c>
      <c r="H12" s="48">
        <v>693</v>
      </c>
      <c r="I12" s="48">
        <v>368</v>
      </c>
      <c r="J12" s="48">
        <v>271</v>
      </c>
      <c r="K12" s="48">
        <v>414</v>
      </c>
      <c r="L12" s="48">
        <v>724</v>
      </c>
      <c r="N12" s="49">
        <f t="shared" si="0"/>
        <v>191</v>
      </c>
      <c r="O12" s="60" t="str">
        <f t="shared" si="1"/>
        <v>Fornecedor 1</v>
      </c>
      <c r="P12" s="49">
        <f t="shared" si="2"/>
        <v>875</v>
      </c>
      <c r="Q12" s="49" t="str">
        <f t="shared" si="3"/>
        <v>Fornecedor 3</v>
      </c>
      <c r="R12" s="49"/>
      <c r="U12" s="50" t="s">
        <v>144</v>
      </c>
    </row>
    <row r="13" spans="1:21" x14ac:dyDescent="0.25">
      <c r="A13" s="46">
        <v>10</v>
      </c>
      <c r="B13" s="47" t="s">
        <v>163</v>
      </c>
      <c r="C13" s="48">
        <v>102</v>
      </c>
      <c r="D13" s="48">
        <v>364</v>
      </c>
      <c r="E13" s="48">
        <v>962</v>
      </c>
      <c r="F13" s="48">
        <v>425</v>
      </c>
      <c r="G13" s="48">
        <v>835</v>
      </c>
      <c r="H13" s="48">
        <v>615</v>
      </c>
      <c r="I13" s="48">
        <v>695</v>
      </c>
      <c r="J13" s="48">
        <v>801</v>
      </c>
      <c r="K13" s="48">
        <v>617</v>
      </c>
      <c r="L13" s="48">
        <v>745</v>
      </c>
      <c r="N13" s="49">
        <f t="shared" si="0"/>
        <v>102</v>
      </c>
      <c r="O13" s="60" t="str">
        <f t="shared" si="1"/>
        <v>Fornecedor 1</v>
      </c>
      <c r="P13" s="49">
        <f t="shared" si="2"/>
        <v>962</v>
      </c>
      <c r="Q13" s="49" t="str">
        <f t="shared" si="3"/>
        <v>Fornecedor 3</v>
      </c>
      <c r="R13" s="49"/>
      <c r="U13" s="50" t="s">
        <v>145</v>
      </c>
    </row>
    <row r="14" spans="1:21" x14ac:dyDescent="0.25">
      <c r="A14" s="46">
        <v>11</v>
      </c>
      <c r="B14" s="47" t="s">
        <v>164</v>
      </c>
      <c r="C14" s="48">
        <v>218</v>
      </c>
      <c r="D14" s="48">
        <v>250</v>
      </c>
      <c r="E14" s="48">
        <v>975</v>
      </c>
      <c r="F14" s="48">
        <v>514</v>
      </c>
      <c r="G14" s="48">
        <v>971</v>
      </c>
      <c r="H14" s="48">
        <v>647</v>
      </c>
      <c r="I14" s="48">
        <v>989</v>
      </c>
      <c r="J14" s="48">
        <v>347</v>
      </c>
      <c r="K14" s="48">
        <v>672</v>
      </c>
      <c r="L14" s="48">
        <v>811</v>
      </c>
      <c r="N14" s="49">
        <f t="shared" si="0"/>
        <v>218</v>
      </c>
      <c r="O14" s="60" t="str">
        <f t="shared" si="1"/>
        <v>Fornecedor 1</v>
      </c>
      <c r="P14" s="49">
        <f t="shared" si="2"/>
        <v>989</v>
      </c>
      <c r="Q14" s="49" t="str">
        <f t="shared" si="3"/>
        <v>Fornecedor 7</v>
      </c>
      <c r="R14" s="49"/>
      <c r="U14" s="50" t="s">
        <v>146</v>
      </c>
    </row>
    <row r="15" spans="1:21" x14ac:dyDescent="0.25">
      <c r="A15" s="46">
        <v>12</v>
      </c>
      <c r="B15" s="47" t="s">
        <v>165</v>
      </c>
      <c r="C15" s="48">
        <v>147</v>
      </c>
      <c r="D15" s="48">
        <v>524</v>
      </c>
      <c r="E15" s="48">
        <v>534</v>
      </c>
      <c r="F15" s="48">
        <v>225</v>
      </c>
      <c r="G15" s="48">
        <v>435</v>
      </c>
      <c r="H15" s="48">
        <v>848</v>
      </c>
      <c r="I15" s="48">
        <v>710</v>
      </c>
      <c r="J15" s="48">
        <v>389</v>
      </c>
      <c r="K15" s="48">
        <v>470</v>
      </c>
      <c r="L15" s="48">
        <v>624</v>
      </c>
      <c r="N15" s="49">
        <f t="shared" si="0"/>
        <v>147</v>
      </c>
      <c r="O15" s="60" t="str">
        <f t="shared" si="1"/>
        <v>Fornecedor 1</v>
      </c>
      <c r="P15" s="49">
        <f t="shared" si="2"/>
        <v>848</v>
      </c>
      <c r="Q15" s="49" t="str">
        <f t="shared" si="3"/>
        <v>Fornecedor 6</v>
      </c>
      <c r="R15" s="49"/>
      <c r="U15" s="50" t="s">
        <v>147</v>
      </c>
    </row>
    <row r="16" spans="1:21" x14ac:dyDescent="0.25">
      <c r="A16" s="46">
        <v>13</v>
      </c>
      <c r="B16" s="47" t="s">
        <v>166</v>
      </c>
      <c r="C16" s="48">
        <v>617</v>
      </c>
      <c r="D16" s="48">
        <v>189</v>
      </c>
      <c r="E16" s="48">
        <v>151</v>
      </c>
      <c r="F16" s="48">
        <v>947</v>
      </c>
      <c r="G16" s="48">
        <v>845</v>
      </c>
      <c r="H16" s="48">
        <v>776</v>
      </c>
      <c r="I16" s="48">
        <v>588</v>
      </c>
      <c r="J16" s="48">
        <v>999</v>
      </c>
      <c r="K16" s="48">
        <v>468</v>
      </c>
      <c r="L16" s="48">
        <v>517</v>
      </c>
      <c r="N16" s="49">
        <f t="shared" si="0"/>
        <v>151</v>
      </c>
      <c r="O16" s="60" t="str">
        <f t="shared" si="1"/>
        <v>Fornecedor 3</v>
      </c>
      <c r="P16" s="49">
        <f t="shared" si="2"/>
        <v>999</v>
      </c>
      <c r="Q16" s="49" t="str">
        <f t="shared" si="3"/>
        <v>Fornecedor 8</v>
      </c>
      <c r="R16" s="49"/>
    </row>
    <row r="17" spans="1:18" x14ac:dyDescent="0.25">
      <c r="A17" s="46">
        <v>14</v>
      </c>
      <c r="B17" s="47" t="s">
        <v>167</v>
      </c>
      <c r="C17" s="48">
        <v>407</v>
      </c>
      <c r="D17" s="48">
        <v>446</v>
      </c>
      <c r="E17" s="48">
        <v>948</v>
      </c>
      <c r="F17" s="48">
        <v>128</v>
      </c>
      <c r="G17" s="48">
        <v>970</v>
      </c>
      <c r="H17" s="48">
        <v>690</v>
      </c>
      <c r="I17" s="48">
        <v>726</v>
      </c>
      <c r="J17" s="48">
        <v>195</v>
      </c>
      <c r="K17" s="48">
        <v>881</v>
      </c>
      <c r="L17" s="48">
        <v>391</v>
      </c>
      <c r="N17" s="49">
        <f t="shared" si="0"/>
        <v>128</v>
      </c>
      <c r="O17" s="60" t="str">
        <f t="shared" si="1"/>
        <v>Fornecedor 4</v>
      </c>
      <c r="P17" s="49">
        <f t="shared" si="2"/>
        <v>970</v>
      </c>
      <c r="Q17" s="49" t="str">
        <f t="shared" si="3"/>
        <v>Fornecedor 5</v>
      </c>
      <c r="R17" s="49"/>
    </row>
    <row r="18" spans="1:18" x14ac:dyDescent="0.25">
      <c r="A18" s="46">
        <v>15</v>
      </c>
      <c r="B18" s="47" t="s">
        <v>168</v>
      </c>
      <c r="C18" s="48">
        <v>268</v>
      </c>
      <c r="D18" s="48">
        <v>382</v>
      </c>
      <c r="E18" s="48">
        <v>840</v>
      </c>
      <c r="F18" s="48">
        <v>813</v>
      </c>
      <c r="G18" s="48">
        <v>590</v>
      </c>
      <c r="H18" s="48">
        <v>388</v>
      </c>
      <c r="I18" s="48">
        <v>798</v>
      </c>
      <c r="J18" s="48">
        <v>203</v>
      </c>
      <c r="K18" s="48">
        <v>595</v>
      </c>
      <c r="L18" s="48">
        <v>829</v>
      </c>
      <c r="N18" s="49">
        <f t="shared" si="0"/>
        <v>203</v>
      </c>
      <c r="O18" s="60" t="str">
        <f t="shared" si="1"/>
        <v>Fornecedor 8</v>
      </c>
      <c r="P18" s="49">
        <f t="shared" si="2"/>
        <v>840</v>
      </c>
      <c r="Q18" s="49" t="str">
        <f t="shared" si="3"/>
        <v>Fornecedor 3</v>
      </c>
      <c r="R18" s="49"/>
    </row>
    <row r="19" spans="1:18" x14ac:dyDescent="0.25">
      <c r="A19" s="46">
        <v>16</v>
      </c>
      <c r="B19" s="47" t="s">
        <v>169</v>
      </c>
      <c r="C19" s="48">
        <v>451</v>
      </c>
      <c r="D19" s="48">
        <v>441</v>
      </c>
      <c r="E19" s="48">
        <v>897</v>
      </c>
      <c r="F19" s="48">
        <v>613</v>
      </c>
      <c r="G19" s="48">
        <v>854</v>
      </c>
      <c r="H19" s="48">
        <v>925</v>
      </c>
      <c r="I19" s="48">
        <v>231</v>
      </c>
      <c r="J19" s="48">
        <v>341</v>
      </c>
      <c r="K19" s="48">
        <v>738</v>
      </c>
      <c r="L19" s="48">
        <v>105</v>
      </c>
      <c r="N19" s="49">
        <f t="shared" si="0"/>
        <v>105</v>
      </c>
      <c r="O19" s="60" t="str">
        <f t="shared" si="1"/>
        <v>Fornecedor 10</v>
      </c>
      <c r="P19" s="49">
        <f t="shared" si="2"/>
        <v>925</v>
      </c>
      <c r="Q19" s="49" t="str">
        <f t="shared" si="3"/>
        <v>Fornecedor 6</v>
      </c>
      <c r="R19" s="49"/>
    </row>
    <row r="20" spans="1:18" x14ac:dyDescent="0.25">
      <c r="A20" s="46">
        <v>17</v>
      </c>
      <c r="B20" s="47" t="s">
        <v>170</v>
      </c>
      <c r="C20" s="48">
        <v>333</v>
      </c>
      <c r="D20" s="48">
        <v>441</v>
      </c>
      <c r="E20" s="48">
        <v>494</v>
      </c>
      <c r="F20" s="48">
        <v>585</v>
      </c>
      <c r="G20" s="48">
        <v>406</v>
      </c>
      <c r="H20" s="48">
        <v>344</v>
      </c>
      <c r="I20" s="48">
        <v>602</v>
      </c>
      <c r="J20" s="48">
        <v>402</v>
      </c>
      <c r="K20" s="48">
        <v>828</v>
      </c>
      <c r="L20" s="48">
        <v>109</v>
      </c>
      <c r="N20" s="49">
        <f t="shared" si="0"/>
        <v>109</v>
      </c>
      <c r="O20" s="60" t="str">
        <f t="shared" si="1"/>
        <v>Fornecedor 10</v>
      </c>
      <c r="P20" s="49">
        <f t="shared" si="2"/>
        <v>828</v>
      </c>
      <c r="Q20" s="49" t="str">
        <f t="shared" si="3"/>
        <v>Fornecedor 9</v>
      </c>
      <c r="R20" s="49"/>
    </row>
    <row r="21" spans="1:18" x14ac:dyDescent="0.25">
      <c r="A21" s="46">
        <v>18</v>
      </c>
      <c r="B21" s="47" t="s">
        <v>171</v>
      </c>
      <c r="C21" s="48">
        <v>807</v>
      </c>
      <c r="D21" s="48">
        <v>925</v>
      </c>
      <c r="E21" s="48">
        <v>700</v>
      </c>
      <c r="F21" s="48">
        <v>667</v>
      </c>
      <c r="G21" s="48">
        <v>507</v>
      </c>
      <c r="H21" s="48">
        <v>442</v>
      </c>
      <c r="I21" s="48">
        <v>105</v>
      </c>
      <c r="J21" s="48">
        <v>518</v>
      </c>
      <c r="K21" s="48">
        <v>963</v>
      </c>
      <c r="L21" s="48">
        <v>126</v>
      </c>
      <c r="N21" s="49">
        <f t="shared" si="0"/>
        <v>105</v>
      </c>
      <c r="O21" s="60" t="str">
        <f t="shared" si="1"/>
        <v>Fornecedor 7</v>
      </c>
      <c r="P21" s="49">
        <f t="shared" si="2"/>
        <v>963</v>
      </c>
      <c r="Q21" s="49" t="str">
        <f t="shared" si="3"/>
        <v>Fornecedor 9</v>
      </c>
      <c r="R21" s="49"/>
    </row>
    <row r="22" spans="1:18" x14ac:dyDescent="0.25">
      <c r="A22" s="46">
        <v>19</v>
      </c>
      <c r="B22" s="47" t="s">
        <v>172</v>
      </c>
      <c r="C22" s="48">
        <v>330</v>
      </c>
      <c r="D22" s="48">
        <v>969</v>
      </c>
      <c r="E22" s="48">
        <v>889</v>
      </c>
      <c r="F22" s="48">
        <v>639</v>
      </c>
      <c r="G22" s="48">
        <v>217</v>
      </c>
      <c r="H22" s="48">
        <v>147</v>
      </c>
      <c r="I22" s="48">
        <v>349</v>
      </c>
      <c r="J22" s="48">
        <v>167</v>
      </c>
      <c r="K22" s="48">
        <v>538</v>
      </c>
      <c r="L22" s="48">
        <v>671</v>
      </c>
      <c r="N22" s="49">
        <f t="shared" si="0"/>
        <v>147</v>
      </c>
      <c r="O22" s="60" t="str">
        <f t="shared" si="1"/>
        <v>Fornecedor 6</v>
      </c>
      <c r="P22" s="49">
        <f t="shared" si="2"/>
        <v>969</v>
      </c>
      <c r="Q22" s="49" t="str">
        <f t="shared" si="3"/>
        <v>Fornecedor 2</v>
      </c>
      <c r="R22" s="49"/>
    </row>
    <row r="23" spans="1:18" x14ac:dyDescent="0.25">
      <c r="A23" s="46">
        <v>20</v>
      </c>
      <c r="B23" s="47" t="s">
        <v>173</v>
      </c>
      <c r="C23" s="48">
        <v>620</v>
      </c>
      <c r="D23" s="48">
        <v>537</v>
      </c>
      <c r="E23" s="48">
        <v>934</v>
      </c>
      <c r="F23" s="48">
        <v>900</v>
      </c>
      <c r="G23" s="48">
        <v>684</v>
      </c>
      <c r="H23" s="48">
        <v>553</v>
      </c>
      <c r="I23" s="48">
        <v>162</v>
      </c>
      <c r="J23" s="48">
        <v>863</v>
      </c>
      <c r="K23" s="48">
        <v>571</v>
      </c>
      <c r="L23" s="48">
        <v>613</v>
      </c>
      <c r="N23" s="49">
        <f t="shared" si="0"/>
        <v>162</v>
      </c>
      <c r="O23" s="60" t="str">
        <f t="shared" si="1"/>
        <v>Fornecedor 7</v>
      </c>
      <c r="P23" s="49">
        <f t="shared" si="2"/>
        <v>934</v>
      </c>
      <c r="Q23" s="49" t="str">
        <f t="shared" si="3"/>
        <v>Fornecedor 3</v>
      </c>
      <c r="R23" s="49"/>
    </row>
    <row r="24" spans="1:18" x14ac:dyDescent="0.25">
      <c r="A24" s="46">
        <v>21</v>
      </c>
      <c r="B24" s="47" t="s">
        <v>174</v>
      </c>
      <c r="C24" s="48">
        <v>691</v>
      </c>
      <c r="D24" s="48">
        <v>394</v>
      </c>
      <c r="E24" s="48">
        <v>134</v>
      </c>
      <c r="F24" s="48">
        <v>693</v>
      </c>
      <c r="G24" s="48">
        <v>848</v>
      </c>
      <c r="H24" s="48">
        <v>474</v>
      </c>
      <c r="I24" s="48">
        <v>231</v>
      </c>
      <c r="J24" s="48">
        <v>881</v>
      </c>
      <c r="K24" s="48">
        <v>629</v>
      </c>
      <c r="L24" s="48">
        <v>997</v>
      </c>
      <c r="N24" s="49">
        <f t="shared" si="0"/>
        <v>134</v>
      </c>
      <c r="O24" s="60" t="str">
        <f t="shared" si="1"/>
        <v>Fornecedor 3</v>
      </c>
      <c r="P24" s="49">
        <f t="shared" si="2"/>
        <v>997</v>
      </c>
      <c r="Q24" s="49" t="str">
        <f t="shared" si="3"/>
        <v>Fornecedor 10</v>
      </c>
      <c r="R24" s="49"/>
    </row>
    <row r="25" spans="1:18" x14ac:dyDescent="0.25">
      <c r="A25" s="46">
        <v>22</v>
      </c>
      <c r="B25" s="47" t="s">
        <v>175</v>
      </c>
      <c r="C25" s="48">
        <v>179</v>
      </c>
      <c r="D25" s="48">
        <v>315</v>
      </c>
      <c r="E25" s="48">
        <v>278</v>
      </c>
      <c r="F25" s="48">
        <v>496</v>
      </c>
      <c r="G25" s="48">
        <v>252</v>
      </c>
      <c r="H25" s="48">
        <v>530</v>
      </c>
      <c r="I25" s="48">
        <v>526</v>
      </c>
      <c r="J25" s="48">
        <v>439</v>
      </c>
      <c r="K25" s="48">
        <v>386</v>
      </c>
      <c r="L25" s="48">
        <v>476</v>
      </c>
      <c r="N25" s="49">
        <f t="shared" si="0"/>
        <v>179</v>
      </c>
      <c r="O25" s="60" t="str">
        <f t="shared" si="1"/>
        <v>Fornecedor 1</v>
      </c>
      <c r="P25" s="49">
        <f t="shared" si="2"/>
        <v>530</v>
      </c>
      <c r="Q25" s="49" t="str">
        <f t="shared" si="3"/>
        <v>Fornecedor 6</v>
      </c>
      <c r="R25" s="49"/>
    </row>
    <row r="26" spans="1:18" x14ac:dyDescent="0.25">
      <c r="A26" s="46">
        <v>23</v>
      </c>
      <c r="B26" s="47" t="s">
        <v>176</v>
      </c>
      <c r="C26" s="48">
        <v>835</v>
      </c>
      <c r="D26" s="48">
        <v>196</v>
      </c>
      <c r="E26" s="48">
        <v>414</v>
      </c>
      <c r="F26" s="48">
        <v>765</v>
      </c>
      <c r="G26" s="48">
        <v>405</v>
      </c>
      <c r="H26" s="48">
        <v>217</v>
      </c>
      <c r="I26" s="48">
        <v>234</v>
      </c>
      <c r="J26" s="48">
        <v>619</v>
      </c>
      <c r="K26" s="48">
        <v>963</v>
      </c>
      <c r="L26" s="48">
        <v>702</v>
      </c>
      <c r="N26" s="49">
        <f t="shared" si="0"/>
        <v>196</v>
      </c>
      <c r="O26" s="60" t="str">
        <f t="shared" si="1"/>
        <v>Fornecedor 2</v>
      </c>
      <c r="P26" s="49">
        <f t="shared" si="2"/>
        <v>963</v>
      </c>
      <c r="Q26" s="49" t="str">
        <f t="shared" si="3"/>
        <v>Fornecedor 9</v>
      </c>
      <c r="R26" s="49"/>
    </row>
    <row r="27" spans="1:18" x14ac:dyDescent="0.25">
      <c r="A27" s="46">
        <v>24</v>
      </c>
      <c r="B27" s="47" t="s">
        <v>177</v>
      </c>
      <c r="C27" s="48">
        <v>604</v>
      </c>
      <c r="D27" s="48">
        <v>790</v>
      </c>
      <c r="E27" s="48">
        <v>977</v>
      </c>
      <c r="F27" s="48">
        <v>385</v>
      </c>
      <c r="G27" s="48">
        <v>809</v>
      </c>
      <c r="H27" s="48">
        <v>931</v>
      </c>
      <c r="I27" s="48">
        <v>701</v>
      </c>
      <c r="J27" s="48">
        <v>475</v>
      </c>
      <c r="K27" s="48">
        <v>670</v>
      </c>
      <c r="L27" s="48">
        <v>577</v>
      </c>
      <c r="N27" s="49">
        <f t="shared" si="0"/>
        <v>385</v>
      </c>
      <c r="O27" s="60" t="str">
        <f t="shared" si="1"/>
        <v>Fornecedor 4</v>
      </c>
      <c r="P27" s="49">
        <f t="shared" si="2"/>
        <v>977</v>
      </c>
      <c r="Q27" s="49" t="str">
        <f t="shared" si="3"/>
        <v>Fornecedor 3</v>
      </c>
      <c r="R27" s="49"/>
    </row>
    <row r="28" spans="1:18" x14ac:dyDescent="0.25">
      <c r="A28" s="46">
        <v>25</v>
      </c>
      <c r="B28" s="47" t="s">
        <v>178</v>
      </c>
      <c r="C28" s="48">
        <v>751</v>
      </c>
      <c r="D28" s="48">
        <v>916</v>
      </c>
      <c r="E28" s="48">
        <v>483</v>
      </c>
      <c r="F28" s="48">
        <v>119</v>
      </c>
      <c r="G28" s="48">
        <v>566</v>
      </c>
      <c r="H28" s="48">
        <v>483</v>
      </c>
      <c r="I28" s="48">
        <v>864</v>
      </c>
      <c r="J28" s="48">
        <v>396</v>
      </c>
      <c r="K28" s="48">
        <v>130</v>
      </c>
      <c r="L28" s="48">
        <v>218</v>
      </c>
      <c r="N28" s="49">
        <f t="shared" si="0"/>
        <v>119</v>
      </c>
      <c r="O28" s="60" t="str">
        <f t="shared" si="1"/>
        <v>Fornecedor 4</v>
      </c>
      <c r="P28" s="49">
        <f t="shared" si="2"/>
        <v>916</v>
      </c>
      <c r="Q28" s="49" t="str">
        <f t="shared" si="3"/>
        <v>Fornecedor 2</v>
      </c>
      <c r="R28" s="49"/>
    </row>
    <row r="29" spans="1:18" x14ac:dyDescent="0.25">
      <c r="A29" s="46">
        <v>26</v>
      </c>
      <c r="B29" s="47" t="s">
        <v>179</v>
      </c>
      <c r="C29" s="48">
        <v>756</v>
      </c>
      <c r="D29" s="48">
        <v>509</v>
      </c>
      <c r="E29" s="48">
        <v>543</v>
      </c>
      <c r="F29" s="48">
        <v>524</v>
      </c>
      <c r="G29" s="48">
        <v>175</v>
      </c>
      <c r="H29" s="48">
        <v>229</v>
      </c>
      <c r="I29" s="48">
        <v>660</v>
      </c>
      <c r="J29" s="48">
        <v>577</v>
      </c>
      <c r="K29" s="48">
        <v>454</v>
      </c>
      <c r="L29" s="48">
        <v>375</v>
      </c>
      <c r="N29" s="49">
        <f t="shared" si="0"/>
        <v>175</v>
      </c>
      <c r="O29" s="60" t="str">
        <f t="shared" si="1"/>
        <v>Fornecedor 5</v>
      </c>
      <c r="P29" s="49">
        <f t="shared" si="2"/>
        <v>756</v>
      </c>
      <c r="Q29" s="49" t="str">
        <f t="shared" si="3"/>
        <v>Fornecedor 1</v>
      </c>
      <c r="R29" s="49"/>
    </row>
    <row r="30" spans="1:18" x14ac:dyDescent="0.25">
      <c r="A30" s="46">
        <v>27</v>
      </c>
      <c r="B30" s="47" t="s">
        <v>180</v>
      </c>
      <c r="C30" s="48">
        <v>460</v>
      </c>
      <c r="D30" s="48">
        <v>734</v>
      </c>
      <c r="E30" s="48">
        <v>548</v>
      </c>
      <c r="F30" s="48">
        <v>109</v>
      </c>
      <c r="G30" s="48">
        <v>523</v>
      </c>
      <c r="H30" s="48">
        <v>997</v>
      </c>
      <c r="I30" s="48">
        <v>324</v>
      </c>
      <c r="J30" s="48">
        <v>965</v>
      </c>
      <c r="K30" s="48">
        <v>714</v>
      </c>
      <c r="L30" s="48">
        <v>588</v>
      </c>
      <c r="N30" s="49">
        <f t="shared" si="0"/>
        <v>109</v>
      </c>
      <c r="O30" s="60" t="str">
        <f t="shared" si="1"/>
        <v>Fornecedor 4</v>
      </c>
      <c r="P30" s="49">
        <f t="shared" si="2"/>
        <v>997</v>
      </c>
      <c r="Q30" s="49" t="str">
        <f t="shared" si="3"/>
        <v>Fornecedor 6</v>
      </c>
      <c r="R30" s="49"/>
    </row>
    <row r="31" spans="1:18" x14ac:dyDescent="0.25">
      <c r="A31" s="46">
        <v>28</v>
      </c>
      <c r="B31" s="47" t="s">
        <v>181</v>
      </c>
      <c r="C31" s="48">
        <v>666</v>
      </c>
      <c r="D31" s="48">
        <v>888</v>
      </c>
      <c r="E31" s="48">
        <v>587</v>
      </c>
      <c r="F31" s="48">
        <v>686</v>
      </c>
      <c r="G31" s="48">
        <v>696</v>
      </c>
      <c r="H31" s="48">
        <v>313</v>
      </c>
      <c r="I31" s="48">
        <v>798</v>
      </c>
      <c r="J31" s="48">
        <v>689</v>
      </c>
      <c r="K31" s="48">
        <v>581</v>
      </c>
      <c r="L31" s="48">
        <v>754</v>
      </c>
      <c r="N31" s="49">
        <f t="shared" si="0"/>
        <v>313</v>
      </c>
      <c r="O31" s="60" t="str">
        <f t="shared" si="1"/>
        <v>Fornecedor 6</v>
      </c>
      <c r="P31" s="49">
        <f t="shared" si="2"/>
        <v>888</v>
      </c>
      <c r="Q31" s="49" t="str">
        <f t="shared" si="3"/>
        <v>Fornecedor 2</v>
      </c>
      <c r="R31" s="49"/>
    </row>
    <row r="32" spans="1:18" x14ac:dyDescent="0.25">
      <c r="A32" s="46">
        <v>29</v>
      </c>
      <c r="B32" s="47" t="s">
        <v>182</v>
      </c>
      <c r="C32" s="48">
        <v>410</v>
      </c>
      <c r="D32" s="48">
        <v>162</v>
      </c>
      <c r="E32" s="48">
        <v>344</v>
      </c>
      <c r="F32" s="48">
        <v>728</v>
      </c>
      <c r="G32" s="48">
        <v>272</v>
      </c>
      <c r="H32" s="48">
        <v>911</v>
      </c>
      <c r="I32" s="48">
        <v>402</v>
      </c>
      <c r="J32" s="48">
        <v>889</v>
      </c>
      <c r="K32" s="48">
        <v>984</v>
      </c>
      <c r="L32" s="48">
        <v>183</v>
      </c>
      <c r="N32" s="49">
        <f t="shared" si="0"/>
        <v>162</v>
      </c>
      <c r="O32" s="60" t="str">
        <f t="shared" si="1"/>
        <v>Fornecedor 2</v>
      </c>
      <c r="P32" s="49">
        <f t="shared" si="2"/>
        <v>984</v>
      </c>
      <c r="Q32" s="49" t="str">
        <f t="shared" si="3"/>
        <v>Fornecedor 9</v>
      </c>
      <c r="R32" s="49"/>
    </row>
    <row r="33" spans="1:18" x14ac:dyDescent="0.25">
      <c r="A33" s="46">
        <v>30</v>
      </c>
      <c r="B33" s="47" t="s">
        <v>183</v>
      </c>
      <c r="C33" s="48">
        <v>318</v>
      </c>
      <c r="D33" s="48">
        <v>210</v>
      </c>
      <c r="E33" s="48">
        <v>752</v>
      </c>
      <c r="F33" s="48">
        <v>818</v>
      </c>
      <c r="G33" s="48">
        <v>682</v>
      </c>
      <c r="H33" s="48">
        <v>979</v>
      </c>
      <c r="I33" s="48">
        <v>202</v>
      </c>
      <c r="J33" s="48">
        <v>267</v>
      </c>
      <c r="K33" s="48">
        <v>850</v>
      </c>
      <c r="L33" s="48">
        <v>676</v>
      </c>
      <c r="N33" s="49">
        <f t="shared" si="0"/>
        <v>202</v>
      </c>
      <c r="O33" s="60" t="str">
        <f t="shared" si="1"/>
        <v>Fornecedor 7</v>
      </c>
      <c r="P33" s="49">
        <f t="shared" si="2"/>
        <v>979</v>
      </c>
      <c r="Q33" s="49" t="str">
        <f t="shared" si="3"/>
        <v>Fornecedor 6</v>
      </c>
      <c r="R33" s="49"/>
    </row>
    <row r="34" spans="1:18" x14ac:dyDescent="0.25">
      <c r="A34" s="46">
        <v>31</v>
      </c>
      <c r="B34" s="47" t="s">
        <v>184</v>
      </c>
      <c r="C34" s="48">
        <v>156</v>
      </c>
      <c r="D34" s="48">
        <v>626</v>
      </c>
      <c r="E34" s="48">
        <v>798</v>
      </c>
      <c r="F34" s="48">
        <v>193</v>
      </c>
      <c r="G34" s="48">
        <v>100</v>
      </c>
      <c r="H34" s="48">
        <v>631</v>
      </c>
      <c r="I34" s="48">
        <v>111</v>
      </c>
      <c r="J34" s="48">
        <v>880</v>
      </c>
      <c r="K34" s="48">
        <v>655</v>
      </c>
      <c r="L34" s="48">
        <v>627</v>
      </c>
      <c r="N34" s="49">
        <f t="shared" si="0"/>
        <v>100</v>
      </c>
      <c r="O34" s="60" t="str">
        <f t="shared" si="1"/>
        <v>Fornecedor 5</v>
      </c>
      <c r="P34" s="49">
        <f t="shared" si="2"/>
        <v>880</v>
      </c>
      <c r="Q34" s="49" t="str">
        <f t="shared" si="3"/>
        <v>Fornecedor 8</v>
      </c>
      <c r="R34" s="49"/>
    </row>
    <row r="35" spans="1:18" x14ac:dyDescent="0.25">
      <c r="A35" s="46">
        <v>32</v>
      </c>
      <c r="B35" s="47" t="s">
        <v>185</v>
      </c>
      <c r="C35" s="48">
        <v>196</v>
      </c>
      <c r="D35" s="48">
        <v>930</v>
      </c>
      <c r="E35" s="48">
        <v>802</v>
      </c>
      <c r="F35" s="48">
        <v>773</v>
      </c>
      <c r="G35" s="48">
        <v>591</v>
      </c>
      <c r="H35" s="48">
        <v>223</v>
      </c>
      <c r="I35" s="48">
        <v>843</v>
      </c>
      <c r="J35" s="48">
        <v>887</v>
      </c>
      <c r="K35" s="48">
        <v>100</v>
      </c>
      <c r="L35" s="48">
        <v>807</v>
      </c>
      <c r="N35" s="49">
        <f t="shared" si="0"/>
        <v>100</v>
      </c>
      <c r="O35" s="60" t="str">
        <f t="shared" si="1"/>
        <v>Fornecedor 9</v>
      </c>
      <c r="P35" s="49">
        <f t="shared" si="2"/>
        <v>930</v>
      </c>
      <c r="Q35" s="49" t="str">
        <f t="shared" si="3"/>
        <v>Fornecedor 2</v>
      </c>
      <c r="R35" s="49"/>
    </row>
    <row r="36" spans="1:18" x14ac:dyDescent="0.25">
      <c r="A36" s="46">
        <v>33</v>
      </c>
      <c r="B36" s="47" t="s">
        <v>186</v>
      </c>
      <c r="C36" s="48">
        <v>894</v>
      </c>
      <c r="D36" s="48">
        <v>611</v>
      </c>
      <c r="E36" s="48">
        <v>594</v>
      </c>
      <c r="F36" s="48">
        <v>102</v>
      </c>
      <c r="G36" s="48">
        <v>725</v>
      </c>
      <c r="H36" s="48">
        <v>855</v>
      </c>
      <c r="I36" s="48">
        <v>412</v>
      </c>
      <c r="J36" s="48">
        <v>746</v>
      </c>
      <c r="K36" s="48">
        <v>720</v>
      </c>
      <c r="L36" s="48">
        <v>109</v>
      </c>
      <c r="N36" s="49">
        <f t="shared" si="0"/>
        <v>102</v>
      </c>
      <c r="O36" s="60" t="str">
        <f t="shared" si="1"/>
        <v>Fornecedor 4</v>
      </c>
      <c r="P36" s="49">
        <f t="shared" si="2"/>
        <v>894</v>
      </c>
      <c r="Q36" s="49" t="str">
        <f t="shared" si="3"/>
        <v>Fornecedor 1</v>
      </c>
      <c r="R36" s="49"/>
    </row>
    <row r="37" spans="1:18" x14ac:dyDescent="0.25">
      <c r="A37" s="46">
        <v>34</v>
      </c>
      <c r="B37" s="47" t="s">
        <v>187</v>
      </c>
      <c r="C37" s="48">
        <v>159</v>
      </c>
      <c r="D37" s="48">
        <v>135</v>
      </c>
      <c r="E37" s="48">
        <v>461</v>
      </c>
      <c r="F37" s="48">
        <v>336</v>
      </c>
      <c r="G37" s="48">
        <v>241</v>
      </c>
      <c r="H37" s="48">
        <v>750</v>
      </c>
      <c r="I37" s="48">
        <v>812</v>
      </c>
      <c r="J37" s="48">
        <v>318</v>
      </c>
      <c r="K37" s="48">
        <v>118</v>
      </c>
      <c r="L37" s="48">
        <v>542</v>
      </c>
      <c r="N37" s="49">
        <f t="shared" si="0"/>
        <v>118</v>
      </c>
      <c r="O37" s="60" t="str">
        <f t="shared" si="1"/>
        <v>Fornecedor 9</v>
      </c>
      <c r="P37" s="49">
        <f t="shared" si="2"/>
        <v>812</v>
      </c>
      <c r="Q37" s="49" t="str">
        <f t="shared" si="3"/>
        <v>Fornecedor 7</v>
      </c>
      <c r="R37" s="49"/>
    </row>
    <row r="38" spans="1:18" x14ac:dyDescent="0.25">
      <c r="A38" s="46">
        <v>35</v>
      </c>
      <c r="B38" s="47" t="s">
        <v>188</v>
      </c>
      <c r="C38" s="48">
        <v>154</v>
      </c>
      <c r="D38" s="48">
        <v>570</v>
      </c>
      <c r="E38" s="48">
        <v>976</v>
      </c>
      <c r="F38" s="48">
        <v>709</v>
      </c>
      <c r="G38" s="48">
        <v>930</v>
      </c>
      <c r="H38" s="48">
        <v>281</v>
      </c>
      <c r="I38" s="48">
        <v>578</v>
      </c>
      <c r="J38" s="48">
        <v>612</v>
      </c>
      <c r="K38" s="48">
        <v>911</v>
      </c>
      <c r="L38" s="48">
        <v>104</v>
      </c>
      <c r="N38" s="49">
        <f t="shared" si="0"/>
        <v>104</v>
      </c>
      <c r="O38" s="60" t="str">
        <f t="shared" si="1"/>
        <v>Fornecedor 10</v>
      </c>
      <c r="P38" s="49">
        <f t="shared" si="2"/>
        <v>976</v>
      </c>
      <c r="Q38" s="49" t="str">
        <f t="shared" si="3"/>
        <v>Fornecedor 3</v>
      </c>
      <c r="R38" s="49"/>
    </row>
    <row r="39" spans="1:18" x14ac:dyDescent="0.25">
      <c r="A39" s="46">
        <v>36</v>
      </c>
      <c r="B39" s="47" t="s">
        <v>189</v>
      </c>
      <c r="C39" s="48">
        <v>802</v>
      </c>
      <c r="D39" s="48">
        <v>729</v>
      </c>
      <c r="E39" s="48">
        <v>392</v>
      </c>
      <c r="F39" s="48">
        <v>673</v>
      </c>
      <c r="G39" s="48">
        <v>120</v>
      </c>
      <c r="H39" s="48">
        <v>624</v>
      </c>
      <c r="I39" s="48">
        <v>473</v>
      </c>
      <c r="J39" s="48">
        <v>758</v>
      </c>
      <c r="K39" s="48">
        <v>155</v>
      </c>
      <c r="L39" s="48">
        <v>715</v>
      </c>
      <c r="N39" s="49">
        <f t="shared" si="0"/>
        <v>120</v>
      </c>
      <c r="O39" s="60" t="str">
        <f t="shared" si="1"/>
        <v>Fornecedor 5</v>
      </c>
      <c r="P39" s="49">
        <f t="shared" si="2"/>
        <v>802</v>
      </c>
      <c r="Q39" s="49" t="str">
        <f t="shared" si="3"/>
        <v>Fornecedor 1</v>
      </c>
      <c r="R39" s="49"/>
    </row>
    <row r="40" spans="1:18" x14ac:dyDescent="0.25">
      <c r="A40" s="46">
        <v>37</v>
      </c>
      <c r="B40" s="47" t="s">
        <v>190</v>
      </c>
      <c r="C40" s="48">
        <v>876</v>
      </c>
      <c r="D40" s="48">
        <v>907</v>
      </c>
      <c r="E40" s="48">
        <v>794</v>
      </c>
      <c r="F40" s="48">
        <v>933</v>
      </c>
      <c r="G40" s="48">
        <v>239</v>
      </c>
      <c r="H40" s="48">
        <v>747</v>
      </c>
      <c r="I40" s="48">
        <v>105</v>
      </c>
      <c r="J40" s="48">
        <v>589</v>
      </c>
      <c r="K40" s="48">
        <v>702</v>
      </c>
      <c r="L40" s="48">
        <v>895</v>
      </c>
      <c r="N40" s="49">
        <f t="shared" si="0"/>
        <v>105</v>
      </c>
      <c r="O40" s="60" t="str">
        <f t="shared" si="1"/>
        <v>Fornecedor 7</v>
      </c>
      <c r="P40" s="49">
        <f t="shared" si="2"/>
        <v>933</v>
      </c>
      <c r="Q40" s="49" t="str">
        <f t="shared" si="3"/>
        <v>Fornecedor 4</v>
      </c>
      <c r="R40" s="49"/>
    </row>
    <row r="41" spans="1:18" x14ac:dyDescent="0.25">
      <c r="A41" s="46">
        <v>38</v>
      </c>
      <c r="B41" s="47" t="s">
        <v>191</v>
      </c>
      <c r="C41" s="48">
        <v>691</v>
      </c>
      <c r="D41" s="48">
        <v>198</v>
      </c>
      <c r="E41" s="48">
        <v>556</v>
      </c>
      <c r="F41" s="48">
        <v>866</v>
      </c>
      <c r="G41" s="48">
        <v>312</v>
      </c>
      <c r="H41" s="48">
        <v>205</v>
      </c>
      <c r="I41" s="48">
        <v>455</v>
      </c>
      <c r="J41" s="48">
        <v>305</v>
      </c>
      <c r="K41" s="48">
        <v>517</v>
      </c>
      <c r="L41" s="48">
        <v>735</v>
      </c>
      <c r="N41" s="49">
        <f t="shared" si="0"/>
        <v>198</v>
      </c>
      <c r="O41" s="60" t="str">
        <f t="shared" si="1"/>
        <v>Fornecedor 2</v>
      </c>
      <c r="P41" s="49">
        <f t="shared" si="2"/>
        <v>866</v>
      </c>
      <c r="Q41" s="49" t="str">
        <f t="shared" si="3"/>
        <v>Fornecedor 4</v>
      </c>
      <c r="R41" s="49"/>
    </row>
    <row r="42" spans="1:18" x14ac:dyDescent="0.25">
      <c r="A42" s="46">
        <v>39</v>
      </c>
      <c r="B42" s="47" t="s">
        <v>192</v>
      </c>
      <c r="C42" s="48">
        <v>972</v>
      </c>
      <c r="D42" s="48">
        <v>736</v>
      </c>
      <c r="E42" s="48">
        <v>191</v>
      </c>
      <c r="F42" s="48">
        <v>569</v>
      </c>
      <c r="G42" s="48">
        <v>895</v>
      </c>
      <c r="H42" s="48">
        <v>933</v>
      </c>
      <c r="I42" s="48">
        <v>287</v>
      </c>
      <c r="J42" s="48">
        <v>216</v>
      </c>
      <c r="K42" s="48">
        <v>404</v>
      </c>
      <c r="L42" s="48">
        <v>144</v>
      </c>
      <c r="N42" s="49">
        <f t="shared" si="0"/>
        <v>144</v>
      </c>
      <c r="O42" s="60" t="str">
        <f t="shared" si="1"/>
        <v>Fornecedor 10</v>
      </c>
      <c r="P42" s="49">
        <f t="shared" si="2"/>
        <v>972</v>
      </c>
      <c r="Q42" s="49" t="str">
        <f t="shared" si="3"/>
        <v>Fornecedor 1</v>
      </c>
      <c r="R42" s="49"/>
    </row>
    <row r="43" spans="1:18" x14ac:dyDescent="0.25">
      <c r="A43" s="46">
        <v>40</v>
      </c>
      <c r="B43" s="47" t="s">
        <v>193</v>
      </c>
      <c r="C43" s="48">
        <v>882</v>
      </c>
      <c r="D43" s="48">
        <v>876</v>
      </c>
      <c r="E43" s="48">
        <v>768</v>
      </c>
      <c r="F43" s="48">
        <v>807</v>
      </c>
      <c r="G43" s="48">
        <v>872</v>
      </c>
      <c r="H43" s="48">
        <v>190</v>
      </c>
      <c r="I43" s="48">
        <v>498</v>
      </c>
      <c r="J43" s="48">
        <v>337</v>
      </c>
      <c r="K43" s="48">
        <v>343</v>
      </c>
      <c r="L43" s="48">
        <v>215</v>
      </c>
      <c r="N43" s="49">
        <f t="shared" si="0"/>
        <v>190</v>
      </c>
      <c r="O43" s="60" t="str">
        <f t="shared" si="1"/>
        <v>Fornecedor 6</v>
      </c>
      <c r="P43" s="49">
        <f t="shared" si="2"/>
        <v>882</v>
      </c>
      <c r="Q43" s="49" t="str">
        <f t="shared" si="3"/>
        <v>Fornecedor 1</v>
      </c>
      <c r="R43" s="49"/>
    </row>
    <row r="44" spans="1:18" x14ac:dyDescent="0.25">
      <c r="A44" s="46">
        <v>41</v>
      </c>
      <c r="B44" s="47" t="s">
        <v>194</v>
      </c>
      <c r="C44" s="48">
        <v>468</v>
      </c>
      <c r="D44" s="48">
        <v>977</v>
      </c>
      <c r="E44" s="48">
        <v>583</v>
      </c>
      <c r="F44" s="48">
        <v>117</v>
      </c>
      <c r="G44" s="48">
        <v>834</v>
      </c>
      <c r="H44" s="48">
        <v>537</v>
      </c>
      <c r="I44" s="48">
        <v>760</v>
      </c>
      <c r="J44" s="48">
        <v>533</v>
      </c>
      <c r="K44" s="48">
        <v>486</v>
      </c>
      <c r="L44" s="48">
        <v>406</v>
      </c>
      <c r="N44" s="49">
        <f t="shared" si="0"/>
        <v>117</v>
      </c>
      <c r="O44" s="60" t="str">
        <f t="shared" si="1"/>
        <v>Fornecedor 4</v>
      </c>
      <c r="P44" s="49">
        <f t="shared" si="2"/>
        <v>977</v>
      </c>
      <c r="Q44" s="49" t="str">
        <f t="shared" si="3"/>
        <v>Fornecedor 2</v>
      </c>
      <c r="R44" s="49"/>
    </row>
    <row r="45" spans="1:18" x14ac:dyDescent="0.25">
      <c r="A45" s="46">
        <v>42</v>
      </c>
      <c r="B45" s="47" t="s">
        <v>195</v>
      </c>
      <c r="C45" s="48">
        <v>262</v>
      </c>
      <c r="D45" s="48">
        <v>814</v>
      </c>
      <c r="E45" s="48">
        <v>538</v>
      </c>
      <c r="F45" s="48">
        <v>582</v>
      </c>
      <c r="G45" s="48">
        <v>915</v>
      </c>
      <c r="H45" s="48">
        <v>373</v>
      </c>
      <c r="I45" s="48">
        <v>938</v>
      </c>
      <c r="J45" s="48">
        <v>935</v>
      </c>
      <c r="K45" s="48">
        <v>557</v>
      </c>
      <c r="L45" s="48">
        <v>373</v>
      </c>
      <c r="N45" s="49">
        <f t="shared" si="0"/>
        <v>262</v>
      </c>
      <c r="O45" s="60" t="str">
        <f t="shared" si="1"/>
        <v>Fornecedor 1</v>
      </c>
      <c r="P45" s="49">
        <f t="shared" si="2"/>
        <v>938</v>
      </c>
      <c r="Q45" s="49" t="str">
        <f t="shared" si="3"/>
        <v>Fornecedor 7</v>
      </c>
      <c r="R45" s="49"/>
    </row>
    <row r="46" spans="1:18" x14ac:dyDescent="0.25">
      <c r="A46" s="46">
        <v>43</v>
      </c>
      <c r="B46" s="47" t="s">
        <v>196</v>
      </c>
      <c r="C46" s="48">
        <v>885</v>
      </c>
      <c r="D46" s="48">
        <v>614</v>
      </c>
      <c r="E46" s="48">
        <v>953</v>
      </c>
      <c r="F46" s="48">
        <v>239</v>
      </c>
      <c r="G46" s="48">
        <v>946</v>
      </c>
      <c r="H46" s="48">
        <v>228</v>
      </c>
      <c r="I46" s="48">
        <v>559</v>
      </c>
      <c r="J46" s="48">
        <v>584</v>
      </c>
      <c r="K46" s="48">
        <v>744</v>
      </c>
      <c r="L46" s="48">
        <v>996</v>
      </c>
      <c r="N46" s="49">
        <f t="shared" si="0"/>
        <v>228</v>
      </c>
      <c r="O46" s="60" t="str">
        <f t="shared" si="1"/>
        <v>Fornecedor 6</v>
      </c>
      <c r="P46" s="49">
        <f t="shared" si="2"/>
        <v>996</v>
      </c>
      <c r="Q46" s="49" t="str">
        <f t="shared" si="3"/>
        <v>Fornecedor 10</v>
      </c>
      <c r="R46" s="49"/>
    </row>
    <row r="47" spans="1:18" x14ac:dyDescent="0.25">
      <c r="A47" s="46">
        <v>44</v>
      </c>
      <c r="B47" s="47" t="s">
        <v>197</v>
      </c>
      <c r="C47" s="48">
        <v>662</v>
      </c>
      <c r="D47" s="48">
        <v>321</v>
      </c>
      <c r="E47" s="48">
        <v>617</v>
      </c>
      <c r="F47" s="48">
        <v>991</v>
      </c>
      <c r="G47" s="48">
        <v>872</v>
      </c>
      <c r="H47" s="48">
        <v>945</v>
      </c>
      <c r="I47" s="48">
        <v>849</v>
      </c>
      <c r="J47" s="48">
        <v>577</v>
      </c>
      <c r="K47" s="48">
        <v>404</v>
      </c>
      <c r="L47" s="48">
        <v>432</v>
      </c>
      <c r="N47" s="49">
        <f t="shared" si="0"/>
        <v>321</v>
      </c>
      <c r="O47" s="60" t="str">
        <f t="shared" si="1"/>
        <v>Fornecedor 2</v>
      </c>
      <c r="P47" s="49">
        <f t="shared" si="2"/>
        <v>991</v>
      </c>
      <c r="Q47" s="49" t="str">
        <f t="shared" si="3"/>
        <v>Fornecedor 4</v>
      </c>
      <c r="R47" s="49"/>
    </row>
    <row r="48" spans="1:18" x14ac:dyDescent="0.25">
      <c r="A48" s="46">
        <v>45</v>
      </c>
      <c r="B48" s="47" t="s">
        <v>198</v>
      </c>
      <c r="C48" s="48">
        <v>200</v>
      </c>
      <c r="D48" s="48">
        <v>285</v>
      </c>
      <c r="E48" s="48">
        <v>259</v>
      </c>
      <c r="F48" s="48">
        <v>122</v>
      </c>
      <c r="G48" s="48">
        <v>831</v>
      </c>
      <c r="H48" s="48">
        <v>354</v>
      </c>
      <c r="I48" s="48">
        <v>245</v>
      </c>
      <c r="J48" s="48">
        <v>939</v>
      </c>
      <c r="K48" s="48">
        <v>706</v>
      </c>
      <c r="L48" s="48">
        <v>362</v>
      </c>
      <c r="N48" s="49">
        <f t="shared" si="0"/>
        <v>122</v>
      </c>
      <c r="O48" s="60" t="str">
        <f t="shared" si="1"/>
        <v>Fornecedor 4</v>
      </c>
      <c r="P48" s="49">
        <f t="shared" si="2"/>
        <v>939</v>
      </c>
      <c r="Q48" s="49" t="str">
        <f t="shared" si="3"/>
        <v>Fornecedor 8</v>
      </c>
      <c r="R48" s="49"/>
    </row>
    <row r="49" spans="1:18" x14ac:dyDescent="0.25">
      <c r="A49" s="46">
        <v>46</v>
      </c>
      <c r="B49" s="47" t="s">
        <v>199</v>
      </c>
      <c r="C49" s="48">
        <v>608</v>
      </c>
      <c r="D49" s="48">
        <v>142</v>
      </c>
      <c r="E49" s="48">
        <v>807</v>
      </c>
      <c r="F49" s="48">
        <v>353</v>
      </c>
      <c r="G49" s="48">
        <v>308</v>
      </c>
      <c r="H49" s="48">
        <v>653</v>
      </c>
      <c r="I49" s="48">
        <v>772</v>
      </c>
      <c r="J49" s="48">
        <v>840</v>
      </c>
      <c r="K49" s="48">
        <v>109</v>
      </c>
      <c r="L49" s="48">
        <v>144</v>
      </c>
      <c r="N49" s="49">
        <f t="shared" si="0"/>
        <v>109</v>
      </c>
      <c r="O49" s="60" t="str">
        <f t="shared" si="1"/>
        <v>Fornecedor 9</v>
      </c>
      <c r="P49" s="49">
        <f t="shared" si="2"/>
        <v>840</v>
      </c>
      <c r="Q49" s="49" t="str">
        <f t="shared" si="3"/>
        <v>Fornecedor 8</v>
      </c>
      <c r="R49" s="49"/>
    </row>
    <row r="50" spans="1:18" x14ac:dyDescent="0.25">
      <c r="A50" s="46">
        <v>47</v>
      </c>
      <c r="B50" s="47" t="s">
        <v>200</v>
      </c>
      <c r="C50" s="48">
        <v>951</v>
      </c>
      <c r="D50" s="48">
        <v>351</v>
      </c>
      <c r="E50" s="48">
        <v>376</v>
      </c>
      <c r="F50" s="48">
        <v>786</v>
      </c>
      <c r="G50" s="48">
        <v>212</v>
      </c>
      <c r="H50" s="48">
        <v>781</v>
      </c>
      <c r="I50" s="48">
        <v>708</v>
      </c>
      <c r="J50" s="48">
        <v>775</v>
      </c>
      <c r="K50" s="48">
        <v>492</v>
      </c>
      <c r="L50" s="48">
        <v>761</v>
      </c>
      <c r="N50" s="49">
        <f t="shared" si="0"/>
        <v>212</v>
      </c>
      <c r="O50" s="60" t="str">
        <f t="shared" si="1"/>
        <v>Fornecedor 5</v>
      </c>
      <c r="P50" s="49">
        <f t="shared" si="2"/>
        <v>951</v>
      </c>
      <c r="Q50" s="49" t="str">
        <f t="shared" si="3"/>
        <v>Fornecedor 1</v>
      </c>
      <c r="R50" s="49"/>
    </row>
    <row r="51" spans="1:18" x14ac:dyDescent="0.25">
      <c r="A51" s="46">
        <v>48</v>
      </c>
      <c r="B51" s="47" t="s">
        <v>201</v>
      </c>
      <c r="C51" s="48">
        <v>567</v>
      </c>
      <c r="D51" s="48">
        <v>268</v>
      </c>
      <c r="E51" s="48">
        <v>993</v>
      </c>
      <c r="F51" s="48">
        <v>862</v>
      </c>
      <c r="G51" s="48">
        <v>559</v>
      </c>
      <c r="H51" s="48">
        <v>971</v>
      </c>
      <c r="I51" s="48">
        <v>211</v>
      </c>
      <c r="J51" s="48">
        <v>952</v>
      </c>
      <c r="K51" s="48">
        <v>428</v>
      </c>
      <c r="L51" s="48">
        <v>576</v>
      </c>
      <c r="N51" s="49">
        <f t="shared" si="0"/>
        <v>211</v>
      </c>
      <c r="O51" s="60" t="str">
        <f t="shared" si="1"/>
        <v>Fornecedor 7</v>
      </c>
      <c r="P51" s="49">
        <f t="shared" si="2"/>
        <v>993</v>
      </c>
      <c r="Q51" s="49" t="str">
        <f t="shared" si="3"/>
        <v>Fornecedor 3</v>
      </c>
      <c r="R51" s="49"/>
    </row>
    <row r="52" spans="1:18" x14ac:dyDescent="0.25">
      <c r="A52" s="46">
        <v>49</v>
      </c>
      <c r="B52" s="47" t="s">
        <v>202</v>
      </c>
      <c r="C52" s="48">
        <v>153</v>
      </c>
      <c r="D52" s="48">
        <v>196</v>
      </c>
      <c r="E52" s="48">
        <v>450</v>
      </c>
      <c r="F52" s="48">
        <v>740</v>
      </c>
      <c r="G52" s="48">
        <v>726</v>
      </c>
      <c r="H52" s="48">
        <v>722</v>
      </c>
      <c r="I52" s="48">
        <v>629</v>
      </c>
      <c r="J52" s="48">
        <v>279</v>
      </c>
      <c r="K52" s="48">
        <v>917</v>
      </c>
      <c r="L52" s="48">
        <v>272</v>
      </c>
      <c r="N52" s="49">
        <f t="shared" si="0"/>
        <v>153</v>
      </c>
      <c r="O52" s="60" t="str">
        <f t="shared" si="1"/>
        <v>Fornecedor 1</v>
      </c>
      <c r="P52" s="49">
        <f t="shared" si="2"/>
        <v>917</v>
      </c>
      <c r="Q52" s="49" t="str">
        <f t="shared" si="3"/>
        <v>Fornecedor 9</v>
      </c>
      <c r="R52" s="49"/>
    </row>
    <row r="53" spans="1:18" x14ac:dyDescent="0.25">
      <c r="A53" s="46">
        <v>50</v>
      </c>
      <c r="B53" s="47" t="s">
        <v>203</v>
      </c>
      <c r="C53" s="48">
        <v>718</v>
      </c>
      <c r="D53" s="48">
        <v>294</v>
      </c>
      <c r="E53" s="48">
        <v>127</v>
      </c>
      <c r="F53" s="48">
        <v>331</v>
      </c>
      <c r="G53" s="48">
        <v>242</v>
      </c>
      <c r="H53" s="48">
        <v>574</v>
      </c>
      <c r="I53" s="48">
        <v>210</v>
      </c>
      <c r="J53" s="48">
        <v>993</v>
      </c>
      <c r="K53" s="48">
        <v>146</v>
      </c>
      <c r="L53" s="48">
        <v>800</v>
      </c>
      <c r="N53" s="49">
        <f t="shared" si="0"/>
        <v>127</v>
      </c>
      <c r="O53" s="60" t="str">
        <f t="shared" si="1"/>
        <v>Fornecedor 3</v>
      </c>
      <c r="P53" s="49">
        <f t="shared" si="2"/>
        <v>993</v>
      </c>
      <c r="Q53" s="49" t="str">
        <f t="shared" si="3"/>
        <v>Fornecedor 8</v>
      </c>
      <c r="R53" s="49"/>
    </row>
  </sheetData>
  <mergeCells count="1">
    <mergeCell ref="C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E47A7064-BEBF-40E7-B000-15BE483776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357E64-E0CA-4279-AEA6-8B8502B94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75C77-A5DC-4CD2-95A6-4235E17FCD21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Comparar1</vt:lpstr>
      <vt:lpstr>Ex1</vt:lpstr>
      <vt:lpstr>Ex2</vt:lpstr>
      <vt:lpstr>Ex3</vt:lpstr>
      <vt:lpstr>AnáliseDados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MANOEL BARATA</cp:lastModifiedBy>
  <dcterms:created xsi:type="dcterms:W3CDTF">2021-12-20T09:14:28Z</dcterms:created>
  <dcterms:modified xsi:type="dcterms:W3CDTF">2025-07-11T14:10:39Z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