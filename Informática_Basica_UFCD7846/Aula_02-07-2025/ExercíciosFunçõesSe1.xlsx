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anoel\Programação_Disciplinas_IEFP\Informática_Basica_UFCD7846\Aula_02-07-2025\"/>
    </mc:Choice>
  </mc:AlternateContent>
  <xr:revisionPtr revIDLastSave="0" documentId="13_ncr:1_{64CD7E55-1446-412A-970E-ABFC24D3B8C8}" xr6:coauthVersionLast="47" xr6:coauthVersionMax="47" xr10:uidLastSave="{00000000-0000-0000-0000-000000000000}"/>
  <bookViews>
    <workbookView xWindow="-120" yWindow="-120" windowWidth="20730" windowHeight="11160" tabRatio="732" activeTab="4" xr2:uid="{00000000-000D-0000-FFFF-FFFF00000000}"/>
  </bookViews>
  <sheets>
    <sheet name="ExIF" sheetId="6" r:id="rId1"/>
    <sheet name="ExIF2" sheetId="3" r:id="rId2"/>
    <sheet name="ExIfs" sheetId="10" r:id="rId3"/>
    <sheet name="ExIFS2" sheetId="11" r:id="rId4"/>
    <sheet name="ExIfs3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2" l="1"/>
  <c r="H8" i="12"/>
  <c r="H9" i="12"/>
  <c r="H10" i="12"/>
  <c r="H11" i="12"/>
  <c r="H6" i="12"/>
  <c r="G7" i="12"/>
  <c r="G8" i="12"/>
  <c r="G9" i="12"/>
  <c r="G10" i="12"/>
  <c r="G11" i="12"/>
  <c r="G6" i="12"/>
  <c r="F7" i="12"/>
  <c r="F8" i="12"/>
  <c r="F9" i="12"/>
  <c r="F10" i="12"/>
  <c r="F11" i="12"/>
  <c r="F6" i="12"/>
  <c r="E7" i="12" a="1"/>
  <c r="E7" i="12"/>
  <c r="E8" i="12" a="1"/>
  <c r="E8" i="12"/>
  <c r="E9" i="12" a="1"/>
  <c r="E9" i="12"/>
  <c r="E10" i="12" a="1"/>
  <c r="E10" i="12"/>
  <c r="E11" i="12" a="1"/>
  <c r="E11" i="12"/>
  <c r="E6" i="12" a="1"/>
  <c r="E6" i="12" s="1"/>
  <c r="D7" i="12"/>
  <c r="D8" i="12"/>
  <c r="D9" i="12"/>
  <c r="D10" i="12"/>
  <c r="D11" i="12"/>
  <c r="D6" i="12"/>
  <c r="D11" i="11" a="1"/>
  <c r="D11" i="11" s="1"/>
  <c r="D12" i="11" a="1"/>
  <c r="D12" i="11"/>
  <c r="D13" i="11" a="1"/>
  <c r="D13" i="11" s="1"/>
  <c r="D14" i="11" a="1"/>
  <c r="D14" i="11"/>
  <c r="D15" i="11" a="1"/>
  <c r="D15" i="11" s="1"/>
  <c r="D16" i="11" a="1"/>
  <c r="D16" i="11"/>
  <c r="D17" i="11" a="1"/>
  <c r="D17" i="11" s="1"/>
  <c r="D18" i="11" a="1"/>
  <c r="D18" i="11"/>
  <c r="D19" i="11" a="1"/>
  <c r="D19" i="11" s="1"/>
  <c r="D10" i="11" a="1"/>
  <c r="D10" i="11" s="1"/>
  <c r="C5" i="10" a="1"/>
  <c r="C5" i="10" s="1"/>
  <c r="C6" i="10" a="1"/>
  <c r="C6" i="10" s="1"/>
  <c r="C7" i="10" a="1"/>
  <c r="C7" i="10"/>
  <c r="C8" i="10" a="1"/>
  <c r="C8" i="10"/>
  <c r="C9" i="10" a="1"/>
  <c r="C9" i="10"/>
  <c r="C10" i="10" a="1"/>
  <c r="C10" i="10"/>
  <c r="C11" i="10" a="1"/>
  <c r="C11" i="10"/>
  <c r="C12" i="10" a="1"/>
  <c r="C12" i="10"/>
  <c r="C13" i="10" a="1"/>
  <c r="C13" i="10"/>
  <c r="C4" i="10" a="1"/>
  <c r="C4" i="10" s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<sst xmlns="http://schemas.openxmlformats.org/spreadsheetml/2006/main" count="161" uniqueCount="120">
  <si>
    <t>Preço Total</t>
  </si>
  <si>
    <t xml:space="preserve">Instruções: </t>
  </si>
  <si>
    <t>Modelo</t>
  </si>
  <si>
    <t>Tamanho</t>
  </si>
  <si>
    <t>Código</t>
  </si>
  <si>
    <t>Marca</t>
  </si>
  <si>
    <t>Cor</t>
  </si>
  <si>
    <t>Valor Par</t>
  </si>
  <si>
    <t>Qtde</t>
  </si>
  <si>
    <t>Valor Total Compra</t>
  </si>
  <si>
    <t>Mês</t>
  </si>
  <si>
    <t>Promoção</t>
  </si>
  <si>
    <t>A5</t>
  </si>
  <si>
    <t>Azaléia</t>
  </si>
  <si>
    <t>Branca</t>
  </si>
  <si>
    <t>Janeiro</t>
  </si>
  <si>
    <t>1- Código = Concatenar Modelo e Tamanho</t>
  </si>
  <si>
    <t>A6</t>
  </si>
  <si>
    <t>Azul</t>
  </si>
  <si>
    <t>A7</t>
  </si>
  <si>
    <t>Preta</t>
  </si>
  <si>
    <t>B8</t>
  </si>
  <si>
    <t>Bibi</t>
  </si>
  <si>
    <t>Rosa</t>
  </si>
  <si>
    <t>Fevereiro</t>
  </si>
  <si>
    <t>então:</t>
  </si>
  <si>
    <t>B9</t>
  </si>
  <si>
    <t>senão:</t>
  </si>
  <si>
    <t>Preço Normal</t>
  </si>
  <si>
    <t>B10</t>
  </si>
  <si>
    <t>C14</t>
  </si>
  <si>
    <t>Dakota</t>
  </si>
  <si>
    <t>Março</t>
  </si>
  <si>
    <t>C15</t>
  </si>
  <si>
    <t>Marrom</t>
  </si>
  <si>
    <t>Abril</t>
  </si>
  <si>
    <t>C16</t>
  </si>
  <si>
    <t>Beje</t>
  </si>
  <si>
    <t>D20</t>
  </si>
  <si>
    <t>Via Marte</t>
  </si>
  <si>
    <t>Vemelha</t>
  </si>
  <si>
    <t>Maio</t>
  </si>
  <si>
    <t>D21</t>
  </si>
  <si>
    <t>Verde</t>
  </si>
  <si>
    <t>D22</t>
  </si>
  <si>
    <t>Beira Rio</t>
  </si>
  <si>
    <t>D23</t>
  </si>
  <si>
    <t>E23</t>
  </si>
  <si>
    <t>Amarela</t>
  </si>
  <si>
    <t>E24</t>
  </si>
  <si>
    <t>E25</t>
  </si>
  <si>
    <t>E26</t>
  </si>
  <si>
    <t>Julho</t>
  </si>
  <si>
    <t>F45</t>
  </si>
  <si>
    <t>Picadilly</t>
  </si>
  <si>
    <t>Junho</t>
  </si>
  <si>
    <t>F46</t>
  </si>
  <si>
    <t>F47</t>
  </si>
  <si>
    <t>1. Use a função IF com os critérios, para determinar os Top10 para valores maiores de 1650000, e Top20 para os demais.</t>
  </si>
  <si>
    <t>Posição</t>
  </si>
  <si>
    <t>Países</t>
  </si>
  <si>
    <t>Valores</t>
  </si>
  <si>
    <t>Classificação</t>
  </si>
  <si>
    <t> Estados Unidos</t>
  </si>
  <si>
    <t> China</t>
  </si>
  <si>
    <t> Japão</t>
  </si>
  <si>
    <t> Índia</t>
  </si>
  <si>
    <t> Alemanha</t>
  </si>
  <si>
    <t> Rússia</t>
  </si>
  <si>
    <t> Reino Unido</t>
  </si>
  <si>
    <t> Brasil</t>
  </si>
  <si>
    <t> França</t>
  </si>
  <si>
    <t> Itália</t>
  </si>
  <si>
    <t> México</t>
  </si>
  <si>
    <t> Coreia do Sul</t>
  </si>
  <si>
    <t> Espanha</t>
  </si>
  <si>
    <t> Canadá</t>
  </si>
  <si>
    <t> Indonésia</t>
  </si>
  <si>
    <t> Turquia</t>
  </si>
  <si>
    <t> Austrália</t>
  </si>
  <si>
    <t> Taiwan</t>
  </si>
  <si>
    <t> Irão</t>
  </si>
  <si>
    <t> Polónia</t>
  </si>
  <si>
    <t>2- Na promoção: Se o Mês fôr Janeiro:</t>
  </si>
  <si>
    <t>PAUTA DE EXAME</t>
  </si>
  <si>
    <t>NOME DO ALUNO</t>
  </si>
  <si>
    <t>CLASSIF. FINAL</t>
  </si>
  <si>
    <t>ANA PINTO</t>
  </si>
  <si>
    <t>ANTÓNIO GOMES</t>
  </si>
  <si>
    <t>BEATRIZ SILVA</t>
  </si>
  <si>
    <t>JOSÉ PAIVA</t>
  </si>
  <si>
    <t>PAULA FREITAS</t>
  </si>
  <si>
    <t>PEDRO  GÓIS</t>
  </si>
  <si>
    <t>RUI COSTA</t>
  </si>
  <si>
    <t>JOSÉ CASTILHO</t>
  </si>
  <si>
    <t>RITA SEABRA</t>
  </si>
  <si>
    <t>CARLOS SOUSA</t>
  </si>
  <si>
    <t>Enunciado:</t>
  </si>
  <si>
    <t>Dada a tabela de salários dos funcionários de uma empresa. Apresentar a classificação salarial.</t>
  </si>
  <si>
    <t>Salário Líquido</t>
  </si>
  <si>
    <t>Mensagem</t>
  </si>
  <si>
    <t>Menor do que €380,00</t>
  </si>
  <si>
    <t>Mal remunerado</t>
  </si>
  <si>
    <t>Maior que €380,00</t>
  </si>
  <si>
    <t>Normal</t>
  </si>
  <si>
    <t>Maior que €760,00</t>
  </si>
  <si>
    <t>Bem Remunerado</t>
  </si>
  <si>
    <t>Gestão de um Parque de Estacionamento</t>
  </si>
  <si>
    <t>Nº do Lugar</t>
  </si>
  <si>
    <t>Data de Entrada</t>
  </si>
  <si>
    <t>Data de Saida</t>
  </si>
  <si>
    <t>Nº de Dias</t>
  </si>
  <si>
    <t>Preço Dia</t>
  </si>
  <si>
    <t>Valor do IVA</t>
  </si>
  <si>
    <t>A Pagar</t>
  </si>
  <si>
    <t>Nota:</t>
  </si>
  <si>
    <t>Se o estacionamento fôr menor que 5 dias, paga 50 € por dia</t>
  </si>
  <si>
    <t>Se fôr maior do que 20 dias, paga 100 €, caso contrário paga 80 €</t>
  </si>
  <si>
    <t>Taxa IVA</t>
  </si>
  <si>
    <t>OBSERVAÇÃO  - Se encadeado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</si>
</sst>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_-* #,##0.00\ [$€-816]_-;\-* #,##0.00\ [$€-816]_-;_-* &quot;-&quot;??\ [$€-816]_-;_-@_-"/>
    <numFmt numFmtId="168" formatCode="0.0"/>
    <numFmt numFmtId="169" formatCode="_(&quot;R$ &quot;* #,##0.00_);_(&quot;R$ &quot;* \(#,##0.00\);_(&quot;R$ &quot;* \-??_);_(@_)"/>
    <numFmt numFmtId="170" formatCode="_(* #,##0.00_);_(* \(#,##0.00\);_(* \-??_);_(@_)"/>
    <numFmt numFmtId="171" formatCode="mmm\-yy"/>
    <numFmt numFmtId="172" formatCode="&quot;R$ 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0"/>
      <name val="Helv"/>
    </font>
    <font>
      <sz val="10"/>
      <name val="Arial"/>
      <family val="2"/>
    </font>
    <font>
      <sz val="18"/>
      <color indexed="18"/>
      <name val="Times New Roman"/>
      <family val="1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1"/>
      <color theme="3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6" tint="0.40000610370189521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31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5"/>
        <bgColor indexed="60"/>
      </patternFill>
    </fill>
    <fill>
      <patternFill patternType="solid">
        <fgColor indexed="26"/>
        <bgColor indexed="43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49"/>
        <bgColor indexed="40"/>
      </patternFill>
    </fill>
    <fill>
      <patternFill patternType="solid">
        <fgColor indexed="27"/>
        <bgColor indexed="42"/>
      </patternFill>
    </fill>
    <fill>
      <patternFill patternType="solid">
        <fgColor indexed="52"/>
        <bgColor indexed="51"/>
      </patternFill>
    </fill>
    <fill>
      <patternFill patternType="solid">
        <fgColor indexed="47"/>
        <bgColor indexed="41"/>
      </patternFill>
    </fill>
    <fill>
      <patternFill patternType="solid">
        <fgColor indexed="12"/>
        <bgColor indexed="39"/>
      </patternFill>
    </fill>
    <fill>
      <patternFill patternType="solid">
        <fgColor indexed="45"/>
        <bgColor indexed="61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5"/>
      </patternFill>
    </fill>
    <fill>
      <patternFill patternType="solid">
        <fgColor indexed="41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29"/>
        <bgColor indexed="61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double">
        <color indexed="17"/>
      </left>
      <right style="double">
        <color indexed="17"/>
      </right>
      <top style="double">
        <color indexed="17"/>
      </top>
      <bottom style="double">
        <color indexed="17"/>
      </bottom>
      <diagonal/>
    </border>
    <border>
      <left style="double">
        <color indexed="17"/>
      </left>
      <right style="double">
        <color indexed="17"/>
      </right>
      <top style="double">
        <color indexed="17"/>
      </top>
      <bottom/>
      <diagonal/>
    </border>
    <border>
      <left style="double">
        <color indexed="17"/>
      </left>
      <right/>
      <top style="double">
        <color indexed="17"/>
      </top>
      <bottom style="double">
        <color indexed="17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68" fontId="5" fillId="2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15" borderId="0" applyNumberFormat="0" applyBorder="0" applyAlignment="0" applyProtection="0"/>
    <xf numFmtId="0" fontId="9" fillId="9" borderId="0" applyNumberFormat="0" applyBorder="0" applyAlignment="0" applyProtection="0"/>
    <xf numFmtId="0" fontId="9" fillId="16" borderId="0" applyNumberFormat="0" applyBorder="0" applyAlignment="0" applyProtection="0"/>
    <xf numFmtId="0" fontId="8" fillId="16" borderId="0" applyNumberFormat="0" applyBorder="0" applyAlignment="0" applyProtection="0"/>
    <xf numFmtId="0" fontId="3" fillId="17" borderId="3" applyNumberFormat="0" applyProtection="0"/>
    <xf numFmtId="0" fontId="10" fillId="18" borderId="0" applyNumberFormat="0" applyBorder="0" applyAlignment="0" applyProtection="0"/>
    <xf numFmtId="0" fontId="11" fillId="19" borderId="4" applyNumberFormat="0" applyAlignment="0" applyProtection="0"/>
    <xf numFmtId="0" fontId="12" fillId="11" borderId="5" applyNumberFormat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16" borderId="4" applyNumberFormat="0" applyAlignment="0" applyProtection="0"/>
    <xf numFmtId="0" fontId="19" fillId="0" borderId="6" applyNumberFormat="0" applyFill="0" applyAlignment="0" applyProtection="0"/>
    <xf numFmtId="169" fontId="3" fillId="0" borderId="0" applyFill="0" applyBorder="0" applyAlignment="0" applyProtection="0"/>
    <xf numFmtId="0" fontId="20" fillId="23" borderId="0" applyNumberFormat="0" applyBorder="0" applyAlignment="0" applyProtection="0"/>
    <xf numFmtId="0" fontId="3" fillId="9" borderId="10" applyNumberFormat="0" applyAlignment="0" applyProtection="0"/>
    <xf numFmtId="0" fontId="21" fillId="19" borderId="11" applyNumberFormat="0" applyAlignment="0" applyProtection="0"/>
    <xf numFmtId="0" fontId="3" fillId="24" borderId="3" applyNumberFormat="0" applyProtection="0"/>
    <xf numFmtId="170" fontId="3" fillId="0" borderId="0" applyFill="0" applyBorder="0" applyAlignment="0" applyProtection="0"/>
    <xf numFmtId="0" fontId="22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31" fillId="0" borderId="0"/>
    <xf numFmtId="0" fontId="3" fillId="0" borderId="0"/>
    <xf numFmtId="0" fontId="32" fillId="0" borderId="0"/>
    <xf numFmtId="0" fontId="3" fillId="0" borderId="0"/>
    <xf numFmtId="9" fontId="3" fillId="0" borderId="0" applyFont="0" applyFill="0" applyBorder="0" applyAlignment="0" applyProtection="0"/>
    <xf numFmtId="0" fontId="33" fillId="0" borderId="0"/>
    <xf numFmtId="165" fontId="3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2" fillId="0" borderId="0" xfId="0" applyFont="1"/>
    <xf numFmtId="0" fontId="25" fillId="0" borderId="13" xfId="5" applyFont="1" applyBorder="1"/>
    <xf numFmtId="0" fontId="25" fillId="0" borderId="13" xfId="5" applyFont="1" applyBorder="1" applyAlignment="1">
      <alignment horizontal="left"/>
    </xf>
    <xf numFmtId="0" fontId="25" fillId="0" borderId="13" xfId="5" applyFont="1" applyBorder="1" applyAlignment="1">
      <alignment horizontal="center"/>
    </xf>
    <xf numFmtId="0" fontId="26" fillId="0" borderId="13" xfId="5" applyFont="1" applyBorder="1" applyAlignment="1">
      <alignment horizontal="center" vertical="center" textRotation="90"/>
    </xf>
    <xf numFmtId="0" fontId="26" fillId="0" borderId="13" xfId="5" applyFont="1" applyBorder="1" applyAlignment="1">
      <alignment horizontal="center" vertical="center" textRotation="90" wrapText="1"/>
    </xf>
    <xf numFmtId="0" fontId="26" fillId="0" borderId="14" xfId="5" applyFont="1" applyBorder="1" applyAlignment="1">
      <alignment horizontal="center" vertical="center" textRotation="90"/>
    </xf>
    <xf numFmtId="167" fontId="25" fillId="0" borderId="13" xfId="5" applyNumberFormat="1" applyFont="1" applyBorder="1"/>
    <xf numFmtId="0" fontId="25" fillId="0" borderId="13" xfId="5" applyFont="1" applyBorder="1" applyAlignment="1">
      <alignment horizontal="center" vertical="center"/>
    </xf>
    <xf numFmtId="171" fontId="25" fillId="0" borderId="15" xfId="5" applyNumberFormat="1" applyFont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24" fillId="3" borderId="13" xfId="5" applyFont="1" applyFill="1" applyBorder="1" applyAlignment="1">
      <alignment horizontal="center"/>
    </xf>
    <xf numFmtId="0" fontId="26" fillId="0" borderId="1" xfId="5" applyFont="1" applyBorder="1" applyAlignment="1">
      <alignment horizontal="center"/>
    </xf>
    <xf numFmtId="0" fontId="28" fillId="3" borderId="16" xfId="0" applyFont="1" applyFill="1" applyBorder="1" applyAlignment="1">
      <alignment horizontal="center" vertical="center" wrapText="1"/>
    </xf>
    <xf numFmtId="0" fontId="28" fillId="3" borderId="1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8" fillId="3" borderId="1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167" fontId="29" fillId="3" borderId="20" xfId="1" applyNumberFormat="1" applyFont="1" applyFill="1" applyBorder="1" applyAlignment="1">
      <alignment vertical="center" wrapText="1"/>
    </xf>
    <xf numFmtId="167" fontId="30" fillId="3" borderId="21" xfId="1" applyNumberFormat="1" applyFont="1" applyFill="1" applyBorder="1"/>
    <xf numFmtId="167" fontId="29" fillId="3" borderId="21" xfId="1" applyNumberFormat="1" applyFont="1" applyFill="1" applyBorder="1" applyAlignment="1">
      <alignment vertical="center" wrapText="1"/>
    </xf>
    <xf numFmtId="167" fontId="29" fillId="3" borderId="22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5" fillId="0" borderId="0" xfId="0" applyFont="1"/>
    <xf numFmtId="0" fontId="36" fillId="0" borderId="0" xfId="0" applyFont="1"/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" fillId="0" borderId="24" xfId="0" applyFont="1" applyBorder="1" applyAlignment="1">
      <alignment horizontal="center" vertical="center" wrapText="1"/>
    </xf>
    <xf numFmtId="0" fontId="4" fillId="26" borderId="25" xfId="0" applyFont="1" applyFill="1" applyBorder="1" applyAlignment="1">
      <alignment horizontal="center" vertical="center" wrapText="1"/>
    </xf>
    <xf numFmtId="172" fontId="3" fillId="0" borderId="24" xfId="0" applyNumberFormat="1" applyFont="1" applyBorder="1" applyAlignment="1">
      <alignment horizontal="center" wrapText="1"/>
    </xf>
    <xf numFmtId="165" fontId="3" fillId="0" borderId="25" xfId="62" applyFont="1" applyBorder="1" applyAlignment="1">
      <alignment horizontal="center" wrapText="1"/>
    </xf>
    <xf numFmtId="0" fontId="3" fillId="0" borderId="25" xfId="0" applyFont="1" applyBorder="1" applyAlignment="1">
      <alignment horizontal="center" vertical="top" wrapText="1"/>
    </xf>
    <xf numFmtId="0" fontId="39" fillId="0" borderId="0" xfId="0" applyFont="1"/>
    <xf numFmtId="0" fontId="39" fillId="0" borderId="0" xfId="0" applyFont="1" applyAlignment="1">
      <alignment wrapText="1"/>
    </xf>
    <xf numFmtId="0" fontId="37" fillId="27" borderId="1" xfId="0" applyFont="1" applyFill="1" applyBorder="1" applyAlignment="1">
      <alignment horizontal="center" wrapText="1"/>
    </xf>
    <xf numFmtId="0" fontId="37" fillId="27" borderId="1" xfId="0" applyFont="1" applyFill="1" applyBorder="1" applyAlignment="1">
      <alignment horizontal="center"/>
    </xf>
    <xf numFmtId="0" fontId="36" fillId="0" borderId="1" xfId="0" applyFont="1" applyBorder="1"/>
    <xf numFmtId="14" fontId="36" fillId="0" borderId="1" xfId="0" applyNumberFormat="1" applyFont="1" applyBorder="1"/>
    <xf numFmtId="0" fontId="36" fillId="0" borderId="1" xfId="0" applyFont="1" applyBorder="1" applyAlignment="1">
      <alignment horizontal="center"/>
    </xf>
    <xf numFmtId="164" fontId="36" fillId="0" borderId="1" xfId="0" applyNumberFormat="1" applyFont="1" applyBorder="1" applyAlignment="1">
      <alignment horizontal="right"/>
    </xf>
    <xf numFmtId="164" fontId="36" fillId="0" borderId="1" xfId="0" applyNumberFormat="1" applyFont="1" applyBorder="1"/>
    <xf numFmtId="0" fontId="37" fillId="0" borderId="0" xfId="0" applyFont="1"/>
    <xf numFmtId="0" fontId="37" fillId="0" borderId="1" xfId="0" applyFont="1" applyBorder="1" applyAlignment="1">
      <alignment horizontal="center"/>
    </xf>
    <xf numFmtId="9" fontId="36" fillId="0" borderId="1" xfId="0" applyNumberFormat="1" applyFont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 vertical="center" wrapText="1"/>
    </xf>
    <xf numFmtId="0" fontId="34" fillId="25" borderId="0" xfId="0" applyFont="1" applyFill="1" applyAlignment="1">
      <alignment horizontal="center" wrapText="1"/>
    </xf>
    <xf numFmtId="0" fontId="37" fillId="0" borderId="0" xfId="0" applyFont="1" applyAlignment="1">
      <alignment horizontal="right"/>
    </xf>
    <xf numFmtId="0" fontId="37" fillId="0" borderId="23" xfId="0" applyFont="1" applyBorder="1" applyAlignment="1">
      <alignment horizontal="right"/>
    </xf>
    <xf numFmtId="0" fontId="37" fillId="0" borderId="0" xfId="0" applyFont="1" applyAlignment="1">
      <alignment wrapText="1"/>
    </xf>
    <xf numFmtId="0" fontId="36" fillId="0" borderId="0" xfId="0" applyFont="1"/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8" fillId="25" borderId="0" xfId="0" applyFont="1" applyFill="1" applyAlignment="1">
      <alignment horizontal="center"/>
    </xf>
  </cellXfs>
  <cellStyles count="63">
    <cellStyle name="Accent1 - 20%" xfId="9" xr:uid="{00000000-0005-0000-0000-000000000000}"/>
    <cellStyle name="Accent1 - 40%" xfId="10" xr:uid="{00000000-0005-0000-0000-000001000000}"/>
    <cellStyle name="Accent1 - 60%" xfId="11" xr:uid="{00000000-0005-0000-0000-000002000000}"/>
    <cellStyle name="Accent1 2" xfId="8" xr:uid="{00000000-0005-0000-0000-000003000000}"/>
    <cellStyle name="Accent2 - 20%" xfId="13" xr:uid="{00000000-0005-0000-0000-000004000000}"/>
    <cellStyle name="Accent2 - 40%" xfId="14" xr:uid="{00000000-0005-0000-0000-000005000000}"/>
    <cellStyle name="Accent2 - 60%" xfId="15" xr:uid="{00000000-0005-0000-0000-000006000000}"/>
    <cellStyle name="Accent2 2" xfId="12" xr:uid="{00000000-0005-0000-0000-000007000000}"/>
    <cellStyle name="Accent3 - 20%" xfId="17" xr:uid="{00000000-0005-0000-0000-000008000000}"/>
    <cellStyle name="Accent3 - 40%" xfId="18" xr:uid="{00000000-0005-0000-0000-000009000000}"/>
    <cellStyle name="Accent3 - 60%" xfId="19" xr:uid="{00000000-0005-0000-0000-00000A000000}"/>
    <cellStyle name="Accent3 2" xfId="16" xr:uid="{00000000-0005-0000-0000-00000B000000}"/>
    <cellStyle name="Accent4 - 20%" xfId="21" xr:uid="{00000000-0005-0000-0000-00000C000000}"/>
    <cellStyle name="Accent4 - 40%" xfId="22" xr:uid="{00000000-0005-0000-0000-00000D000000}"/>
    <cellStyle name="Accent4 - 60%" xfId="23" xr:uid="{00000000-0005-0000-0000-00000E000000}"/>
    <cellStyle name="Accent4 2" xfId="20" xr:uid="{00000000-0005-0000-0000-00000F000000}"/>
    <cellStyle name="Accent5 - 20%" xfId="25" xr:uid="{00000000-0005-0000-0000-000010000000}"/>
    <cellStyle name="Accent5 - 40%" xfId="26" xr:uid="{00000000-0005-0000-0000-000011000000}"/>
    <cellStyle name="Accent5 - 60%" xfId="27" xr:uid="{00000000-0005-0000-0000-000012000000}"/>
    <cellStyle name="Accent5 2" xfId="24" xr:uid="{00000000-0005-0000-0000-000013000000}"/>
    <cellStyle name="Accent6 - 20%" xfId="29" xr:uid="{00000000-0005-0000-0000-000014000000}"/>
    <cellStyle name="Accent6 - 40%" xfId="30" xr:uid="{00000000-0005-0000-0000-000015000000}"/>
    <cellStyle name="Accent6 - 60%" xfId="31" xr:uid="{00000000-0005-0000-0000-000016000000}"/>
    <cellStyle name="Accent6 2" xfId="28" xr:uid="{00000000-0005-0000-0000-000017000000}"/>
    <cellStyle name="Agricultura" xfId="2" xr:uid="{00000000-0005-0000-0000-000018000000}"/>
    <cellStyle name="Aprovado" xfId="32" xr:uid="{00000000-0005-0000-0000-000019000000}"/>
    <cellStyle name="Bad 2" xfId="33" xr:uid="{00000000-0005-0000-0000-00001A000000}"/>
    <cellStyle name="Calculation 2" xfId="34" xr:uid="{00000000-0005-0000-0000-00001B000000}"/>
    <cellStyle name="Check Cell 2" xfId="35" xr:uid="{00000000-0005-0000-0000-00001C000000}"/>
    <cellStyle name="College" xfId="55" xr:uid="{00000000-0005-0000-0000-00001D000000}"/>
    <cellStyle name="Comma 2" xfId="51" xr:uid="{00000000-0005-0000-0000-00001E000000}"/>
    <cellStyle name="Currency 2" xfId="46" xr:uid="{00000000-0005-0000-0000-00001F000000}"/>
    <cellStyle name="Currency 3" xfId="62" xr:uid="{2C22039D-3391-42D6-B0FD-E756FEEF545F}"/>
    <cellStyle name="Emphasis 1" xfId="36" xr:uid="{00000000-0005-0000-0000-000020000000}"/>
    <cellStyle name="Emphasis 2" xfId="37" xr:uid="{00000000-0005-0000-0000-000021000000}"/>
    <cellStyle name="Emphasis 3" xfId="38" xr:uid="{00000000-0005-0000-0000-000022000000}"/>
    <cellStyle name="Euro" xfId="3" xr:uid="{00000000-0005-0000-0000-000023000000}"/>
    <cellStyle name="Good 2" xfId="39" xr:uid="{00000000-0005-0000-0000-000024000000}"/>
    <cellStyle name="Heading 1 2" xfId="40" xr:uid="{00000000-0005-0000-0000-000025000000}"/>
    <cellStyle name="Heading 2 2" xfId="41" xr:uid="{00000000-0005-0000-0000-000026000000}"/>
    <cellStyle name="Heading 3 2" xfId="42" xr:uid="{00000000-0005-0000-0000-000027000000}"/>
    <cellStyle name="Heading 4 2" xfId="43" xr:uid="{00000000-0005-0000-0000-000028000000}"/>
    <cellStyle name="Input 2" xfId="44" xr:uid="{00000000-0005-0000-0000-000029000000}"/>
    <cellStyle name="Linked Cell 2" xfId="45" xr:uid="{00000000-0005-0000-0000-00002A000000}"/>
    <cellStyle name="Moeda 2" xfId="4" xr:uid="{00000000-0005-0000-0000-00002C000000}"/>
    <cellStyle name="Neutral 2" xfId="47" xr:uid="{00000000-0005-0000-0000-00002D000000}"/>
    <cellStyle name="Normal" xfId="0" builtinId="0"/>
    <cellStyle name="Normal 2" xfId="5" xr:uid="{00000000-0005-0000-0000-00002F000000}"/>
    <cellStyle name="Normal 2 2" xfId="57" xr:uid="{00000000-0005-0000-0000-000030000000}"/>
    <cellStyle name="Normal 2 3" xfId="56" xr:uid="{00000000-0005-0000-0000-000031000000}"/>
    <cellStyle name="Normal 3" xfId="58" xr:uid="{00000000-0005-0000-0000-000032000000}"/>
    <cellStyle name="Normal 4" xfId="59" xr:uid="{00000000-0005-0000-0000-000033000000}"/>
    <cellStyle name="Normal 5" xfId="61" xr:uid="{00000000-0005-0000-0000-000034000000}"/>
    <cellStyle name="Note 2" xfId="48" xr:uid="{00000000-0005-0000-0000-000035000000}"/>
    <cellStyle name="Output 2" xfId="49" xr:uid="{00000000-0005-0000-0000-000036000000}"/>
    <cellStyle name="Percent 2" xfId="60" xr:uid="{00000000-0005-0000-0000-000037000000}"/>
    <cellStyle name="Percentagem" xfId="1" builtinId="5"/>
    <cellStyle name="Percentagem 2" xfId="6" xr:uid="{00000000-0005-0000-0000-000039000000}"/>
    <cellStyle name="Reprovado" xfId="50" xr:uid="{00000000-0005-0000-0000-00003A000000}"/>
    <cellStyle name="Sheet Title" xfId="52" xr:uid="{00000000-0005-0000-0000-00003B000000}"/>
    <cellStyle name="Total 2" xfId="53" xr:uid="{00000000-0005-0000-0000-00003C000000}"/>
    <cellStyle name="Vírgula 2" xfId="7" xr:uid="{00000000-0005-0000-0000-00003D000000}"/>
    <cellStyle name="Warning Text 2" xfId="54" xr:uid="{00000000-0005-0000-0000-00003E000000}"/>
  </cellStyles>
  <dxfs count="1">
    <dxf>
      <fill>
        <patternFill patternType="gray125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66675</xdr:rowOff>
    </xdr:from>
    <xdr:to>
      <xdr:col>1</xdr:col>
      <xdr:colOff>209550</xdr:colOff>
      <xdr:row>2</xdr:row>
      <xdr:rowOff>171450</xdr:rowOff>
    </xdr:to>
    <xdr:pic>
      <xdr:nvPicPr>
        <xdr:cNvPr id="2" name="Imagem 61" descr="http://upload.wikimedia.org/wikipedia/commons/thumb/a/a4/Flag_of_the_United_States.svg/20px-Flag_of_the_United_States.svg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5238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3</xdr:row>
      <xdr:rowOff>66675</xdr:rowOff>
    </xdr:from>
    <xdr:to>
      <xdr:col>1</xdr:col>
      <xdr:colOff>209550</xdr:colOff>
      <xdr:row>4</xdr:row>
      <xdr:rowOff>0</xdr:rowOff>
    </xdr:to>
    <xdr:pic>
      <xdr:nvPicPr>
        <xdr:cNvPr id="3" name="Imagem 62" descr="http://upload.wikimedia.org/wikipedia/commons/thumb/f/fa/Flag_of_the_People%27s_Republic_of_China.svg/20px-Flag_of_the_People%27s_Republic_of_China.svg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714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4</xdr:row>
      <xdr:rowOff>66675</xdr:rowOff>
    </xdr:from>
    <xdr:to>
      <xdr:col>1</xdr:col>
      <xdr:colOff>209550</xdr:colOff>
      <xdr:row>5</xdr:row>
      <xdr:rowOff>0</xdr:rowOff>
    </xdr:to>
    <xdr:pic>
      <xdr:nvPicPr>
        <xdr:cNvPr id="4" name="Imagem 63" descr="http://upload.wikimedia.org/wikipedia/commons/thumb/9/9e/Flag_of_Japan.svg/20px-Flag_of_Japan.svg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9048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5</xdr:row>
      <xdr:rowOff>66675</xdr:rowOff>
    </xdr:from>
    <xdr:to>
      <xdr:col>1</xdr:col>
      <xdr:colOff>209550</xdr:colOff>
      <xdr:row>6</xdr:row>
      <xdr:rowOff>0</xdr:rowOff>
    </xdr:to>
    <xdr:pic>
      <xdr:nvPicPr>
        <xdr:cNvPr id="5" name="Imagem 64" descr="http://upload.wikimedia.org/wikipedia/commons/thumb/4/41/Flag_of_India.svg/20px-Flag_of_India.svg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095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</xdr:row>
      <xdr:rowOff>66675</xdr:rowOff>
    </xdr:from>
    <xdr:to>
      <xdr:col>1</xdr:col>
      <xdr:colOff>209550</xdr:colOff>
      <xdr:row>6</xdr:row>
      <xdr:rowOff>180975</xdr:rowOff>
    </xdr:to>
    <xdr:pic>
      <xdr:nvPicPr>
        <xdr:cNvPr id="6" name="Imagem 65" descr="http://upload.wikimedia.org/wikipedia/commons/thumb/b/ba/Flag_of_Germany.svg/20px-Flag_of_Germany.svg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85875"/>
          <a:ext cx="1905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7</xdr:row>
      <xdr:rowOff>66675</xdr:rowOff>
    </xdr:from>
    <xdr:to>
      <xdr:col>1</xdr:col>
      <xdr:colOff>209550</xdr:colOff>
      <xdr:row>8</xdr:row>
      <xdr:rowOff>0</xdr:rowOff>
    </xdr:to>
    <xdr:pic>
      <xdr:nvPicPr>
        <xdr:cNvPr id="7" name="Imagem 66" descr="http://upload.wikimedia.org/wikipedia/commons/thumb/f/f3/Flag_of_Russia.svg/20px-Flag_of_Russia.svg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476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8</xdr:row>
      <xdr:rowOff>66675</xdr:rowOff>
    </xdr:from>
    <xdr:to>
      <xdr:col>1</xdr:col>
      <xdr:colOff>209550</xdr:colOff>
      <xdr:row>8</xdr:row>
      <xdr:rowOff>161925</xdr:rowOff>
    </xdr:to>
    <xdr:pic>
      <xdr:nvPicPr>
        <xdr:cNvPr id="8" name="Imagem 67" descr="http://upload.wikimedia.org/wikipedia/commons/thumb/a/ae/Flag_of_the_United_Kingdom.svg/20px-Flag_of_the_United_Kingdom.svg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6668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9</xdr:row>
      <xdr:rowOff>66675</xdr:rowOff>
    </xdr:from>
    <xdr:to>
      <xdr:col>1</xdr:col>
      <xdr:colOff>209550</xdr:colOff>
      <xdr:row>10</xdr:row>
      <xdr:rowOff>9525</xdr:rowOff>
    </xdr:to>
    <xdr:pic>
      <xdr:nvPicPr>
        <xdr:cNvPr id="9" name="Imagem 68" descr="http://upload.wikimedia.org/wikipedia/commons/thumb/0/05/Flag_of_Brazil.svg/20px-Flag_of_Brazil.svg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857375"/>
          <a:ext cx="1905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10</xdr:row>
      <xdr:rowOff>66675</xdr:rowOff>
    </xdr:from>
    <xdr:to>
      <xdr:col>1</xdr:col>
      <xdr:colOff>209550</xdr:colOff>
      <xdr:row>11</xdr:row>
      <xdr:rowOff>0</xdr:rowOff>
    </xdr:to>
    <xdr:pic>
      <xdr:nvPicPr>
        <xdr:cNvPr id="10" name="Imagem 69" descr="http://upload.wikimedia.org/wikipedia/commons/thumb/c/c3/Flag_of_France.svg/20px-Flag_of_France.svg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0478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11</xdr:row>
      <xdr:rowOff>66675</xdr:rowOff>
    </xdr:from>
    <xdr:to>
      <xdr:col>1</xdr:col>
      <xdr:colOff>209550</xdr:colOff>
      <xdr:row>12</xdr:row>
      <xdr:rowOff>0</xdr:rowOff>
    </xdr:to>
    <xdr:pic>
      <xdr:nvPicPr>
        <xdr:cNvPr id="11" name="Imagem 70" descr="http://upload.wikimedia.org/wikipedia/commons/thumb/0/03/Flag_of_Italy.svg/20px-Flag_of_Italy.svg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238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12</xdr:row>
      <xdr:rowOff>66675</xdr:rowOff>
    </xdr:from>
    <xdr:to>
      <xdr:col>1</xdr:col>
      <xdr:colOff>209550</xdr:colOff>
      <xdr:row>12</xdr:row>
      <xdr:rowOff>171450</xdr:rowOff>
    </xdr:to>
    <xdr:pic>
      <xdr:nvPicPr>
        <xdr:cNvPr id="12" name="Imagem 71" descr="http://upload.wikimedia.org/wikipedia/commons/thumb/f/fc/Flag_of_Mexico.svg/20px-Flag_of_Mexico.svg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4288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13</xdr:row>
      <xdr:rowOff>66675</xdr:rowOff>
    </xdr:from>
    <xdr:to>
      <xdr:col>1</xdr:col>
      <xdr:colOff>209550</xdr:colOff>
      <xdr:row>14</xdr:row>
      <xdr:rowOff>0</xdr:rowOff>
    </xdr:to>
    <xdr:pic>
      <xdr:nvPicPr>
        <xdr:cNvPr id="13" name="Imagem 72" descr="http://upload.wikimedia.org/wikipedia/commons/thumb/0/09/Flag_of_South_Korea.svg/20px-Flag_of_South_Korea.svg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619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14</xdr:row>
      <xdr:rowOff>66675</xdr:rowOff>
    </xdr:from>
    <xdr:to>
      <xdr:col>1</xdr:col>
      <xdr:colOff>209550</xdr:colOff>
      <xdr:row>15</xdr:row>
      <xdr:rowOff>0</xdr:rowOff>
    </xdr:to>
    <xdr:pic>
      <xdr:nvPicPr>
        <xdr:cNvPr id="14" name="Imagem 73" descr="http://upload.wikimedia.org/wikipedia/commons/thumb/9/9a/Flag_of_Spain.svg/20px-Flag_of_Spain.svg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28098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15</xdr:row>
      <xdr:rowOff>66675</xdr:rowOff>
    </xdr:from>
    <xdr:to>
      <xdr:col>1</xdr:col>
      <xdr:colOff>209550</xdr:colOff>
      <xdr:row>15</xdr:row>
      <xdr:rowOff>161925</xdr:rowOff>
    </xdr:to>
    <xdr:pic>
      <xdr:nvPicPr>
        <xdr:cNvPr id="15" name="Imagem 74" descr="http://upload.wikimedia.org/wikipedia/commons/thumb/c/cf/Flag_of_Canada.svg/20px-Flag_of_Canada.svg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0003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16</xdr:row>
      <xdr:rowOff>66675</xdr:rowOff>
    </xdr:from>
    <xdr:to>
      <xdr:col>1</xdr:col>
      <xdr:colOff>209550</xdr:colOff>
      <xdr:row>17</xdr:row>
      <xdr:rowOff>0</xdr:rowOff>
    </xdr:to>
    <xdr:pic>
      <xdr:nvPicPr>
        <xdr:cNvPr id="16" name="Imagem 75" descr="http://upload.wikimedia.org/wikipedia/commons/thumb/9/9f/Flag_of_Indonesia.svg/20px-Flag_of_Indonesia.svg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1908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17</xdr:row>
      <xdr:rowOff>66675</xdr:rowOff>
    </xdr:from>
    <xdr:to>
      <xdr:col>1</xdr:col>
      <xdr:colOff>209550</xdr:colOff>
      <xdr:row>18</xdr:row>
      <xdr:rowOff>0</xdr:rowOff>
    </xdr:to>
    <xdr:pic>
      <xdr:nvPicPr>
        <xdr:cNvPr id="17" name="Imagem 76" descr="http://upload.wikimedia.org/wikipedia/commons/thumb/b/b4/Flag_of_Turkey.svg/20px-Flag_of_Turkey.svg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381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66675</xdr:rowOff>
    </xdr:from>
    <xdr:to>
      <xdr:col>1</xdr:col>
      <xdr:colOff>209550</xdr:colOff>
      <xdr:row>18</xdr:row>
      <xdr:rowOff>161925</xdr:rowOff>
    </xdr:to>
    <xdr:pic>
      <xdr:nvPicPr>
        <xdr:cNvPr id="18" name="Imagem 77" descr="http://upload.wikimedia.org/wikipedia/commons/thumb/b/b9/Flag_of_Australia.svg/20px-Flag_of_Australia.svg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571875"/>
          <a:ext cx="1905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19</xdr:row>
      <xdr:rowOff>66675</xdr:rowOff>
    </xdr:from>
    <xdr:to>
      <xdr:col>1</xdr:col>
      <xdr:colOff>209550</xdr:colOff>
      <xdr:row>20</xdr:row>
      <xdr:rowOff>0</xdr:rowOff>
    </xdr:to>
    <xdr:pic>
      <xdr:nvPicPr>
        <xdr:cNvPr id="19" name="Imagem 78" descr="http://upload.wikimedia.org/wikipedia/commons/thumb/7/72/Flag_of_the_Republic_of_China.svg/20px-Flag_of_the_Republic_of_China.svg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762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20</xdr:row>
      <xdr:rowOff>66675</xdr:rowOff>
    </xdr:from>
    <xdr:to>
      <xdr:col>1</xdr:col>
      <xdr:colOff>209550</xdr:colOff>
      <xdr:row>20</xdr:row>
      <xdr:rowOff>171450</xdr:rowOff>
    </xdr:to>
    <xdr:pic>
      <xdr:nvPicPr>
        <xdr:cNvPr id="20" name="Imagem 79" descr="http://upload.wikimedia.org/wikipedia/commons/thumb/c/ca/Flag_of_Iran.svg/20px-Flag_of_Iran.svg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952875"/>
          <a:ext cx="19050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21</xdr:row>
      <xdr:rowOff>66675</xdr:rowOff>
    </xdr:from>
    <xdr:to>
      <xdr:col>1</xdr:col>
      <xdr:colOff>209550</xdr:colOff>
      <xdr:row>22</xdr:row>
      <xdr:rowOff>0</xdr:rowOff>
    </xdr:to>
    <xdr:pic>
      <xdr:nvPicPr>
        <xdr:cNvPr id="21" name="Imagem 80" descr="http://upload.wikimedia.org/wikipedia/commons/thumb/1/12/Flag_of_Poland.svg/20px-Flag_of_Poland.svg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4143375"/>
          <a:ext cx="19050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14</xdr:row>
      <xdr:rowOff>200025</xdr:rowOff>
    </xdr:from>
    <xdr:to>
      <xdr:col>2</xdr:col>
      <xdr:colOff>1895475</xdr:colOff>
      <xdr:row>18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2B2A1D0-EFB5-45C4-B2F8-380FA5C5355C}"/>
            </a:ext>
          </a:extLst>
        </xdr:cNvPr>
        <xdr:cNvSpPr txBox="1"/>
      </xdr:nvSpPr>
      <xdr:spPr>
        <a:xfrm>
          <a:off x="390525" y="4533900"/>
          <a:ext cx="4238625" cy="103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>
            <a:lnSpc>
              <a:spcPts val="1300"/>
            </a:lnSpc>
          </a:pPr>
          <a:r>
            <a:rPr lang="en-US" sz="1400"/>
            <a:t>Se a nota for maior ou igual a 12 = Aprovado</a:t>
          </a:r>
        </a:p>
        <a:p>
          <a:pPr>
            <a:lnSpc>
              <a:spcPts val="1300"/>
            </a:lnSpc>
          </a:pPr>
          <a:r>
            <a:rPr lang="en-US" sz="1400"/>
            <a:t>Se a </a:t>
          </a: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nota for maior ou igual a 9 = Prova de Computação</a:t>
          </a:r>
          <a:endParaRPr lang="en-US" sz="1400"/>
        </a:p>
        <a:p>
          <a:pPr>
            <a:lnSpc>
              <a:spcPts val="1300"/>
            </a:lnSpc>
          </a:pPr>
          <a:endParaRPr lang="en-US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1300"/>
            </a:lnSpc>
          </a:pPr>
          <a:r>
            <a:rPr lang="en-US" sz="1400">
              <a:solidFill>
                <a:schemeClr val="dk1"/>
              </a:solidFill>
              <a:latin typeface="+mn-lt"/>
              <a:ea typeface="+mn-ea"/>
              <a:cs typeface="+mn-cs"/>
            </a:rPr>
            <a:t>Caso contrário Reprovado</a:t>
          </a:r>
          <a:endParaRPr lang="en-US" sz="1400"/>
        </a:p>
        <a:p>
          <a:pPr>
            <a:lnSpc>
              <a:spcPts val="900"/>
            </a:lnSpc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1100"/>
            </a:lnSpc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900"/>
            </a:lnSpc>
          </a:pPr>
          <a:endParaRPr lang="en-US" sz="1100"/>
        </a:p>
        <a:p>
          <a:pPr>
            <a:lnSpc>
              <a:spcPts val="900"/>
            </a:lnSpc>
          </a:pP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zoomScale="120" zoomScaleNormal="120" workbookViewId="0">
      <selection activeCell="G15" sqref="G15"/>
    </sheetView>
  </sheetViews>
  <sheetFormatPr defaultRowHeight="15" x14ac:dyDescent="0.25"/>
  <cols>
    <col min="2" max="2" width="21.5703125" customWidth="1"/>
    <col min="3" max="3" width="22.140625" customWidth="1"/>
    <col min="4" max="4" width="20" customWidth="1"/>
  </cols>
  <sheetData>
    <row r="1" spans="1:9" ht="21" x14ac:dyDescent="0.35">
      <c r="A1" s="18"/>
      <c r="B1" s="2" t="s">
        <v>58</v>
      </c>
      <c r="C1" s="18"/>
      <c r="D1" s="18"/>
      <c r="E1" s="18"/>
      <c r="F1" s="18"/>
      <c r="G1" s="18"/>
      <c r="H1" s="18"/>
      <c r="I1" s="18"/>
    </row>
    <row r="2" spans="1:9" x14ac:dyDescent="0.25">
      <c r="A2" s="20" t="s">
        <v>59</v>
      </c>
      <c r="B2" s="20" t="s">
        <v>60</v>
      </c>
      <c r="C2" s="20" t="s">
        <v>61</v>
      </c>
      <c r="D2" s="20" t="s">
        <v>62</v>
      </c>
    </row>
    <row r="3" spans="1:9" x14ac:dyDescent="0.25">
      <c r="A3" s="19">
        <v>1</v>
      </c>
      <c r="B3" s="27" t="s">
        <v>63</v>
      </c>
      <c r="C3" s="21">
        <v>14657800</v>
      </c>
      <c r="D3" s="52" t="str">
        <f>IF(C3&gt;1650000,"TOP-10","TOP-20")</f>
        <v>TOP-10</v>
      </c>
    </row>
    <row r="4" spans="1:9" x14ac:dyDescent="0.25">
      <c r="A4" s="16">
        <v>2</v>
      </c>
      <c r="B4" s="25" t="s">
        <v>64</v>
      </c>
      <c r="C4" s="22">
        <v>10085708</v>
      </c>
      <c r="D4" s="52" t="str">
        <f t="shared" ref="D4:D22" si="0">IF(C4&gt;1650000,"TOP-10","TOP-20")</f>
        <v>TOP-10</v>
      </c>
    </row>
    <row r="5" spans="1:9" x14ac:dyDescent="0.25">
      <c r="A5" s="16">
        <v>3</v>
      </c>
      <c r="B5" s="25" t="s">
        <v>65</v>
      </c>
      <c r="C5" s="23">
        <v>4309532</v>
      </c>
      <c r="D5" s="52" t="str">
        <f t="shared" si="0"/>
        <v>TOP-10</v>
      </c>
    </row>
    <row r="6" spans="1:9" x14ac:dyDescent="0.25">
      <c r="A6" s="16">
        <v>4</v>
      </c>
      <c r="B6" s="25" t="s">
        <v>66</v>
      </c>
      <c r="C6" s="23">
        <v>4060392</v>
      </c>
      <c r="D6" s="52" t="str">
        <f t="shared" si="0"/>
        <v>TOP-10</v>
      </c>
    </row>
    <row r="7" spans="1:9" x14ac:dyDescent="0.25">
      <c r="A7" s="16">
        <v>5</v>
      </c>
      <c r="B7" s="25" t="s">
        <v>67</v>
      </c>
      <c r="C7" s="23">
        <v>2940434</v>
      </c>
      <c r="D7" s="52" t="str">
        <f t="shared" si="0"/>
        <v>TOP-10</v>
      </c>
    </row>
    <row r="8" spans="1:9" x14ac:dyDescent="0.25">
      <c r="A8" s="16">
        <v>6</v>
      </c>
      <c r="B8" s="25" t="s">
        <v>68</v>
      </c>
      <c r="C8" s="23">
        <v>2222957</v>
      </c>
      <c r="D8" s="52" t="str">
        <f t="shared" si="0"/>
        <v>TOP-10</v>
      </c>
    </row>
    <row r="9" spans="1:9" x14ac:dyDescent="0.25">
      <c r="A9" s="16">
        <v>7</v>
      </c>
      <c r="B9" s="25" t="s">
        <v>69</v>
      </c>
      <c r="C9" s="23">
        <v>2172768</v>
      </c>
      <c r="D9" s="52" t="str">
        <f t="shared" si="0"/>
        <v>TOP-10</v>
      </c>
    </row>
    <row r="10" spans="1:9" x14ac:dyDescent="0.25">
      <c r="A10" s="16">
        <v>8</v>
      </c>
      <c r="B10" s="25" t="s">
        <v>70</v>
      </c>
      <c r="C10" s="23">
        <v>2172058</v>
      </c>
      <c r="D10" s="52" t="str">
        <f t="shared" si="0"/>
        <v>TOP-10</v>
      </c>
    </row>
    <row r="11" spans="1:9" x14ac:dyDescent="0.25">
      <c r="A11" s="16">
        <v>9</v>
      </c>
      <c r="B11" s="25" t="s">
        <v>71</v>
      </c>
      <c r="C11" s="23">
        <v>2145487</v>
      </c>
      <c r="D11" s="52" t="str">
        <f t="shared" si="0"/>
        <v>TOP-10</v>
      </c>
    </row>
    <row r="12" spans="1:9" x14ac:dyDescent="0.25">
      <c r="A12" s="16">
        <v>10</v>
      </c>
      <c r="B12" s="25" t="s">
        <v>72</v>
      </c>
      <c r="C12" s="23">
        <v>1773547</v>
      </c>
      <c r="D12" s="52" t="str">
        <f t="shared" si="0"/>
        <v>TOP-10</v>
      </c>
    </row>
    <row r="13" spans="1:9" x14ac:dyDescent="0.25">
      <c r="A13" s="16">
        <v>11</v>
      </c>
      <c r="B13" s="25" t="s">
        <v>73</v>
      </c>
      <c r="C13" s="23">
        <v>1567470</v>
      </c>
      <c r="D13" s="52" t="str">
        <f t="shared" si="0"/>
        <v>TOP-20</v>
      </c>
    </row>
    <row r="14" spans="1:9" x14ac:dyDescent="0.25">
      <c r="A14" s="16">
        <v>12</v>
      </c>
      <c r="B14" s="25" t="s">
        <v>74</v>
      </c>
      <c r="C14" s="23">
        <v>1459246</v>
      </c>
      <c r="D14" s="52" t="str">
        <f t="shared" si="0"/>
        <v>TOP-20</v>
      </c>
    </row>
    <row r="15" spans="1:9" x14ac:dyDescent="0.25">
      <c r="A15" s="16">
        <v>13</v>
      </c>
      <c r="B15" s="25" t="s">
        <v>75</v>
      </c>
      <c r="C15" s="23">
        <v>1368642</v>
      </c>
      <c r="D15" s="52" t="str">
        <f t="shared" si="0"/>
        <v>TOP-20</v>
      </c>
    </row>
    <row r="16" spans="1:9" x14ac:dyDescent="0.25">
      <c r="A16" s="16">
        <v>14</v>
      </c>
      <c r="B16" s="25" t="s">
        <v>76</v>
      </c>
      <c r="C16" s="23">
        <v>1330272</v>
      </c>
      <c r="D16" s="52" t="str">
        <f t="shared" si="0"/>
        <v>TOP-20</v>
      </c>
    </row>
    <row r="17" spans="1:4" x14ac:dyDescent="0.25">
      <c r="A17" s="16">
        <v>15</v>
      </c>
      <c r="B17" s="25" t="s">
        <v>77</v>
      </c>
      <c r="C17" s="23">
        <v>1029884</v>
      </c>
      <c r="D17" s="52" t="str">
        <f t="shared" si="0"/>
        <v>TOP-20</v>
      </c>
    </row>
    <row r="18" spans="1:4" x14ac:dyDescent="0.25">
      <c r="A18" s="16">
        <v>16</v>
      </c>
      <c r="B18" s="25" t="s">
        <v>78</v>
      </c>
      <c r="C18" s="23">
        <v>960511</v>
      </c>
      <c r="D18" s="52" t="str">
        <f t="shared" si="0"/>
        <v>TOP-20</v>
      </c>
    </row>
    <row r="19" spans="1:4" x14ac:dyDescent="0.25">
      <c r="A19" s="16">
        <v>17</v>
      </c>
      <c r="B19" s="25" t="s">
        <v>79</v>
      </c>
      <c r="C19" s="23">
        <v>882362</v>
      </c>
      <c r="D19" s="52" t="str">
        <f t="shared" si="0"/>
        <v>TOP-20</v>
      </c>
    </row>
    <row r="20" spans="1:4" x14ac:dyDescent="0.25">
      <c r="A20" s="16">
        <v>18</v>
      </c>
      <c r="B20" s="25" t="s">
        <v>80</v>
      </c>
      <c r="C20" s="23">
        <v>821781</v>
      </c>
      <c r="D20" s="52" t="str">
        <f t="shared" si="0"/>
        <v>TOP-20</v>
      </c>
    </row>
    <row r="21" spans="1:4" x14ac:dyDescent="0.25">
      <c r="A21" s="16">
        <v>19</v>
      </c>
      <c r="B21" s="25" t="s">
        <v>81</v>
      </c>
      <c r="C21" s="23">
        <v>818653</v>
      </c>
      <c r="D21" s="52" t="str">
        <f t="shared" si="0"/>
        <v>TOP-20</v>
      </c>
    </row>
    <row r="22" spans="1:4" x14ac:dyDescent="0.25">
      <c r="A22" s="17">
        <v>20</v>
      </c>
      <c r="B22" s="26" t="s">
        <v>82</v>
      </c>
      <c r="C22" s="24">
        <v>721319</v>
      </c>
      <c r="D22" s="52" t="str">
        <f t="shared" si="0"/>
        <v>TOP-20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2"/>
  <sheetViews>
    <sheetView zoomScale="120" zoomScaleNormal="120" workbookViewId="0">
      <selection activeCell="K3" sqref="K3:K22"/>
    </sheetView>
  </sheetViews>
  <sheetFormatPr defaultRowHeight="15" x14ac:dyDescent="0.25"/>
  <cols>
    <col min="1" max="1" width="0.5703125" customWidth="1"/>
    <col min="11" max="11" width="16.85546875" customWidth="1"/>
  </cols>
  <sheetData>
    <row r="1" spans="2:14" ht="16.5" thickBot="1" x14ac:dyDescent="0.3">
      <c r="M1" s="12" t="s">
        <v>1</v>
      </c>
    </row>
    <row r="2" spans="2:14" ht="43.5" thickTop="1" thickBot="1" x14ac:dyDescent="0.3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6" t="s">
        <v>10</v>
      </c>
      <c r="K2" s="8" t="s">
        <v>11</v>
      </c>
    </row>
    <row r="3" spans="2:14" ht="16.5" thickTop="1" thickBot="1" x14ac:dyDescent="0.3">
      <c r="B3" s="4" t="s">
        <v>12</v>
      </c>
      <c r="C3" s="5">
        <v>33</v>
      </c>
      <c r="D3" s="14" t="str">
        <f>_xlfn.CONCAT(B3,C3)</f>
        <v>A533</v>
      </c>
      <c r="E3" s="3" t="s">
        <v>13</v>
      </c>
      <c r="F3" s="3" t="s">
        <v>14</v>
      </c>
      <c r="G3" s="9">
        <v>29.9</v>
      </c>
      <c r="H3" s="10">
        <v>8</v>
      </c>
      <c r="I3" s="9">
        <v>239.2</v>
      </c>
      <c r="J3" s="11" t="s">
        <v>15</v>
      </c>
      <c r="K3" s="15" t="str">
        <f>IF(J3 = "Janeiro","PROMOÇÃO","PREÇO NORMAL")</f>
        <v>PROMOÇÃO</v>
      </c>
      <c r="M3" t="s">
        <v>16</v>
      </c>
    </row>
    <row r="4" spans="2:14" ht="16.5" thickTop="1" thickBot="1" x14ac:dyDescent="0.3">
      <c r="B4" s="4" t="s">
        <v>17</v>
      </c>
      <c r="C4" s="5">
        <v>35</v>
      </c>
      <c r="D4" s="14" t="str">
        <f t="shared" ref="D4:D22" si="0">_xlfn.CONCAT(B4,C4)</f>
        <v>A635</v>
      </c>
      <c r="E4" s="3" t="s">
        <v>13</v>
      </c>
      <c r="F4" s="3" t="s">
        <v>18</v>
      </c>
      <c r="G4" s="9">
        <v>29.9</v>
      </c>
      <c r="H4" s="10">
        <v>15</v>
      </c>
      <c r="I4" s="9">
        <v>448.5</v>
      </c>
      <c r="J4" s="11" t="s">
        <v>15</v>
      </c>
      <c r="K4" s="15" t="str">
        <f t="shared" ref="K4:K22" si="1">IF(J4 = "Janeiro","PROMOÇÃO","PREÇO NORMAL")</f>
        <v>PROMOÇÃO</v>
      </c>
    </row>
    <row r="5" spans="2:14" ht="16.5" thickTop="1" thickBot="1" x14ac:dyDescent="0.3">
      <c r="B5" s="4" t="s">
        <v>19</v>
      </c>
      <c r="C5" s="5">
        <v>38</v>
      </c>
      <c r="D5" s="14" t="str">
        <f t="shared" si="0"/>
        <v>A738</v>
      </c>
      <c r="E5" s="3" t="s">
        <v>13</v>
      </c>
      <c r="F5" s="3" t="s">
        <v>20</v>
      </c>
      <c r="G5" s="9">
        <v>32.9</v>
      </c>
      <c r="H5" s="10">
        <v>10</v>
      </c>
      <c r="I5" s="9">
        <v>329</v>
      </c>
      <c r="J5" s="11" t="s">
        <v>15</v>
      </c>
      <c r="K5" s="15" t="str">
        <f t="shared" si="1"/>
        <v>PROMOÇÃO</v>
      </c>
      <c r="M5" t="s">
        <v>83</v>
      </c>
    </row>
    <row r="6" spans="2:14" ht="16.5" thickTop="1" thickBot="1" x14ac:dyDescent="0.3">
      <c r="B6" s="4" t="s">
        <v>21</v>
      </c>
      <c r="C6" s="5">
        <v>34</v>
      </c>
      <c r="D6" s="14" t="str">
        <f t="shared" si="0"/>
        <v>B834</v>
      </c>
      <c r="E6" s="3" t="s">
        <v>22</v>
      </c>
      <c r="F6" s="3" t="s">
        <v>23</v>
      </c>
      <c r="G6" s="9">
        <v>48.7</v>
      </c>
      <c r="H6" s="10">
        <v>15</v>
      </c>
      <c r="I6" s="9">
        <v>730.5</v>
      </c>
      <c r="J6" s="11" t="s">
        <v>24</v>
      </c>
      <c r="K6" s="15" t="str">
        <f t="shared" si="1"/>
        <v>PREÇO NORMAL</v>
      </c>
      <c r="M6" s="13" t="s">
        <v>25</v>
      </c>
      <c r="N6" t="s">
        <v>11</v>
      </c>
    </row>
    <row r="7" spans="2:14" ht="16.5" thickTop="1" thickBot="1" x14ac:dyDescent="0.3">
      <c r="B7" s="4" t="s">
        <v>26</v>
      </c>
      <c r="C7" s="5">
        <v>36</v>
      </c>
      <c r="D7" s="14" t="str">
        <f t="shared" si="0"/>
        <v>B936</v>
      </c>
      <c r="E7" s="3" t="s">
        <v>22</v>
      </c>
      <c r="F7" s="3" t="s">
        <v>14</v>
      </c>
      <c r="G7" s="9">
        <v>48.7</v>
      </c>
      <c r="H7" s="10">
        <v>20</v>
      </c>
      <c r="I7" s="9">
        <v>974</v>
      </c>
      <c r="J7" s="11" t="s">
        <v>24</v>
      </c>
      <c r="K7" s="15" t="str">
        <f t="shared" si="1"/>
        <v>PREÇO NORMAL</v>
      </c>
      <c r="M7" s="13" t="s">
        <v>27</v>
      </c>
      <c r="N7" t="s">
        <v>28</v>
      </c>
    </row>
    <row r="8" spans="2:14" ht="16.5" thickTop="1" thickBot="1" x14ac:dyDescent="0.3">
      <c r="B8" s="4" t="s">
        <v>29</v>
      </c>
      <c r="C8" s="5">
        <v>33</v>
      </c>
      <c r="D8" s="14" t="str">
        <f t="shared" si="0"/>
        <v>B1033</v>
      </c>
      <c r="E8" s="3" t="s">
        <v>22</v>
      </c>
      <c r="F8" s="3" t="s">
        <v>14</v>
      </c>
      <c r="G8" s="9">
        <v>23.5</v>
      </c>
      <c r="H8" s="10">
        <v>10</v>
      </c>
      <c r="I8" s="9">
        <v>235</v>
      </c>
      <c r="J8" s="11" t="s">
        <v>24</v>
      </c>
      <c r="K8" s="15" t="str">
        <f t="shared" si="1"/>
        <v>PREÇO NORMAL</v>
      </c>
    </row>
    <row r="9" spans="2:14" ht="16.5" thickTop="1" thickBot="1" x14ac:dyDescent="0.3">
      <c r="B9" s="4" t="s">
        <v>30</v>
      </c>
      <c r="C9" s="5">
        <v>37</v>
      </c>
      <c r="D9" s="14" t="str">
        <f t="shared" si="0"/>
        <v>C1437</v>
      </c>
      <c r="E9" s="3" t="s">
        <v>31</v>
      </c>
      <c r="F9" s="3" t="s">
        <v>20</v>
      </c>
      <c r="G9" s="9">
        <v>24.5</v>
      </c>
      <c r="H9" s="10">
        <v>8</v>
      </c>
      <c r="I9" s="9">
        <v>196</v>
      </c>
      <c r="J9" s="11" t="s">
        <v>32</v>
      </c>
      <c r="K9" s="15" t="str">
        <f t="shared" si="1"/>
        <v>PREÇO NORMAL</v>
      </c>
    </row>
    <row r="10" spans="2:14" ht="16.5" thickTop="1" thickBot="1" x14ac:dyDescent="0.3">
      <c r="B10" s="4" t="s">
        <v>33</v>
      </c>
      <c r="C10" s="5">
        <v>39</v>
      </c>
      <c r="D10" s="14" t="str">
        <f t="shared" si="0"/>
        <v>C1539</v>
      </c>
      <c r="E10" s="3" t="s">
        <v>31</v>
      </c>
      <c r="F10" s="3" t="s">
        <v>34</v>
      </c>
      <c r="G10" s="9">
        <v>24.5</v>
      </c>
      <c r="H10" s="10">
        <v>5</v>
      </c>
      <c r="I10" s="9">
        <v>122.5</v>
      </c>
      <c r="J10" s="11" t="s">
        <v>35</v>
      </c>
      <c r="K10" s="15" t="str">
        <f t="shared" si="1"/>
        <v>PREÇO NORMAL</v>
      </c>
    </row>
    <row r="11" spans="2:14" ht="16.5" thickTop="1" thickBot="1" x14ac:dyDescent="0.3">
      <c r="B11" s="4" t="s">
        <v>36</v>
      </c>
      <c r="C11" s="5">
        <v>41</v>
      </c>
      <c r="D11" s="14" t="str">
        <f t="shared" si="0"/>
        <v>C1641</v>
      </c>
      <c r="E11" s="3" t="s">
        <v>31</v>
      </c>
      <c r="F11" s="3" t="s">
        <v>37</v>
      </c>
      <c r="G11" s="9">
        <v>25</v>
      </c>
      <c r="H11" s="10">
        <v>10</v>
      </c>
      <c r="I11" s="9">
        <v>250</v>
      </c>
      <c r="J11" s="11" t="s">
        <v>35</v>
      </c>
      <c r="K11" s="15" t="str">
        <f t="shared" si="1"/>
        <v>PREÇO NORMAL</v>
      </c>
    </row>
    <row r="12" spans="2:14" ht="16.5" thickTop="1" thickBot="1" x14ac:dyDescent="0.3">
      <c r="B12" s="4" t="s">
        <v>38</v>
      </c>
      <c r="C12" s="5">
        <v>34</v>
      </c>
      <c r="D12" s="14" t="str">
        <f t="shared" si="0"/>
        <v>D2034</v>
      </c>
      <c r="E12" s="3" t="s">
        <v>39</v>
      </c>
      <c r="F12" s="3" t="s">
        <v>40</v>
      </c>
      <c r="G12" s="9">
        <v>32.99</v>
      </c>
      <c r="H12" s="10">
        <v>14</v>
      </c>
      <c r="I12" s="9">
        <v>461.86</v>
      </c>
      <c r="J12" s="11" t="s">
        <v>41</v>
      </c>
      <c r="K12" s="15" t="str">
        <f t="shared" si="1"/>
        <v>PREÇO NORMAL</v>
      </c>
    </row>
    <row r="13" spans="2:14" ht="16.5" thickTop="1" thickBot="1" x14ac:dyDescent="0.3">
      <c r="B13" s="4" t="s">
        <v>42</v>
      </c>
      <c r="C13" s="5">
        <v>38</v>
      </c>
      <c r="D13" s="14" t="str">
        <f t="shared" si="0"/>
        <v>D2138</v>
      </c>
      <c r="E13" s="3" t="s">
        <v>39</v>
      </c>
      <c r="F13" s="3" t="s">
        <v>43</v>
      </c>
      <c r="G13" s="9">
        <v>32.99</v>
      </c>
      <c r="H13" s="10">
        <v>12</v>
      </c>
      <c r="I13" s="9">
        <v>395.88</v>
      </c>
      <c r="J13" s="11" t="s">
        <v>41</v>
      </c>
      <c r="K13" s="15" t="str">
        <f t="shared" si="1"/>
        <v>PREÇO NORMAL</v>
      </c>
    </row>
    <row r="14" spans="2:14" ht="16.5" thickTop="1" thickBot="1" x14ac:dyDescent="0.3">
      <c r="B14" s="4" t="s">
        <v>44</v>
      </c>
      <c r="C14" s="5">
        <v>35</v>
      </c>
      <c r="D14" s="14" t="str">
        <f t="shared" si="0"/>
        <v>D2235</v>
      </c>
      <c r="E14" s="3" t="s">
        <v>45</v>
      </c>
      <c r="F14" s="3" t="s">
        <v>18</v>
      </c>
      <c r="G14" s="9">
        <v>45.79</v>
      </c>
      <c r="H14" s="10">
        <v>25</v>
      </c>
      <c r="I14" s="9">
        <v>1144.75</v>
      </c>
      <c r="J14" s="11" t="s">
        <v>41</v>
      </c>
      <c r="K14" s="15" t="str">
        <f t="shared" si="1"/>
        <v>PREÇO NORMAL</v>
      </c>
    </row>
    <row r="15" spans="2:14" ht="16.5" thickTop="1" thickBot="1" x14ac:dyDescent="0.3">
      <c r="B15" s="4" t="s">
        <v>46</v>
      </c>
      <c r="C15" s="5">
        <v>38</v>
      </c>
      <c r="D15" s="14" t="str">
        <f t="shared" si="0"/>
        <v>D2338</v>
      </c>
      <c r="E15" s="3" t="s">
        <v>45</v>
      </c>
      <c r="F15" s="3" t="s">
        <v>14</v>
      </c>
      <c r="G15" s="9">
        <v>46.59</v>
      </c>
      <c r="H15" s="10">
        <v>19</v>
      </c>
      <c r="I15" s="9">
        <v>885.21</v>
      </c>
      <c r="J15" s="11" t="s">
        <v>15</v>
      </c>
      <c r="K15" s="15" t="str">
        <f t="shared" si="1"/>
        <v>PROMOÇÃO</v>
      </c>
    </row>
    <row r="16" spans="2:14" ht="16.5" thickTop="1" thickBot="1" x14ac:dyDescent="0.3">
      <c r="B16" s="4" t="s">
        <v>47</v>
      </c>
      <c r="C16" s="5">
        <v>40</v>
      </c>
      <c r="D16" s="14" t="str">
        <f t="shared" si="0"/>
        <v>E2340</v>
      </c>
      <c r="E16" s="3" t="s">
        <v>45</v>
      </c>
      <c r="F16" s="3" t="s">
        <v>48</v>
      </c>
      <c r="G16" s="9">
        <v>46.59</v>
      </c>
      <c r="H16" s="10">
        <v>10</v>
      </c>
      <c r="I16" s="9">
        <v>465.90000000000003</v>
      </c>
      <c r="J16" s="11" t="s">
        <v>15</v>
      </c>
      <c r="K16" s="15" t="str">
        <f t="shared" si="1"/>
        <v>PROMOÇÃO</v>
      </c>
    </row>
    <row r="17" spans="2:11" ht="16.5" thickTop="1" thickBot="1" x14ac:dyDescent="0.3">
      <c r="B17" s="4" t="s">
        <v>49</v>
      </c>
      <c r="C17" s="5">
        <v>35</v>
      </c>
      <c r="D17" s="14" t="str">
        <f t="shared" si="0"/>
        <v>E2435</v>
      </c>
      <c r="E17" s="3" t="s">
        <v>13</v>
      </c>
      <c r="F17" s="3" t="s">
        <v>20</v>
      </c>
      <c r="G17" s="9">
        <v>62.3</v>
      </c>
      <c r="H17" s="10">
        <v>25</v>
      </c>
      <c r="I17" s="9">
        <v>1557.5</v>
      </c>
      <c r="J17" s="11" t="s">
        <v>24</v>
      </c>
      <c r="K17" s="15" t="str">
        <f t="shared" si="1"/>
        <v>PREÇO NORMAL</v>
      </c>
    </row>
    <row r="18" spans="2:11" ht="16.5" thickTop="1" thickBot="1" x14ac:dyDescent="0.3">
      <c r="B18" s="4" t="s">
        <v>50</v>
      </c>
      <c r="C18" s="5">
        <v>33</v>
      </c>
      <c r="D18" s="14" t="str">
        <f t="shared" si="0"/>
        <v>E2533</v>
      </c>
      <c r="E18" s="3" t="s">
        <v>13</v>
      </c>
      <c r="F18" s="3" t="s">
        <v>14</v>
      </c>
      <c r="G18" s="9">
        <v>21.29</v>
      </c>
      <c r="H18" s="10">
        <v>15</v>
      </c>
      <c r="I18" s="9">
        <v>319.34999999999997</v>
      </c>
      <c r="J18" s="11" t="s">
        <v>35</v>
      </c>
      <c r="K18" s="15" t="str">
        <f t="shared" si="1"/>
        <v>PREÇO NORMAL</v>
      </c>
    </row>
    <row r="19" spans="2:11" ht="16.5" thickTop="1" thickBot="1" x14ac:dyDescent="0.3">
      <c r="B19" s="4" t="s">
        <v>51</v>
      </c>
      <c r="C19" s="5">
        <v>39</v>
      </c>
      <c r="D19" s="14" t="str">
        <f t="shared" si="0"/>
        <v>E2639</v>
      </c>
      <c r="E19" s="3" t="s">
        <v>13</v>
      </c>
      <c r="F19" s="3" t="s">
        <v>48</v>
      </c>
      <c r="G19" s="9">
        <v>23.29</v>
      </c>
      <c r="H19" s="10">
        <v>16</v>
      </c>
      <c r="I19" s="9">
        <v>372.64</v>
      </c>
      <c r="J19" s="11" t="s">
        <v>52</v>
      </c>
      <c r="K19" s="15" t="str">
        <f t="shared" si="1"/>
        <v>PREÇO NORMAL</v>
      </c>
    </row>
    <row r="20" spans="2:11" ht="16.5" thickTop="1" thickBot="1" x14ac:dyDescent="0.3">
      <c r="B20" s="4" t="s">
        <v>53</v>
      </c>
      <c r="C20" s="5">
        <v>34</v>
      </c>
      <c r="D20" s="14" t="str">
        <f t="shared" si="0"/>
        <v>F4534</v>
      </c>
      <c r="E20" s="3" t="s">
        <v>54</v>
      </c>
      <c r="F20" s="3" t="s">
        <v>18</v>
      </c>
      <c r="G20" s="9">
        <v>32.479999999999997</v>
      </c>
      <c r="H20" s="10">
        <v>9</v>
      </c>
      <c r="I20" s="9">
        <v>292.32</v>
      </c>
      <c r="J20" s="11" t="s">
        <v>55</v>
      </c>
      <c r="K20" s="15" t="str">
        <f t="shared" si="1"/>
        <v>PREÇO NORMAL</v>
      </c>
    </row>
    <row r="21" spans="2:11" ht="16.5" thickTop="1" thickBot="1" x14ac:dyDescent="0.3">
      <c r="B21" s="4" t="s">
        <v>56</v>
      </c>
      <c r="C21" s="5">
        <v>36</v>
      </c>
      <c r="D21" s="14" t="str">
        <f t="shared" si="0"/>
        <v>F4636</v>
      </c>
      <c r="E21" s="3" t="s">
        <v>54</v>
      </c>
      <c r="F21" s="3" t="s">
        <v>20</v>
      </c>
      <c r="G21" s="9">
        <v>32.479999999999997</v>
      </c>
      <c r="H21" s="10">
        <v>9</v>
      </c>
      <c r="I21" s="9">
        <v>292.32</v>
      </c>
      <c r="J21" s="11" t="s">
        <v>55</v>
      </c>
      <c r="K21" s="15" t="str">
        <f t="shared" si="1"/>
        <v>PREÇO NORMAL</v>
      </c>
    </row>
    <row r="22" spans="2:11" ht="16.5" thickTop="1" thickBot="1" x14ac:dyDescent="0.3">
      <c r="B22" s="4" t="s">
        <v>57</v>
      </c>
      <c r="C22" s="5">
        <v>42</v>
      </c>
      <c r="D22" s="14" t="str">
        <f t="shared" si="0"/>
        <v>F4742</v>
      </c>
      <c r="E22" s="3" t="s">
        <v>54</v>
      </c>
      <c r="F22" s="3" t="s">
        <v>34</v>
      </c>
      <c r="G22" s="9">
        <v>34</v>
      </c>
      <c r="H22" s="10">
        <v>8</v>
      </c>
      <c r="I22" s="9">
        <v>272</v>
      </c>
      <c r="J22" s="11" t="s">
        <v>55</v>
      </c>
      <c r="K22" s="15" t="str">
        <f t="shared" si="1"/>
        <v>PREÇO 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C370-527E-470E-B52C-7E38314C1039}">
  <dimension ref="A1:C13"/>
  <sheetViews>
    <sheetView workbookViewId="0">
      <selection activeCell="E7" sqref="E7"/>
    </sheetView>
  </sheetViews>
  <sheetFormatPr defaultRowHeight="23.25" x14ac:dyDescent="0.35"/>
  <cols>
    <col min="1" max="1" width="20.85546875" style="28" customWidth="1"/>
    <col min="2" max="2" width="20.140625" style="28" customWidth="1"/>
    <col min="3" max="3" width="35.42578125" style="28" customWidth="1"/>
    <col min="4" max="4" width="4.85546875" style="28" customWidth="1"/>
    <col min="5" max="5" width="25.85546875" style="28" customWidth="1"/>
    <col min="6" max="16384" width="9.140625" style="28"/>
  </cols>
  <sheetData>
    <row r="1" spans="1:3" x14ac:dyDescent="0.35">
      <c r="A1" s="54" t="s">
        <v>84</v>
      </c>
      <c r="B1" s="54"/>
      <c r="C1" s="54"/>
    </row>
    <row r="3" spans="1:3" x14ac:dyDescent="0.35">
      <c r="A3" s="53" t="s">
        <v>85</v>
      </c>
      <c r="B3" s="53" t="s">
        <v>86</v>
      </c>
      <c r="C3" s="53" t="s">
        <v>119</v>
      </c>
    </row>
    <row r="4" spans="1:3" x14ac:dyDescent="0.35">
      <c r="A4" s="44" t="s">
        <v>87</v>
      </c>
      <c r="B4" s="46">
        <v>12</v>
      </c>
      <c r="C4" s="46" t="str" cm="1">
        <f t="array" ref="C4">_xlfn.IFS(B4&gt;=12,"Aprovado",B4&gt;=9,"Prova",B4&lt;9,"Reprovado")</f>
        <v>Aprovado</v>
      </c>
    </row>
    <row r="5" spans="1:3" x14ac:dyDescent="0.35">
      <c r="A5" s="44" t="s">
        <v>88</v>
      </c>
      <c r="B5" s="46">
        <v>8</v>
      </c>
      <c r="C5" s="46" t="str" cm="1">
        <f t="array" ref="C5">_xlfn.IFS(B5&gt;=12,"Aprovado",B5&gt;=9,"Prova",B5&lt;9,"Reprovado")</f>
        <v>Reprovado</v>
      </c>
    </row>
    <row r="6" spans="1:3" x14ac:dyDescent="0.35">
      <c r="A6" s="44" t="s">
        <v>89</v>
      </c>
      <c r="B6" s="46">
        <v>16</v>
      </c>
      <c r="C6" s="46" t="str" cm="1">
        <f t="array" ref="C6">_xlfn.IFS(B6&gt;=12,"Aprovado",B6&gt;=9,"Prova",B6&lt;9,"Reprovado")</f>
        <v>Aprovado</v>
      </c>
    </row>
    <row r="7" spans="1:3" x14ac:dyDescent="0.35">
      <c r="A7" s="44" t="s">
        <v>90</v>
      </c>
      <c r="B7" s="46">
        <v>11</v>
      </c>
      <c r="C7" s="46" t="str" cm="1">
        <f t="array" ref="C7">_xlfn.IFS(B7&gt;=12,"Aprovado",B7&gt;=9,"Prova",B7&lt;9,"Reprovado")</f>
        <v>Prova</v>
      </c>
    </row>
    <row r="8" spans="1:3" x14ac:dyDescent="0.35">
      <c r="A8" s="44" t="s">
        <v>91</v>
      </c>
      <c r="B8" s="46">
        <v>14</v>
      </c>
      <c r="C8" s="46" t="str" cm="1">
        <f t="array" ref="C8">_xlfn.IFS(B8&gt;=12,"Aprovado",B8&gt;=9,"Prova",B8&lt;9,"Reprovado")</f>
        <v>Aprovado</v>
      </c>
    </row>
    <row r="9" spans="1:3" x14ac:dyDescent="0.35">
      <c r="A9" s="44" t="s">
        <v>92</v>
      </c>
      <c r="B9" s="46">
        <v>9</v>
      </c>
      <c r="C9" s="46" t="str" cm="1">
        <f t="array" ref="C9">_xlfn.IFS(B9&gt;=12,"Aprovado",B9&gt;=9,"Prova",B9&lt;9,"Reprovado")</f>
        <v>Prova</v>
      </c>
    </row>
    <row r="10" spans="1:3" x14ac:dyDescent="0.35">
      <c r="A10" s="44" t="s">
        <v>93</v>
      </c>
      <c r="B10" s="46">
        <v>18</v>
      </c>
      <c r="C10" s="46" t="str" cm="1">
        <f t="array" ref="C10">_xlfn.IFS(B10&gt;=12,"Aprovado",B10&gt;=9,"Prova",B10&lt;9,"Reprovado")</f>
        <v>Aprovado</v>
      </c>
    </row>
    <row r="11" spans="1:3" x14ac:dyDescent="0.35">
      <c r="A11" s="44" t="s">
        <v>94</v>
      </c>
      <c r="B11" s="46">
        <v>10</v>
      </c>
      <c r="C11" s="46" t="str" cm="1">
        <f t="array" ref="C11">_xlfn.IFS(B11&gt;=12,"Aprovado",B11&gt;=9,"Prova",B11&lt;9,"Reprovado")</f>
        <v>Prova</v>
      </c>
    </row>
    <row r="12" spans="1:3" x14ac:dyDescent="0.35">
      <c r="A12" s="44" t="s">
        <v>95</v>
      </c>
      <c r="B12" s="46">
        <v>16</v>
      </c>
      <c r="C12" s="46" t="str" cm="1">
        <f t="array" ref="C12">_xlfn.IFS(B12&gt;=12,"Aprovado",B12&gt;=9,"Prova",B12&lt;9,"Reprovado")</f>
        <v>Aprovado</v>
      </c>
    </row>
    <row r="13" spans="1:3" x14ac:dyDescent="0.35">
      <c r="A13" s="44" t="s">
        <v>96</v>
      </c>
      <c r="B13" s="46">
        <v>7</v>
      </c>
      <c r="C13" s="46" t="str" cm="1">
        <f t="array" ref="C13">_xlfn.IFS(B13&gt;=12,"Aprovado",B13&gt;=9,"Prova",B13&lt;9,"Reprovado")</f>
        <v>Reprovado</v>
      </c>
    </row>
  </sheetData>
  <mergeCells count="1">
    <mergeCell ref="A1:C1"/>
  </mergeCells>
  <conditionalFormatting sqref="C4:C13">
    <cfRule type="cellIs" dxfId="0" priority="1" stopIfTrue="1" operator="equal">
      <formula>"""Aprovado"""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B720-6642-41A9-8F0A-D2D05738D5F9}">
  <dimension ref="B1:G19"/>
  <sheetViews>
    <sheetView zoomScale="110" zoomScaleNormal="110" workbookViewId="0">
      <selection activeCell="K14" sqref="K14"/>
    </sheetView>
  </sheetViews>
  <sheetFormatPr defaultRowHeight="15" x14ac:dyDescent="0.25"/>
  <cols>
    <col min="2" max="2" width="25.7109375" customWidth="1"/>
    <col min="3" max="3" width="17.7109375" customWidth="1"/>
    <col min="4" max="4" width="35" customWidth="1"/>
  </cols>
  <sheetData>
    <row r="1" spans="2:7" ht="15.75" x14ac:dyDescent="0.25">
      <c r="B1" s="57" t="s">
        <v>97</v>
      </c>
      <c r="C1" s="58"/>
      <c r="D1" s="58"/>
    </row>
    <row r="2" spans="2:7" x14ac:dyDescent="0.25">
      <c r="B2" s="59" t="s">
        <v>98</v>
      </c>
      <c r="C2" s="59"/>
      <c r="D2" s="59"/>
      <c r="E2" s="59"/>
      <c r="F2" s="59"/>
      <c r="G2" s="59"/>
    </row>
    <row r="3" spans="2:7" x14ac:dyDescent="0.25">
      <c r="B3" s="30"/>
      <c r="C3" s="30"/>
      <c r="D3" s="30"/>
      <c r="E3" s="30"/>
      <c r="F3" s="30"/>
      <c r="G3" s="30"/>
    </row>
    <row r="4" spans="2:7" ht="15.75" x14ac:dyDescent="0.25">
      <c r="B4" s="31" t="s">
        <v>99</v>
      </c>
      <c r="C4" s="60" t="s">
        <v>100</v>
      </c>
      <c r="D4" s="60"/>
    </row>
    <row r="5" spans="2:7" x14ac:dyDescent="0.25">
      <c r="B5" s="32" t="s">
        <v>101</v>
      </c>
      <c r="C5" s="61" t="s">
        <v>102</v>
      </c>
      <c r="D5" s="61"/>
      <c r="E5" s="1"/>
    </row>
    <row r="6" spans="2:7" x14ac:dyDescent="0.25">
      <c r="B6" s="33" t="s">
        <v>103</v>
      </c>
      <c r="C6" s="61" t="s">
        <v>104</v>
      </c>
      <c r="D6" s="61"/>
      <c r="E6" s="1"/>
    </row>
    <row r="7" spans="2:7" x14ac:dyDescent="0.25">
      <c r="B7" s="33" t="s">
        <v>105</v>
      </c>
      <c r="C7" s="61" t="s">
        <v>106</v>
      </c>
      <c r="D7" s="61"/>
      <c r="E7" s="1"/>
    </row>
    <row r="8" spans="2:7" ht="16.5" thickBot="1" x14ac:dyDescent="0.3">
      <c r="B8" s="55"/>
      <c r="C8" s="56"/>
      <c r="D8" s="34"/>
    </row>
    <row r="9" spans="2:7" ht="15.75" thickBot="1" x14ac:dyDescent="0.3">
      <c r="B9" s="35"/>
      <c r="C9" s="36" t="s">
        <v>99</v>
      </c>
      <c r="D9" s="36" t="s">
        <v>100</v>
      </c>
    </row>
    <row r="10" spans="2:7" ht="15.75" thickBot="1" x14ac:dyDescent="0.3">
      <c r="B10" s="37"/>
      <c r="C10" s="38">
        <v>1000</v>
      </c>
      <c r="D10" s="39" t="str" cm="1">
        <f t="array" ref="D10">_xlfn.IFS(C10&gt;760,"Bem Remunerado",C10&gt;=380,"Normal",C10&lt;380,"Mal Remunerado")</f>
        <v>Bem Remunerado</v>
      </c>
    </row>
    <row r="11" spans="2:7" ht="15.75" thickBot="1" x14ac:dyDescent="0.3">
      <c r="B11" s="37"/>
      <c r="C11" s="38">
        <v>350</v>
      </c>
      <c r="D11" s="39" t="str" cm="1">
        <f t="array" ref="D11">_xlfn.IFS(C11&gt;760,"Bem Remunerado",C11&gt;=380,"Normal",C11&lt;380,"Mal Remunerado")</f>
        <v>Mal Remunerado</v>
      </c>
    </row>
    <row r="12" spans="2:7" ht="15.75" thickBot="1" x14ac:dyDescent="0.3">
      <c r="B12" s="37"/>
      <c r="C12" s="38">
        <v>560</v>
      </c>
      <c r="D12" s="39" t="str" cm="1">
        <f t="array" ref="D12">_xlfn.IFS(C12&gt;760,"Bem Remunerado",C12&gt;=380,"Normal",C12&lt;380,"Mal Remunerado")</f>
        <v>Normal</v>
      </c>
    </row>
    <row r="13" spans="2:7" ht="15.75" thickBot="1" x14ac:dyDescent="0.3">
      <c r="B13" s="37"/>
      <c r="C13" s="38">
        <v>890</v>
      </c>
      <c r="D13" s="39" t="str" cm="1">
        <f t="array" ref="D13">_xlfn.IFS(C13&gt;760,"Bem Remunerado",C13&gt;=380,"Normal",C13&lt;380,"Mal Remunerado")</f>
        <v>Bem Remunerado</v>
      </c>
    </row>
    <row r="14" spans="2:7" ht="15.75" thickBot="1" x14ac:dyDescent="0.3">
      <c r="B14" s="37"/>
      <c r="C14" s="38">
        <v>210</v>
      </c>
      <c r="D14" s="39" t="str" cm="1">
        <f t="array" ref="D14">_xlfn.IFS(C14&gt;760,"Bem Remunerado",C14&gt;=380,"Normal",C14&lt;380,"Mal Remunerado")</f>
        <v>Mal Remunerado</v>
      </c>
    </row>
    <row r="15" spans="2:7" ht="15.75" thickBot="1" x14ac:dyDescent="0.3">
      <c r="B15" s="37"/>
      <c r="C15" s="38">
        <v>150</v>
      </c>
      <c r="D15" s="39" t="str" cm="1">
        <f t="array" ref="D15">_xlfn.IFS(C15&gt;760,"Bem Remunerado",C15&gt;=380,"Normal",C15&lt;380,"Mal Remunerado")</f>
        <v>Mal Remunerado</v>
      </c>
    </row>
    <row r="16" spans="2:7" ht="15.75" thickBot="1" x14ac:dyDescent="0.3">
      <c r="B16" s="37"/>
      <c r="C16" s="38">
        <v>700</v>
      </c>
      <c r="D16" s="39" t="str" cm="1">
        <f t="array" ref="D16">_xlfn.IFS(C16&gt;760,"Bem Remunerado",C16&gt;=380,"Normal",C16&lt;380,"Mal Remunerado")</f>
        <v>Normal</v>
      </c>
    </row>
    <row r="17" spans="2:4" ht="15.75" thickBot="1" x14ac:dyDescent="0.3">
      <c r="B17" s="37"/>
      <c r="C17" s="38">
        <v>760</v>
      </c>
      <c r="D17" s="39" t="str" cm="1">
        <f t="array" ref="D17">_xlfn.IFS(C17&gt;760,"Bem Remunerado",C17&gt;=380,"Normal",C17&lt;380,"Mal Remunerado")</f>
        <v>Normal</v>
      </c>
    </row>
    <row r="18" spans="2:4" ht="15.75" thickBot="1" x14ac:dyDescent="0.3">
      <c r="B18" s="37"/>
      <c r="C18" s="38">
        <v>380</v>
      </c>
      <c r="D18" s="39" t="str" cm="1">
        <f t="array" ref="D18">_xlfn.IFS(C18&gt;760,"Bem Remunerado",C18&gt;=380,"Normal",C18&lt;380,"Mal Remunerado")</f>
        <v>Normal</v>
      </c>
    </row>
    <row r="19" spans="2:4" ht="15.75" thickBot="1" x14ac:dyDescent="0.3">
      <c r="B19" s="37"/>
      <c r="C19" s="38">
        <v>1250</v>
      </c>
      <c r="D19" s="39" t="str" cm="1">
        <f t="array" ref="D19">_xlfn.IFS(C19&gt;760,"Bem Remunerado",C19&gt;=380,"Normal",C19&lt;380,"Mal Remunerado")</f>
        <v>Bem Remunerado</v>
      </c>
    </row>
  </sheetData>
  <mergeCells count="7">
    <mergeCell ref="B8:C8"/>
    <mergeCell ref="B1:D1"/>
    <mergeCell ref="B2:G2"/>
    <mergeCell ref="C4:D4"/>
    <mergeCell ref="C5:D5"/>
    <mergeCell ref="C6:D6"/>
    <mergeCell ref="C7:D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65F8-913C-4570-B0A8-9F52A4FE52F7}">
  <dimension ref="A1:H20"/>
  <sheetViews>
    <sheetView tabSelected="1" workbookViewId="0">
      <selection activeCell="K7" sqref="K7"/>
    </sheetView>
  </sheetViews>
  <sheetFormatPr defaultRowHeight="20.25" x14ac:dyDescent="0.3"/>
  <cols>
    <col min="1" max="1" width="10.85546875" style="40" customWidth="1"/>
    <col min="2" max="2" width="17.42578125" style="40" customWidth="1"/>
    <col min="3" max="3" width="14.85546875" style="40" customWidth="1"/>
    <col min="4" max="4" width="10.5703125" style="40" customWidth="1"/>
    <col min="5" max="5" width="17.42578125" style="40" customWidth="1"/>
    <col min="6" max="6" width="15.85546875" style="40" customWidth="1"/>
    <col min="7" max="7" width="15.42578125" style="40" customWidth="1"/>
    <col min="8" max="8" width="16" style="40" bestFit="1" customWidth="1"/>
    <col min="9" max="16384" width="9.140625" style="40"/>
  </cols>
  <sheetData>
    <row r="1" spans="1:8" x14ac:dyDescent="0.3">
      <c r="A1" s="62" t="s">
        <v>107</v>
      </c>
      <c r="B1" s="62"/>
      <c r="C1" s="62"/>
      <c r="D1" s="62"/>
      <c r="E1" s="62"/>
      <c r="F1" s="62"/>
      <c r="G1" s="62"/>
      <c r="H1" s="62"/>
    </row>
    <row r="3" spans="1:8" x14ac:dyDescent="0.3">
      <c r="A3" s="41"/>
    </row>
    <row r="4" spans="1:8" ht="32.25" x14ac:dyDescent="0.3">
      <c r="A4" s="42" t="s">
        <v>108</v>
      </c>
      <c r="B4" s="42" t="s">
        <v>109</v>
      </c>
      <c r="C4" s="42" t="s">
        <v>110</v>
      </c>
      <c r="D4" s="42" t="s">
        <v>111</v>
      </c>
      <c r="E4" s="42" t="s">
        <v>112</v>
      </c>
      <c r="F4" s="42" t="s">
        <v>0</v>
      </c>
      <c r="G4" s="42" t="s">
        <v>113</v>
      </c>
      <c r="H4" s="43" t="s">
        <v>114</v>
      </c>
    </row>
    <row r="5" spans="1:8" x14ac:dyDescent="0.3">
      <c r="A5" s="44"/>
      <c r="B5" s="44"/>
      <c r="C5" s="44"/>
      <c r="D5" s="44"/>
      <c r="E5" s="44"/>
      <c r="F5" s="44"/>
      <c r="G5" s="44"/>
      <c r="H5" s="44"/>
    </row>
    <row r="6" spans="1:8" x14ac:dyDescent="0.3">
      <c r="A6" s="44">
        <v>1</v>
      </c>
      <c r="B6" s="45">
        <v>45659</v>
      </c>
      <c r="C6" s="45">
        <v>45677</v>
      </c>
      <c r="D6" s="46">
        <f>C6-B6</f>
        <v>18</v>
      </c>
      <c r="E6" s="47" cm="1">
        <f t="array" ref="E6">_xlfn.IFS(D6&gt;20,100,D6&gt;=5,80,D6&lt;5,50)</f>
        <v>80</v>
      </c>
      <c r="F6" s="48">
        <f>D6*E6</f>
        <v>1440</v>
      </c>
      <c r="G6" s="48">
        <f>F6*$C$20</f>
        <v>331.2</v>
      </c>
      <c r="H6" s="48">
        <f>SUM(F6:G6)</f>
        <v>1771.2</v>
      </c>
    </row>
    <row r="7" spans="1:8" x14ac:dyDescent="0.3">
      <c r="A7" s="44">
        <v>2</v>
      </c>
      <c r="B7" s="45">
        <v>45691</v>
      </c>
      <c r="C7" s="45">
        <v>45693</v>
      </c>
      <c r="D7" s="46">
        <f t="shared" ref="D7:D11" si="0">C7-B7</f>
        <v>2</v>
      </c>
      <c r="E7" s="47" cm="1">
        <f t="array" ref="E7">_xlfn.IFS(D7&gt;20,100,D7&gt;=5,80,D7&lt;5,50)</f>
        <v>50</v>
      </c>
      <c r="F7" s="48">
        <f t="shared" ref="F7:F11" si="1">D7*E7</f>
        <v>100</v>
      </c>
      <c r="G7" s="48">
        <f t="shared" ref="G7:G11" si="2">F7*$C$20</f>
        <v>23</v>
      </c>
      <c r="H7" s="48">
        <f t="shared" ref="H7:H11" si="3">SUM(F7:G7)</f>
        <v>123</v>
      </c>
    </row>
    <row r="8" spans="1:8" x14ac:dyDescent="0.3">
      <c r="A8" s="44">
        <v>3</v>
      </c>
      <c r="B8" s="45">
        <v>45682</v>
      </c>
      <c r="C8" s="45">
        <v>45698</v>
      </c>
      <c r="D8" s="46">
        <f t="shared" si="0"/>
        <v>16</v>
      </c>
      <c r="E8" s="47" cm="1">
        <f t="array" ref="E8">_xlfn.IFS(D8&gt;20,100,D8&gt;=5,80,D8&lt;5,50)</f>
        <v>80</v>
      </c>
      <c r="F8" s="48">
        <f t="shared" si="1"/>
        <v>1280</v>
      </c>
      <c r="G8" s="48">
        <f t="shared" si="2"/>
        <v>294.40000000000003</v>
      </c>
      <c r="H8" s="48">
        <f t="shared" si="3"/>
        <v>1574.4</v>
      </c>
    </row>
    <row r="9" spans="1:8" x14ac:dyDescent="0.3">
      <c r="A9" s="44">
        <v>4</v>
      </c>
      <c r="B9" s="45">
        <v>45703</v>
      </c>
      <c r="C9" s="45">
        <v>45708</v>
      </c>
      <c r="D9" s="46">
        <f t="shared" si="0"/>
        <v>5</v>
      </c>
      <c r="E9" s="47" cm="1">
        <f t="array" ref="E9">_xlfn.IFS(D9&gt;20,100,D9&gt;=5,80,D9&lt;5,50)</f>
        <v>80</v>
      </c>
      <c r="F9" s="48">
        <f t="shared" si="1"/>
        <v>400</v>
      </c>
      <c r="G9" s="48">
        <f t="shared" si="2"/>
        <v>92</v>
      </c>
      <c r="H9" s="48">
        <f t="shared" si="3"/>
        <v>492</v>
      </c>
    </row>
    <row r="10" spans="1:8" x14ac:dyDescent="0.3">
      <c r="A10" s="44">
        <v>5</v>
      </c>
      <c r="B10" s="45">
        <v>45687</v>
      </c>
      <c r="C10" s="45">
        <v>45709</v>
      </c>
      <c r="D10" s="46">
        <f t="shared" si="0"/>
        <v>22</v>
      </c>
      <c r="E10" s="47" cm="1">
        <f t="array" ref="E10">_xlfn.IFS(D10&gt;20,100,D10&gt;=5,80,D10&lt;5,50)</f>
        <v>100</v>
      </c>
      <c r="F10" s="48">
        <f t="shared" si="1"/>
        <v>2200</v>
      </c>
      <c r="G10" s="48">
        <f t="shared" si="2"/>
        <v>506</v>
      </c>
      <c r="H10" s="48">
        <f t="shared" si="3"/>
        <v>2706</v>
      </c>
    </row>
    <row r="11" spans="1:8" x14ac:dyDescent="0.3">
      <c r="A11" s="44">
        <v>6</v>
      </c>
      <c r="B11" s="45">
        <v>45699</v>
      </c>
      <c r="C11" s="45">
        <v>45708</v>
      </c>
      <c r="D11" s="46">
        <f t="shared" si="0"/>
        <v>9</v>
      </c>
      <c r="E11" s="47" cm="1">
        <f t="array" ref="E11">_xlfn.IFS(D11&gt;20,100,D11&gt;=5,80,D11&lt;5,50)</f>
        <v>80</v>
      </c>
      <c r="F11" s="48">
        <f t="shared" si="1"/>
        <v>720</v>
      </c>
      <c r="G11" s="48">
        <f t="shared" si="2"/>
        <v>165.6</v>
      </c>
      <c r="H11" s="48">
        <f t="shared" si="3"/>
        <v>885.6</v>
      </c>
    </row>
    <row r="15" spans="1:8" x14ac:dyDescent="0.3">
      <c r="C15" s="49" t="s">
        <v>115</v>
      </c>
    </row>
    <row r="16" spans="1:8" x14ac:dyDescent="0.3">
      <c r="C16" s="29" t="s">
        <v>116</v>
      </c>
    </row>
    <row r="17" spans="3:3" x14ac:dyDescent="0.3">
      <c r="C17" s="29" t="s">
        <v>117</v>
      </c>
    </row>
    <row r="18" spans="3:3" x14ac:dyDescent="0.3">
      <c r="C18" s="29"/>
    </row>
    <row r="19" spans="3:3" x14ac:dyDescent="0.3">
      <c r="C19" s="50" t="s">
        <v>118</v>
      </c>
    </row>
    <row r="20" spans="3:3" x14ac:dyDescent="0.3">
      <c r="C20" s="51">
        <v>0.23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8BF7AC-6E9B-4127-9479-F3AE239D34C8}">
  <ds:schemaRefs>
    <ds:schemaRef ds:uri="http://schemas.microsoft.com/office/2006/metadata/properties"/>
    <ds:schemaRef ds:uri="http://schemas.microsoft.com/office/infopath/2007/PartnerControls"/>
    <ds:schemaRef ds:uri="c84505af-92a9-49b7-b861-d76ad642db97"/>
    <ds:schemaRef ds:uri="2faecd36-d5e6-4ac1-b266-74ab24c6ce22"/>
  </ds:schemaRefs>
</ds:datastoreItem>
</file>

<file path=customXml/itemProps2.xml><?xml version="1.0" encoding="utf-8"?>
<ds:datastoreItem xmlns:ds="http://schemas.openxmlformats.org/officeDocument/2006/customXml" ds:itemID="{4E57694C-6D8C-4600-9FDE-D00E63DB08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2768B3-6A01-494C-BBC8-72A90A64D5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4505af-92a9-49b7-b861-d76ad642db97"/>
    <ds:schemaRef ds:uri="2faecd36-d5e6-4ac1-b266-74ab24c6c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ExIF</vt:lpstr>
      <vt:lpstr>ExIF2</vt:lpstr>
      <vt:lpstr>ExIfs</vt:lpstr>
      <vt:lpstr>ExIFS2</vt:lpstr>
      <vt:lpstr>ExIfs3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jalaram</dc:creator>
  <cp:lastModifiedBy>MANOEL BARATA</cp:lastModifiedBy>
  <dcterms:created xsi:type="dcterms:W3CDTF">2012-11-29T16:57:32Z</dcterms:created>
  <dcterms:modified xsi:type="dcterms:W3CDTF">2025-07-11T14:51:17Z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