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Aula 18 Junho\"/>
    </mc:Choice>
  </mc:AlternateContent>
  <xr:revisionPtr revIDLastSave="0" documentId="13_ncr:1_{8A0FF3B6-B8CE-460C-A646-A1E3455C9902}" xr6:coauthVersionLast="47" xr6:coauthVersionMax="47" xr10:uidLastSave="{00000000-0000-0000-0000-000000000000}"/>
  <bookViews>
    <workbookView xWindow="-120" yWindow="-120" windowWidth="20730" windowHeight="11160" tabRatio="546" activeTab="1" xr2:uid="{00000000-000D-0000-FFFF-FFFF00000000}"/>
  </bookViews>
  <sheets>
    <sheet name="FunTexto" sheetId="10" r:id="rId1"/>
    <sheet name="FunTexto2" sheetId="9" r:id="rId2"/>
  </sheets>
  <definedNames>
    <definedName name="dad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9" l="1"/>
  <c r="G6" i="9"/>
  <c r="G7" i="9"/>
  <c r="G8" i="9"/>
  <c r="G9" i="9"/>
  <c r="G10" i="9"/>
  <c r="G11" i="9"/>
  <c r="G12" i="9"/>
  <c r="G13" i="9"/>
  <c r="G14" i="9"/>
  <c r="G15" i="9"/>
  <c r="G4" i="9"/>
  <c r="D5" i="9"/>
  <c r="D6" i="9"/>
  <c r="D7" i="9"/>
  <c r="D8" i="9"/>
  <c r="D9" i="9"/>
  <c r="D10" i="9"/>
  <c r="D11" i="9"/>
  <c r="D12" i="9"/>
  <c r="D13" i="9"/>
  <c r="D14" i="9"/>
  <c r="D15" i="9"/>
  <c r="D4" i="9"/>
  <c r="H6" i="10"/>
  <c r="H7" i="10"/>
  <c r="H8" i="10"/>
  <c r="H5" i="10"/>
  <c r="D6" i="10"/>
  <c r="D7" i="10"/>
  <c r="D8" i="10"/>
  <c r="D5" i="10"/>
  <c r="C6" i="10"/>
  <c r="C7" i="10"/>
  <c r="C8" i="10"/>
  <c r="C5" i="10"/>
</calcChain>
</file>

<file path=xl/sharedStrings.xml><?xml version="1.0" encoding="utf-8"?>
<sst xmlns="http://schemas.openxmlformats.org/spreadsheetml/2006/main" count="63" uniqueCount="50">
  <si>
    <t>CAT</t>
  </si>
  <si>
    <t>Código</t>
  </si>
  <si>
    <t>CodFinal</t>
  </si>
  <si>
    <t>Marca</t>
  </si>
  <si>
    <t>Memória</t>
  </si>
  <si>
    <t>ST</t>
  </si>
  <si>
    <t xml:space="preserve">Samsung Galaxy Tab 3 10.1 P5210 Wi-Fi </t>
  </si>
  <si>
    <t>RAM 1 GB, Flash 16 GB</t>
  </si>
  <si>
    <t xml:space="preserve">Samsung Galaxy Tab 3 8.0 T310 Wi-Fi </t>
  </si>
  <si>
    <t>RAM 1,5GB / Flash 16GB</t>
  </si>
  <si>
    <t xml:space="preserve">Samsung Galaxy Tab 4 10.1 Wi-Fi Preto </t>
  </si>
  <si>
    <t>Memória RAM de 1,5 GB</t>
  </si>
  <si>
    <t xml:space="preserve">Samsung Galaxy Tab 3 Lite Wi-Fi T110 </t>
  </si>
  <si>
    <t>8GB ROM, 1GB RAM</t>
  </si>
  <si>
    <t xml:space="preserve">Samsung Galaxy Note 10.1 2014 Edi. BK </t>
  </si>
  <si>
    <t xml:space="preserve"> 3GB RAM 16GB Wi-Fi P600</t>
  </si>
  <si>
    <t>Samsung Galaxy Tab PRO 10.1 T520 Wi-Fi</t>
  </si>
  <si>
    <t>ROM 16GB, RAM 2GB</t>
  </si>
  <si>
    <t xml:space="preserve">Samsung Galaxy Tab 4 10.1 4G Branco </t>
  </si>
  <si>
    <t>1,5GB RAM 16GB Kit-Kat</t>
  </si>
  <si>
    <t xml:space="preserve">Samsung Galaxy Tab PRO 10.1 T525 4G </t>
  </si>
  <si>
    <t>Octa Core 2GB RAM 16GB Preto</t>
  </si>
  <si>
    <t xml:space="preserve">Samsung Galaxy Tab S 10.5"White 4G </t>
  </si>
  <si>
    <t>Octa Core Super AMOLED 3GB/16GB</t>
  </si>
  <si>
    <t>Samsung Galaxy Note Pro 12.2 WiFi, 32Gb, Branco</t>
  </si>
  <si>
    <t>STAB</t>
  </si>
  <si>
    <t>TABLET SAMSUNG TAB3 7 3G 8GB WHT</t>
  </si>
  <si>
    <t>1GB</t>
  </si>
  <si>
    <t>TABLET SAMSUNG NOTE 16GB WHITE</t>
  </si>
  <si>
    <t>16 / 32 / 64 GB</t>
  </si>
  <si>
    <t>Localização</t>
  </si>
  <si>
    <t>Depto</t>
  </si>
  <si>
    <t>A2513CPD</t>
  </si>
  <si>
    <t>A2514DRH</t>
  </si>
  <si>
    <t>A2515ENG</t>
  </si>
  <si>
    <t>A2516ADM</t>
  </si>
  <si>
    <t>Funções de Texto</t>
  </si>
  <si>
    <t>5 Letras iniciais</t>
  </si>
  <si>
    <t>3 Letras Finais</t>
  </si>
  <si>
    <t>EYASSUS2018</t>
  </si>
  <si>
    <t>EYTAXUS2018</t>
  </si>
  <si>
    <t>EYADVPT2018</t>
  </si>
  <si>
    <t>EYTECUK2018</t>
  </si>
  <si>
    <t>Deptº</t>
  </si>
  <si>
    <t>5 letras - a partir do caracter número 2</t>
  </si>
  <si>
    <t>ESQUERDA</t>
  </si>
  <si>
    <t>DIREITA</t>
  </si>
  <si>
    <t>SEG.TEXTO</t>
  </si>
  <si>
    <t>CONCAT</t>
  </si>
  <si>
    <t>Com traço (hífen)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</si>
</sst>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7" fillId="3" borderId="1" xfId="0" applyFont="1" applyFill="1" applyBorder="1"/>
    <xf numFmtId="0" fontId="9" fillId="0" borderId="0" xfId="0" applyFont="1"/>
    <xf numFmtId="0" fontId="0" fillId="0" borderId="0" xfId="0" applyAlignment="1">
      <alignment horizontal="center" vertical="center"/>
    </xf>
  </cellXfs>
  <cellStyles count="3">
    <cellStyle name="Euro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="110" zoomScaleNormal="110" workbookViewId="0">
      <selection activeCell="G13" sqref="G13"/>
    </sheetView>
  </sheetViews>
  <sheetFormatPr defaultRowHeight="15" x14ac:dyDescent="0.25"/>
  <cols>
    <col min="2" max="2" width="13.140625" customWidth="1"/>
    <col min="3" max="4" width="16" customWidth="1"/>
    <col min="6" max="6" width="12.42578125" customWidth="1"/>
    <col min="7" max="7" width="23.140625" customWidth="1"/>
    <col min="8" max="8" width="15.140625" customWidth="1"/>
  </cols>
  <sheetData>
    <row r="1" spans="1:8" ht="18.75" x14ac:dyDescent="0.3">
      <c r="A1" s="10" t="s">
        <v>36</v>
      </c>
    </row>
    <row r="3" spans="1:8" ht="18.75" x14ac:dyDescent="0.3">
      <c r="B3" s="8"/>
      <c r="C3" s="7" t="s">
        <v>45</v>
      </c>
      <c r="D3" s="7" t="s">
        <v>46</v>
      </c>
      <c r="H3" s="11" t="s">
        <v>47</v>
      </c>
    </row>
    <row r="4" spans="1:8" x14ac:dyDescent="0.25">
      <c r="B4" s="9" t="s">
        <v>30</v>
      </c>
      <c r="C4" s="9" t="s">
        <v>1</v>
      </c>
      <c r="D4" s="9" t="s">
        <v>31</v>
      </c>
      <c r="G4" s="9" t="s">
        <v>1</v>
      </c>
      <c r="H4" s="9" t="s">
        <v>43</v>
      </c>
    </row>
    <row r="5" spans="1:8" x14ac:dyDescent="0.25">
      <c r="B5" s="1" t="s">
        <v>32</v>
      </c>
      <c r="C5" s="1" t="str">
        <f>LEFT(B5,5)</f>
        <v>A2513</v>
      </c>
      <c r="D5" s="1" t="str">
        <f>RIGHT(B5,3)</f>
        <v>CPD</v>
      </c>
      <c r="G5" s="1" t="s">
        <v>39</v>
      </c>
      <c r="H5" s="1" t="str">
        <f>MID(G5,3,5)</f>
        <v>ASSUS</v>
      </c>
    </row>
    <row r="6" spans="1:8" x14ac:dyDescent="0.25">
      <c r="B6" s="1" t="s">
        <v>33</v>
      </c>
      <c r="C6" s="1" t="str">
        <f t="shared" ref="C6:C8" si="0">LEFT(B6,5)</f>
        <v>A2514</v>
      </c>
      <c r="D6" s="1" t="str">
        <f t="shared" ref="D6:D8" si="1">RIGHT(B6,3)</f>
        <v>DRH</v>
      </c>
      <c r="G6" s="1" t="s">
        <v>40</v>
      </c>
      <c r="H6" s="1" t="str">
        <f t="shared" ref="H6:H8" si="2">MID(G6,3,5)</f>
        <v>TAXUS</v>
      </c>
    </row>
    <row r="7" spans="1:8" x14ac:dyDescent="0.25">
      <c r="B7" s="1" t="s">
        <v>34</v>
      </c>
      <c r="C7" s="1" t="str">
        <f t="shared" si="0"/>
        <v>A2515</v>
      </c>
      <c r="D7" s="1" t="str">
        <f t="shared" si="1"/>
        <v>ENG</v>
      </c>
      <c r="G7" s="1" t="s">
        <v>41</v>
      </c>
      <c r="H7" s="1" t="str">
        <f t="shared" si="2"/>
        <v>ADVPT</v>
      </c>
    </row>
    <row r="8" spans="1:8" x14ac:dyDescent="0.25">
      <c r="B8" s="1" t="s">
        <v>35</v>
      </c>
      <c r="C8" s="1" t="str">
        <f t="shared" si="0"/>
        <v>A2516</v>
      </c>
      <c r="D8" s="1" t="str">
        <f t="shared" si="1"/>
        <v>ADM</v>
      </c>
      <c r="G8" s="1" t="s">
        <v>42</v>
      </c>
      <c r="H8" s="1" t="str">
        <f t="shared" si="2"/>
        <v>TECUK</v>
      </c>
    </row>
    <row r="10" spans="1:8" x14ac:dyDescent="0.25">
      <c r="C10" t="s">
        <v>37</v>
      </c>
      <c r="D10" t="s">
        <v>38</v>
      </c>
      <c r="H1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8"/>
  <sheetViews>
    <sheetView tabSelected="1" zoomScale="110" zoomScaleNormal="110" workbookViewId="0">
      <selection activeCell="J7" sqref="J7"/>
    </sheetView>
  </sheetViews>
  <sheetFormatPr defaultRowHeight="15" x14ac:dyDescent="0.25"/>
  <cols>
    <col min="1" max="1" width="1.7109375" customWidth="1"/>
    <col min="2" max="2" width="9.140625" style="7"/>
    <col min="3" max="3" width="7.5703125" style="7" bestFit="1" customWidth="1"/>
    <col min="4" max="4" width="12.5703125" customWidth="1"/>
    <col min="5" max="5" width="36.28515625" customWidth="1"/>
    <col min="6" max="6" width="33" bestFit="1" customWidth="1"/>
    <col min="7" max="7" width="18.85546875" customWidth="1"/>
  </cols>
  <sheetData>
    <row r="1" spans="2:7" x14ac:dyDescent="0.25">
      <c r="G1" t="s">
        <v>49</v>
      </c>
    </row>
    <row r="2" spans="2:7" x14ac:dyDescent="0.25">
      <c r="D2" s="7" t="s">
        <v>48</v>
      </c>
    </row>
    <row r="3" spans="2:7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</row>
    <row r="4" spans="2:7" ht="15.75" x14ac:dyDescent="0.25">
      <c r="B4" s="6" t="s">
        <v>5</v>
      </c>
      <c r="C4" s="4">
        <v>201</v>
      </c>
      <c r="D4" s="4" t="str">
        <f>_xlfn.CONCAT(B4,C4)</f>
        <v>ST201</v>
      </c>
      <c r="E4" s="1" t="s">
        <v>6</v>
      </c>
      <c r="F4" s="1" t="s">
        <v>7</v>
      </c>
      <c r="G4" t="str">
        <f>_xlfn.CONCAT(B4,"-",D4)</f>
        <v>ST-ST201</v>
      </c>
    </row>
    <row r="5" spans="2:7" ht="15.75" x14ac:dyDescent="0.25">
      <c r="B5" s="6" t="s">
        <v>5</v>
      </c>
      <c r="C5" s="4">
        <v>250</v>
      </c>
      <c r="D5" s="4" t="str">
        <f t="shared" ref="D5:D15" si="0">_xlfn.CONCAT(B5,C5)</f>
        <v>ST250</v>
      </c>
      <c r="E5" s="1" t="s">
        <v>8</v>
      </c>
      <c r="F5" s="1" t="s">
        <v>9</v>
      </c>
      <c r="G5" t="str">
        <f t="shared" ref="G5:G15" si="1">_xlfn.CONCAT(B5,"-",D5)</f>
        <v>ST-ST250</v>
      </c>
    </row>
    <row r="6" spans="2:7" ht="15.75" x14ac:dyDescent="0.25">
      <c r="B6" s="6" t="s">
        <v>5</v>
      </c>
      <c r="C6" s="4">
        <v>203</v>
      </c>
      <c r="D6" s="4" t="str">
        <f t="shared" si="0"/>
        <v>ST203</v>
      </c>
      <c r="E6" s="1" t="s">
        <v>10</v>
      </c>
      <c r="F6" s="1" t="s">
        <v>11</v>
      </c>
      <c r="G6" t="str">
        <f t="shared" si="1"/>
        <v>ST-ST203</v>
      </c>
    </row>
    <row r="7" spans="2:7" ht="15.75" x14ac:dyDescent="0.25">
      <c r="B7" s="6" t="s">
        <v>5</v>
      </c>
      <c r="C7" s="4">
        <v>450</v>
      </c>
      <c r="D7" s="4" t="str">
        <f t="shared" si="0"/>
        <v>ST450</v>
      </c>
      <c r="E7" s="1" t="s">
        <v>12</v>
      </c>
      <c r="F7" s="1" t="s">
        <v>13</v>
      </c>
      <c r="G7" t="str">
        <f t="shared" si="1"/>
        <v>ST-ST450</v>
      </c>
    </row>
    <row r="8" spans="2:7" ht="15.75" x14ac:dyDescent="0.25">
      <c r="B8" s="6" t="s">
        <v>5</v>
      </c>
      <c r="C8" s="4">
        <v>205</v>
      </c>
      <c r="D8" s="4" t="str">
        <f t="shared" si="0"/>
        <v>ST205</v>
      </c>
      <c r="E8" s="1" t="s">
        <v>14</v>
      </c>
      <c r="F8" s="1" t="s">
        <v>15</v>
      </c>
      <c r="G8" t="str">
        <f t="shared" si="1"/>
        <v>ST-ST205</v>
      </c>
    </row>
    <row r="9" spans="2:7" ht="15.75" x14ac:dyDescent="0.25">
      <c r="B9" s="6" t="s">
        <v>5</v>
      </c>
      <c r="C9" s="4">
        <v>232</v>
      </c>
      <c r="D9" s="4" t="str">
        <f t="shared" si="0"/>
        <v>ST232</v>
      </c>
      <c r="E9" s="1" t="s">
        <v>16</v>
      </c>
      <c r="F9" s="1" t="s">
        <v>17</v>
      </c>
      <c r="G9" t="str">
        <f t="shared" si="1"/>
        <v>ST-ST232</v>
      </c>
    </row>
    <row r="10" spans="2:7" ht="15.75" x14ac:dyDescent="0.25">
      <c r="B10" s="6" t="s">
        <v>5</v>
      </c>
      <c r="C10" s="4">
        <v>207</v>
      </c>
      <c r="D10" s="4" t="str">
        <f t="shared" si="0"/>
        <v>ST207</v>
      </c>
      <c r="E10" s="1" t="s">
        <v>18</v>
      </c>
      <c r="F10" s="1" t="s">
        <v>19</v>
      </c>
      <c r="G10" t="str">
        <f t="shared" si="1"/>
        <v>ST-ST207</v>
      </c>
    </row>
    <row r="11" spans="2:7" ht="15.75" x14ac:dyDescent="0.25">
      <c r="B11" s="6" t="s">
        <v>5</v>
      </c>
      <c r="C11" s="4">
        <v>208</v>
      </c>
      <c r="D11" s="4" t="str">
        <f t="shared" si="0"/>
        <v>ST208</v>
      </c>
      <c r="E11" s="1" t="s">
        <v>20</v>
      </c>
      <c r="F11" s="1" t="s">
        <v>21</v>
      </c>
      <c r="G11" t="str">
        <f t="shared" si="1"/>
        <v>ST-ST208</v>
      </c>
    </row>
    <row r="12" spans="2:7" ht="15.75" x14ac:dyDescent="0.25">
      <c r="B12" s="6" t="s">
        <v>5</v>
      </c>
      <c r="C12" s="4">
        <v>345</v>
      </c>
      <c r="D12" s="4" t="str">
        <f t="shared" si="0"/>
        <v>ST345</v>
      </c>
      <c r="E12" s="1" t="s">
        <v>22</v>
      </c>
      <c r="F12" s="1" t="s">
        <v>23</v>
      </c>
      <c r="G12" t="str">
        <f t="shared" si="1"/>
        <v>ST-ST345</v>
      </c>
    </row>
    <row r="13" spans="2:7" ht="15.75" x14ac:dyDescent="0.25">
      <c r="B13" s="6" t="s">
        <v>5</v>
      </c>
      <c r="C13" s="4">
        <v>210</v>
      </c>
      <c r="D13" s="4" t="str">
        <f t="shared" si="0"/>
        <v>ST210</v>
      </c>
      <c r="E13" s="1" t="s">
        <v>24</v>
      </c>
      <c r="F13" s="1" t="s">
        <v>15</v>
      </c>
      <c r="G13" t="str">
        <f t="shared" si="1"/>
        <v>ST-ST210</v>
      </c>
    </row>
    <row r="14" spans="2:7" ht="15.75" x14ac:dyDescent="0.25">
      <c r="B14" s="6" t="s">
        <v>25</v>
      </c>
      <c r="C14" s="4">
        <v>540</v>
      </c>
      <c r="D14" s="4" t="str">
        <f t="shared" si="0"/>
        <v>STAB540</v>
      </c>
      <c r="E14" s="1" t="s">
        <v>26</v>
      </c>
      <c r="F14" s="5" t="s">
        <v>27</v>
      </c>
      <c r="G14" t="str">
        <f t="shared" si="1"/>
        <v>STAB-STAB540</v>
      </c>
    </row>
    <row r="15" spans="2:7" ht="15.75" x14ac:dyDescent="0.25">
      <c r="B15" s="6" t="s">
        <v>25</v>
      </c>
      <c r="C15" s="4">
        <v>420</v>
      </c>
      <c r="D15" s="4" t="str">
        <f t="shared" si="0"/>
        <v>STAB420</v>
      </c>
      <c r="E15" s="1" t="s">
        <v>28</v>
      </c>
      <c r="F15" s="5" t="s">
        <v>29</v>
      </c>
      <c r="G15" t="str">
        <f t="shared" si="1"/>
        <v>STAB-STAB420</v>
      </c>
    </row>
    <row r="18" spans="4:4" ht="15.75" x14ac:dyDescent="0.25"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FunTexto</vt:lpstr>
      <vt:lpstr>FunTexto2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</dc:creator>
  <cp:lastModifiedBy>MANOEL BARATA</cp:lastModifiedBy>
  <dcterms:created xsi:type="dcterms:W3CDTF">2011-08-08T16:48:02Z</dcterms:created>
  <dcterms:modified xsi:type="dcterms:W3CDTF">2025-06-25T16:31:35Z</dcterms:modified>
</cp:coreProperties>
</file>