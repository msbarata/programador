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 18 Junho\"/>
    </mc:Choice>
  </mc:AlternateContent>
  <xr:revisionPtr revIDLastSave="0" documentId="13_ncr:1_{F932D7AB-28CA-4DAA-975C-BA3E93E34EFD}" xr6:coauthVersionLast="47" xr6:coauthVersionMax="47" xr10:uidLastSave="{00000000-0000-0000-0000-000000000000}"/>
  <bookViews>
    <workbookView xWindow="-120" yWindow="-120" windowWidth="20730" windowHeight="11160" activeTab="3" xr2:uid="{8EDC56BD-6901-4827-8DC2-85FD535FCB45}"/>
  </bookViews>
  <sheets>
    <sheet name="Ex1" sheetId="1" r:id="rId1"/>
    <sheet name="Ex1 (2)" sheetId="4" r:id="rId2"/>
    <sheet name="Ex2" sheetId="3" r:id="rId3"/>
    <sheet name="Folha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2" i="6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5" i="1"/>
  <c r="E6" i="1"/>
  <c r="E7" i="1"/>
  <c r="E8" i="1"/>
  <c r="E9" i="1"/>
  <c r="E10" i="1"/>
  <c r="E11" i="1"/>
  <c r="E12" i="1"/>
  <c r="E13" i="1"/>
  <c r="E14" i="1"/>
  <c r="E15" i="1"/>
  <c r="E16" i="1"/>
  <c r="E4" i="1"/>
</calcChain>
</file>

<file path=xl/sharedStrings.xml><?xml version="1.0" encoding="utf-8"?>
<sst xmlns="http://schemas.openxmlformats.org/spreadsheetml/2006/main" count="64" uniqueCount="31">
  <si>
    <t>Balança Comercial Portuguesa em BilIões de Dólares</t>
  </si>
  <si>
    <t>Ano</t>
  </si>
  <si>
    <t>Exportação</t>
  </si>
  <si>
    <t>Importação</t>
  </si>
  <si>
    <t>Saldo</t>
  </si>
  <si>
    <t>Instruções</t>
  </si>
  <si>
    <t>1- Formatar como Tabela</t>
  </si>
  <si>
    <t>2- Calcular o Saldo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</si>
  <si>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</si>
  <si>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</si>
  <si>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</si>
  <si>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</si>
  <si>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</si>
  <si>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</si>
  <si>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</si>
  <si>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</si>
  <si>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</si>
  <si>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Project J</t>
  </si>
  <si>
    <t>Project K</t>
  </si>
  <si>
    <t>Project L</t>
  </si>
  <si>
    <t>Project M</t>
  </si>
  <si>
    <t>Project N</t>
  </si>
  <si>
    <t>Nome Projecto</t>
  </si>
  <si>
    <t>Data Ínicio</t>
  </si>
  <si>
    <t>Data Final</t>
  </si>
  <si>
    <t>Duração</t>
  </si>
  <si>
    <t>Membros Equipa</t>
  </si>
  <si>
    <t>Orçamento Projectado</t>
  </si>
  <si>
    <t>Orçamento Actual</t>
  </si>
  <si>
    <t>2- Calcular a Duração  e o Saldo</t>
  </si>
  <si>
    <t>3- Utilizar o Slicer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</si>
</sst>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mm/dd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6A3AF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/>
    <xf numFmtId="166" fontId="6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/>
    <xf numFmtId="0" fontId="8" fillId="3" borderId="4" xfId="0" applyFont="1" applyFill="1" applyBorder="1" applyAlignment="1">
      <alignment horizontal="center" vertical="center"/>
    </xf>
    <xf numFmtId="165" fontId="6" fillId="3" borderId="4" xfId="1" applyNumberFormat="1" applyFont="1" applyFill="1" applyBorder="1" applyAlignment="1">
      <alignment horizontal="right"/>
    </xf>
    <xf numFmtId="165" fontId="9" fillId="3" borderId="4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/>
    <xf numFmtId="164" fontId="0" fillId="0" borderId="0" xfId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8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A038F-EDC1-4BA5-B60A-F2708E6C21CF}" name="Tabela1" displayName="Tabela1" ref="B3:E16" totalsRowShown="0" headerRowDxfId="3" tableBorderDxfId="7">
  <autoFilter ref="B3:E16" xr:uid="{20CA038F-EDC1-4BA5-B60A-F2708E6C21CF}"/>
  <tableColumns count="4">
    <tableColumn id="1" xr3:uid="{6DE71665-F670-4E97-AA99-3115B1C2ED51}" name="Ano" dataDxfId="6"/>
    <tableColumn id="2" xr3:uid="{CD630A54-2793-43C4-AAB8-C86FACA8976E}" name="Exportação" dataDxfId="5"/>
    <tableColumn id="3" xr3:uid="{58F2C37D-6D39-4DFC-9CDE-8E557742F6A2}" name="Importação" dataDxfId="4"/>
    <tableColumn id="4" xr3:uid="{E7CD823F-0BEC-4806-8BE8-0D172DDC80F7}" name="Saldo" dataDxfId="2">
      <calculatedColumnFormula>Tabela1[[#This Row],[Exportação]]-Tabela1[[#This Row],[Importação]]</calculatedColumnFormula>
    </tableColumn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7D9625-19E2-4632-9BCA-6B5F136AE673}" name="Tabela4" displayName="Tabela4" ref="A1:H15" totalsRowShown="0">
  <autoFilter ref="A1:H15" xr:uid="{EE7D9625-19E2-4632-9BCA-6B5F136AE673}"/>
  <tableColumns count="8">
    <tableColumn id="1" xr3:uid="{0F4004BE-D6EB-46A1-AA74-531279FDE374}" name="Nome Projecto"/>
    <tableColumn id="2" xr3:uid="{7BC35B23-083C-4FAB-9593-6635468A69E7}" name="Data Ínicio" dataDxfId="1"/>
    <tableColumn id="3" xr3:uid="{5215ECE0-2C81-44EE-92E0-3681DD8CA794}" name="Data Final" dataDxfId="0"/>
    <tableColumn id="4" xr3:uid="{5636DD6F-E824-4721-B9B7-1E5A0C9D0904}" name="Duração"/>
    <tableColumn id="5" xr3:uid="{7046210F-453E-42E3-8AE7-0FB0757881EE}" name="Membros Equipa"/>
    <tableColumn id="6" xr3:uid="{79229D0C-5D93-488E-80DB-382DE71BE62F}" name="Orçamento Projectado" dataCellStyle="Moeda"/>
    <tableColumn id="7" xr3:uid="{E0D46389-20C8-4BF4-A6FF-9E349BF368DA}" name="Orçamento Actual" dataCellStyle="Moeda"/>
    <tableColumn id="8" xr3:uid="{4B8177D8-E781-47C1-8DAA-A40EA7F6FCAB}" name="Saldo">
      <calculatedColumnFormula>Tabela4[[#This Row],[Orçamento Projectado]]-Tabela4[[#This Row],[Orçamento Actual]]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F9F5-3375-4F1C-93D1-9736B4256534}">
  <dimension ref="A1:G16"/>
  <sheetViews>
    <sheetView workbookViewId="0">
      <selection activeCell="E4" sqref="E4:E16"/>
    </sheetView>
  </sheetViews>
  <sheetFormatPr defaultRowHeight="15" x14ac:dyDescent="0.25"/>
  <cols>
    <col min="1" max="1" width="5.5703125" customWidth="1"/>
    <col min="2" max="2" width="14.42578125" customWidth="1"/>
    <col min="3" max="3" width="16" customWidth="1"/>
    <col min="4" max="4" width="16.140625" customWidth="1"/>
    <col min="5" max="5" width="15.28515625" customWidth="1"/>
    <col min="11" max="11" width="13.5703125" customWidth="1"/>
    <col min="12" max="12" width="11.42578125" bestFit="1" customWidth="1"/>
  </cols>
  <sheetData>
    <row r="1" spans="1:7" x14ac:dyDescent="0.25">
      <c r="A1" s="1" t="s">
        <v>0</v>
      </c>
      <c r="C1" s="2"/>
      <c r="D1" s="2"/>
      <c r="E1" s="2"/>
    </row>
    <row r="2" spans="1:7" x14ac:dyDescent="0.25">
      <c r="B2" s="2"/>
      <c r="C2" s="2"/>
      <c r="D2" s="2"/>
      <c r="E2" s="2"/>
    </row>
    <row r="3" spans="1:7" x14ac:dyDescent="0.25">
      <c r="B3" s="5" t="s">
        <v>1</v>
      </c>
      <c r="C3" s="5" t="s">
        <v>2</v>
      </c>
      <c r="D3" s="5" t="s">
        <v>3</v>
      </c>
      <c r="E3" s="6" t="s">
        <v>4</v>
      </c>
      <c r="G3" s="3" t="s">
        <v>5</v>
      </c>
    </row>
    <row r="4" spans="1:7" x14ac:dyDescent="0.25">
      <c r="B4" s="4">
        <v>2009</v>
      </c>
      <c r="C4" s="4">
        <v>43.5</v>
      </c>
      <c r="D4" s="4">
        <v>33.1</v>
      </c>
      <c r="E4" s="4">
        <f>C4-D4</f>
        <v>10.399999999999999</v>
      </c>
      <c r="G4" t="s">
        <v>6</v>
      </c>
    </row>
    <row r="5" spans="1:7" x14ac:dyDescent="0.25">
      <c r="B5" s="4">
        <v>2010</v>
      </c>
      <c r="C5" s="4">
        <v>46.5</v>
      </c>
      <c r="D5" s="4">
        <v>50</v>
      </c>
      <c r="E5" s="4">
        <f t="shared" ref="E5:E16" si="0">C5-D5</f>
        <v>-3.5</v>
      </c>
      <c r="G5" t="s">
        <v>7</v>
      </c>
    </row>
    <row r="6" spans="1:7" x14ac:dyDescent="0.25">
      <c r="B6" s="4">
        <v>2011</v>
      </c>
      <c r="C6" s="4">
        <v>47.7</v>
      </c>
      <c r="D6" s="4">
        <v>53.3</v>
      </c>
      <c r="E6" s="4">
        <f t="shared" si="0"/>
        <v>-5.5999999999999943</v>
      </c>
    </row>
    <row r="7" spans="1:7" x14ac:dyDescent="0.25">
      <c r="B7" s="4">
        <v>2012</v>
      </c>
      <c r="C7" s="4">
        <v>61</v>
      </c>
      <c r="D7" s="4">
        <v>59.7</v>
      </c>
      <c r="E7" s="4">
        <f t="shared" si="0"/>
        <v>1.2999999999999972</v>
      </c>
    </row>
    <row r="8" spans="1:7" x14ac:dyDescent="0.25">
      <c r="B8" s="4">
        <v>2013</v>
      </c>
      <c r="C8" s="4">
        <v>51.1</v>
      </c>
      <c r="D8" s="4">
        <v>57.8</v>
      </c>
      <c r="E8" s="4">
        <f t="shared" si="0"/>
        <v>-6.6999999999999957</v>
      </c>
    </row>
    <row r="9" spans="1:7" x14ac:dyDescent="0.25">
      <c r="B9" s="4">
        <v>2014</v>
      </c>
      <c r="C9" s="4">
        <v>48</v>
      </c>
      <c r="D9" s="4">
        <v>49.3</v>
      </c>
      <c r="E9" s="4">
        <f t="shared" si="0"/>
        <v>-1.2999999999999972</v>
      </c>
    </row>
    <row r="10" spans="1:7" x14ac:dyDescent="0.25">
      <c r="B10" s="4">
        <v>2015</v>
      </c>
      <c r="C10" s="4">
        <v>57</v>
      </c>
      <c r="D10" s="4">
        <v>55.8</v>
      </c>
      <c r="E10" s="4">
        <f t="shared" si="0"/>
        <v>1.2000000000000028</v>
      </c>
    </row>
    <row r="11" spans="1:7" x14ac:dyDescent="0.25">
      <c r="B11" s="4">
        <v>2016</v>
      </c>
      <c r="C11" s="4">
        <v>58.2</v>
      </c>
      <c r="D11" s="4">
        <v>55.6</v>
      </c>
      <c r="E11" s="4">
        <f t="shared" si="0"/>
        <v>2.6000000000000014</v>
      </c>
    </row>
    <row r="12" spans="1:7" x14ac:dyDescent="0.25">
      <c r="B12" s="4">
        <v>2017</v>
      </c>
      <c r="C12" s="4">
        <v>60.4</v>
      </c>
      <c r="D12" s="4">
        <v>47.2</v>
      </c>
      <c r="E12" s="4">
        <f t="shared" si="0"/>
        <v>13.199999999999996</v>
      </c>
    </row>
    <row r="13" spans="1:7" x14ac:dyDescent="0.25">
      <c r="B13" s="4">
        <v>2018</v>
      </c>
      <c r="C13" s="4">
        <v>73</v>
      </c>
      <c r="D13" s="4">
        <v>48.2</v>
      </c>
      <c r="E13" s="4">
        <f t="shared" si="0"/>
        <v>24.799999999999997</v>
      </c>
    </row>
    <row r="14" spans="1:7" x14ac:dyDescent="0.25">
      <c r="B14" s="4">
        <v>2019</v>
      </c>
      <c r="C14" s="4">
        <v>96.4</v>
      </c>
      <c r="D14" s="4">
        <v>62.7</v>
      </c>
      <c r="E14" s="4">
        <f t="shared" si="0"/>
        <v>33.700000000000003</v>
      </c>
    </row>
    <row r="15" spans="1:7" x14ac:dyDescent="0.25">
      <c r="B15" s="4">
        <v>2020</v>
      </c>
      <c r="C15" s="4">
        <v>85.4</v>
      </c>
      <c r="D15" s="4">
        <v>82.7</v>
      </c>
      <c r="E15" s="4">
        <f t="shared" si="0"/>
        <v>2.7000000000000028</v>
      </c>
    </row>
    <row r="16" spans="1:7" x14ac:dyDescent="0.25">
      <c r="B16" s="4">
        <v>2021</v>
      </c>
      <c r="C16" s="4">
        <v>124</v>
      </c>
      <c r="D16" s="4">
        <v>82.7</v>
      </c>
      <c r="E16" s="4">
        <f t="shared" si="0"/>
        <v>41.3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D439-696F-4243-ACB3-C1F9C366BA77}">
  <dimension ref="A1:G16"/>
  <sheetViews>
    <sheetView workbookViewId="0">
      <selection activeCell="K7" sqref="K7"/>
    </sheetView>
  </sheetViews>
  <sheetFormatPr defaultRowHeight="15" x14ac:dyDescent="0.25"/>
  <cols>
    <col min="1" max="1" width="5.5703125" customWidth="1"/>
    <col min="2" max="2" width="14.42578125" customWidth="1"/>
    <col min="3" max="3" width="16" customWidth="1"/>
    <col min="4" max="4" width="16.140625" customWidth="1"/>
    <col min="5" max="5" width="15.28515625" customWidth="1"/>
    <col min="11" max="11" width="13.5703125" customWidth="1"/>
    <col min="12" max="12" width="11.42578125" bestFit="1" customWidth="1"/>
  </cols>
  <sheetData>
    <row r="1" spans="1:7" x14ac:dyDescent="0.25">
      <c r="A1" s="1" t="s">
        <v>0</v>
      </c>
      <c r="C1" s="2"/>
      <c r="D1" s="2"/>
      <c r="E1" s="2"/>
    </row>
    <row r="2" spans="1:7" x14ac:dyDescent="0.25">
      <c r="B2" s="2"/>
      <c r="C2" s="2"/>
      <c r="D2" s="2"/>
      <c r="E2" s="2"/>
    </row>
    <row r="3" spans="1:7" x14ac:dyDescent="0.25">
      <c r="B3" s="17" t="s">
        <v>1</v>
      </c>
      <c r="C3" s="18" t="s">
        <v>2</v>
      </c>
      <c r="D3" s="18" t="s">
        <v>3</v>
      </c>
      <c r="E3" s="18" t="s">
        <v>4</v>
      </c>
      <c r="G3" s="3" t="s">
        <v>5</v>
      </c>
    </row>
    <row r="4" spans="1:7" x14ac:dyDescent="0.25">
      <c r="B4" s="15">
        <v>2009</v>
      </c>
      <c r="C4" s="4">
        <v>43.5</v>
      </c>
      <c r="D4" s="4">
        <v>33.1</v>
      </c>
      <c r="E4" s="16">
        <f>Tabela1[[#This Row],[Exportação]]-Tabela1[[#This Row],[Importação]]</f>
        <v>10.399999999999999</v>
      </c>
      <c r="G4" t="s">
        <v>6</v>
      </c>
    </row>
    <row r="5" spans="1:7" x14ac:dyDescent="0.25">
      <c r="B5" s="15">
        <v>2010</v>
      </c>
      <c r="C5" s="4">
        <v>46.5</v>
      </c>
      <c r="D5" s="4">
        <v>50</v>
      </c>
      <c r="E5" s="16">
        <f>Tabela1[[#This Row],[Exportação]]-Tabela1[[#This Row],[Importação]]</f>
        <v>-3.5</v>
      </c>
      <c r="G5" t="s">
        <v>7</v>
      </c>
    </row>
    <row r="6" spans="1:7" x14ac:dyDescent="0.25">
      <c r="B6" s="15">
        <v>2011</v>
      </c>
      <c r="C6" s="4">
        <v>47.7</v>
      </c>
      <c r="D6" s="4">
        <v>53.3</v>
      </c>
      <c r="E6" s="16">
        <f>Tabela1[[#This Row],[Exportação]]-Tabela1[[#This Row],[Importação]]</f>
        <v>-5.5999999999999943</v>
      </c>
    </row>
    <row r="7" spans="1:7" x14ac:dyDescent="0.25">
      <c r="B7" s="15">
        <v>2012</v>
      </c>
      <c r="C7" s="4">
        <v>61</v>
      </c>
      <c r="D7" s="4">
        <v>59.7</v>
      </c>
      <c r="E7" s="16">
        <f>Tabela1[[#This Row],[Exportação]]-Tabela1[[#This Row],[Importação]]</f>
        <v>1.2999999999999972</v>
      </c>
    </row>
    <row r="8" spans="1:7" x14ac:dyDescent="0.25">
      <c r="B8" s="15">
        <v>2013</v>
      </c>
      <c r="C8" s="4">
        <v>51.1</v>
      </c>
      <c r="D8" s="4">
        <v>57.8</v>
      </c>
      <c r="E8" s="16">
        <f>Tabela1[[#This Row],[Exportação]]-Tabela1[[#This Row],[Importação]]</f>
        <v>-6.6999999999999957</v>
      </c>
    </row>
    <row r="9" spans="1:7" x14ac:dyDescent="0.25">
      <c r="B9" s="15">
        <v>2014</v>
      </c>
      <c r="C9" s="4">
        <v>48</v>
      </c>
      <c r="D9" s="4">
        <v>49.3</v>
      </c>
      <c r="E9" s="16">
        <f>Tabela1[[#This Row],[Exportação]]-Tabela1[[#This Row],[Importação]]</f>
        <v>-1.2999999999999972</v>
      </c>
    </row>
    <row r="10" spans="1:7" x14ac:dyDescent="0.25">
      <c r="B10" s="15">
        <v>2015</v>
      </c>
      <c r="C10" s="4">
        <v>57</v>
      </c>
      <c r="D10" s="4">
        <v>55.8</v>
      </c>
      <c r="E10" s="16">
        <f>Tabela1[[#This Row],[Exportação]]-Tabela1[[#This Row],[Importação]]</f>
        <v>1.2000000000000028</v>
      </c>
    </row>
    <row r="11" spans="1:7" x14ac:dyDescent="0.25">
      <c r="B11" s="15">
        <v>2016</v>
      </c>
      <c r="C11" s="4">
        <v>58.2</v>
      </c>
      <c r="D11" s="4">
        <v>55.6</v>
      </c>
      <c r="E11" s="16">
        <f>Tabela1[[#This Row],[Exportação]]-Tabela1[[#This Row],[Importação]]</f>
        <v>2.6000000000000014</v>
      </c>
    </row>
    <row r="12" spans="1:7" x14ac:dyDescent="0.25">
      <c r="B12" s="15">
        <v>2017</v>
      </c>
      <c r="C12" s="4">
        <v>60.4</v>
      </c>
      <c r="D12" s="4">
        <v>47.2</v>
      </c>
      <c r="E12" s="16">
        <f>Tabela1[[#This Row],[Exportação]]-Tabela1[[#This Row],[Importação]]</f>
        <v>13.199999999999996</v>
      </c>
    </row>
    <row r="13" spans="1:7" x14ac:dyDescent="0.25">
      <c r="B13" s="15">
        <v>2018</v>
      </c>
      <c r="C13" s="4">
        <v>73</v>
      </c>
      <c r="D13" s="4">
        <v>48.2</v>
      </c>
      <c r="E13" s="16">
        <f>Tabela1[[#This Row],[Exportação]]-Tabela1[[#This Row],[Importação]]</f>
        <v>24.799999999999997</v>
      </c>
    </row>
    <row r="14" spans="1:7" x14ac:dyDescent="0.25">
      <c r="B14" s="15">
        <v>2019</v>
      </c>
      <c r="C14" s="4">
        <v>96.4</v>
      </c>
      <c r="D14" s="4">
        <v>62.7</v>
      </c>
      <c r="E14" s="16">
        <f>Tabela1[[#This Row],[Exportação]]-Tabela1[[#This Row],[Importação]]</f>
        <v>33.700000000000003</v>
      </c>
    </row>
    <row r="15" spans="1:7" x14ac:dyDescent="0.25">
      <c r="B15" s="15">
        <v>2020</v>
      </c>
      <c r="C15" s="4">
        <v>85.4</v>
      </c>
      <c r="D15" s="4">
        <v>82.7</v>
      </c>
      <c r="E15" s="16">
        <f>Tabela1[[#This Row],[Exportação]]-Tabela1[[#This Row],[Importação]]</f>
        <v>2.7000000000000028</v>
      </c>
    </row>
    <row r="16" spans="1:7" x14ac:dyDescent="0.25">
      <c r="B16" s="19">
        <v>2021</v>
      </c>
      <c r="C16" s="20">
        <v>124</v>
      </c>
      <c r="D16" s="20">
        <v>82.7</v>
      </c>
      <c r="E16" s="21">
        <f>Tabela1[[#This Row],[Exportação]]-Tabela1[[#This Row],[Importação]]</f>
        <v>41.3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1755-DE0E-42A8-BBE6-A503DF80049F}">
  <dimension ref="B2:L17"/>
  <sheetViews>
    <sheetView workbookViewId="0">
      <selection activeCell="B2" sqref="B2:I17"/>
    </sheetView>
  </sheetViews>
  <sheetFormatPr defaultRowHeight="15" x14ac:dyDescent="0.25"/>
  <cols>
    <col min="1" max="1" width="5.85546875" customWidth="1"/>
    <col min="2" max="2" width="24.42578125" customWidth="1"/>
    <col min="3" max="3" width="14.7109375" customWidth="1"/>
    <col min="4" max="4" width="20.5703125" customWidth="1"/>
    <col min="5" max="5" width="13.7109375" customWidth="1"/>
    <col min="6" max="6" width="18.7109375" customWidth="1"/>
    <col min="7" max="7" width="24.5703125" customWidth="1"/>
    <col min="8" max="8" width="27.7109375" customWidth="1"/>
    <col min="9" max="9" width="22.7109375" customWidth="1"/>
    <col min="12" max="12" width="14.7109375" customWidth="1"/>
  </cols>
  <sheetData>
    <row r="2" spans="2:12" x14ac:dyDescent="0.25"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4</v>
      </c>
    </row>
    <row r="3" spans="2:12" x14ac:dyDescent="0.25">
      <c r="B3" s="8" t="s">
        <v>8</v>
      </c>
      <c r="C3" s="9">
        <v>45782</v>
      </c>
      <c r="D3" s="9">
        <v>45839</v>
      </c>
      <c r="E3" s="10"/>
      <c r="F3" s="10">
        <v>10</v>
      </c>
      <c r="G3" s="13">
        <v>1000000</v>
      </c>
      <c r="H3" s="13">
        <v>880000</v>
      </c>
      <c r="I3" s="13"/>
      <c r="L3" s="3" t="s">
        <v>5</v>
      </c>
    </row>
    <row r="4" spans="2:12" x14ac:dyDescent="0.25">
      <c r="B4" s="8" t="s">
        <v>9</v>
      </c>
      <c r="C4" s="9">
        <v>45787</v>
      </c>
      <c r="D4" s="9">
        <v>45879</v>
      </c>
      <c r="E4" s="10"/>
      <c r="F4" s="10">
        <v>2</v>
      </c>
      <c r="G4" s="13">
        <v>900000</v>
      </c>
      <c r="H4" s="13">
        <v>920000</v>
      </c>
      <c r="I4" s="13"/>
      <c r="L4" t="s">
        <v>6</v>
      </c>
    </row>
    <row r="5" spans="2:12" x14ac:dyDescent="0.25">
      <c r="B5" s="8" t="s">
        <v>10</v>
      </c>
      <c r="C5" s="9">
        <v>45818</v>
      </c>
      <c r="D5" s="9">
        <v>45352</v>
      </c>
      <c r="E5" s="10"/>
      <c r="F5" s="10">
        <v>4</v>
      </c>
      <c r="G5" s="13">
        <v>860000</v>
      </c>
      <c r="H5" s="13">
        <v>880000</v>
      </c>
      <c r="I5" s="13"/>
      <c r="L5" t="s">
        <v>29</v>
      </c>
    </row>
    <row r="6" spans="2:12" x14ac:dyDescent="0.25">
      <c r="B6" s="8" t="s">
        <v>11</v>
      </c>
      <c r="C6" s="9">
        <v>45830</v>
      </c>
      <c r="D6" s="9">
        <v>45873</v>
      </c>
      <c r="E6" s="10"/>
      <c r="F6" s="10">
        <v>5</v>
      </c>
      <c r="G6" s="13">
        <v>1000000</v>
      </c>
      <c r="H6" s="13">
        <v>998050</v>
      </c>
      <c r="I6" s="13"/>
      <c r="L6" t="s">
        <v>30</v>
      </c>
    </row>
    <row r="7" spans="2:12" x14ac:dyDescent="0.25">
      <c r="B7" s="8" t="s">
        <v>12</v>
      </c>
      <c r="C7" s="9">
        <v>45852</v>
      </c>
      <c r="D7" s="9">
        <v>45962</v>
      </c>
      <c r="E7" s="10"/>
      <c r="F7" s="10">
        <v>7</v>
      </c>
      <c r="G7" s="13">
        <v>294000</v>
      </c>
      <c r="H7" s="13">
        <v>280000</v>
      </c>
      <c r="I7" s="13"/>
    </row>
    <row r="8" spans="2:12" x14ac:dyDescent="0.25">
      <c r="B8" s="8" t="s">
        <v>13</v>
      </c>
      <c r="C8" s="9">
        <v>45852</v>
      </c>
      <c r="D8" s="9">
        <v>45311</v>
      </c>
      <c r="E8" s="10"/>
      <c r="F8" s="10">
        <v>5</v>
      </c>
      <c r="G8" s="13">
        <v>123400</v>
      </c>
      <c r="H8" s="13">
        <v>125000</v>
      </c>
      <c r="I8" s="13"/>
    </row>
    <row r="9" spans="2:12" x14ac:dyDescent="0.25">
      <c r="B9" s="8" t="s">
        <v>14</v>
      </c>
      <c r="C9" s="9">
        <v>45870</v>
      </c>
      <c r="D9" s="9">
        <v>45931</v>
      </c>
      <c r="E9" s="10"/>
      <c r="F9" s="10">
        <v>12</v>
      </c>
      <c r="G9" s="13">
        <v>250500</v>
      </c>
      <c r="H9" s="13">
        <v>236000</v>
      </c>
      <c r="I9" s="13"/>
    </row>
    <row r="10" spans="2:12" x14ac:dyDescent="0.25">
      <c r="B10" s="8" t="s">
        <v>15</v>
      </c>
      <c r="C10" s="9">
        <v>45883</v>
      </c>
      <c r="D10" s="9">
        <v>45899</v>
      </c>
      <c r="E10" s="10"/>
      <c r="F10" s="10">
        <v>2</v>
      </c>
      <c r="G10" s="13">
        <v>127200</v>
      </c>
      <c r="H10" s="13">
        <v>126000</v>
      </c>
      <c r="I10" s="13"/>
    </row>
    <row r="11" spans="2:12" x14ac:dyDescent="0.25">
      <c r="B11" s="8" t="s">
        <v>16</v>
      </c>
      <c r="C11" s="9">
        <v>45901</v>
      </c>
      <c r="D11" s="9">
        <v>46001</v>
      </c>
      <c r="E11" s="10"/>
      <c r="F11" s="10">
        <v>7</v>
      </c>
      <c r="G11" s="13">
        <v>80000</v>
      </c>
      <c r="H11" s="13">
        <v>79900</v>
      </c>
      <c r="I11" s="13"/>
    </row>
    <row r="12" spans="2:12" x14ac:dyDescent="0.25">
      <c r="B12" s="8" t="s">
        <v>17</v>
      </c>
      <c r="C12" s="9">
        <v>45931</v>
      </c>
      <c r="D12" s="9">
        <v>45976</v>
      </c>
      <c r="E12" s="10"/>
      <c r="F12" s="10">
        <v>5</v>
      </c>
      <c r="G12" s="13">
        <v>77000</v>
      </c>
      <c r="H12" s="13">
        <v>77000</v>
      </c>
      <c r="I12" s="13"/>
    </row>
    <row r="13" spans="2:12" x14ac:dyDescent="0.25">
      <c r="B13" s="8" t="s">
        <v>18</v>
      </c>
      <c r="C13" s="9">
        <v>45931</v>
      </c>
      <c r="D13" s="9">
        <v>45992</v>
      </c>
      <c r="E13" s="10"/>
      <c r="F13" s="10">
        <v>10</v>
      </c>
      <c r="G13" s="13">
        <v>65000</v>
      </c>
      <c r="H13" s="13">
        <v>55000</v>
      </c>
      <c r="I13" s="13"/>
    </row>
    <row r="14" spans="2:12" x14ac:dyDescent="0.25">
      <c r="B14" s="8" t="s">
        <v>19</v>
      </c>
      <c r="C14" s="9">
        <v>45962</v>
      </c>
      <c r="D14" s="9">
        <v>45992</v>
      </c>
      <c r="E14" s="10"/>
      <c r="F14" s="10">
        <v>4</v>
      </c>
      <c r="G14" s="13">
        <v>550000</v>
      </c>
      <c r="H14" s="13">
        <v>651000</v>
      </c>
      <c r="I14" s="13"/>
    </row>
    <row r="15" spans="2:12" x14ac:dyDescent="0.25">
      <c r="B15" s="8" t="s">
        <v>20</v>
      </c>
      <c r="C15" s="9">
        <v>45971</v>
      </c>
      <c r="D15" s="9">
        <v>46001</v>
      </c>
      <c r="E15" s="10"/>
      <c r="F15" s="10">
        <v>3</v>
      </c>
      <c r="G15" s="13">
        <v>45000</v>
      </c>
      <c r="H15" s="13">
        <v>42000</v>
      </c>
      <c r="I15" s="13"/>
    </row>
    <row r="16" spans="2:12" x14ac:dyDescent="0.25">
      <c r="B16" s="8" t="s">
        <v>21</v>
      </c>
      <c r="C16" s="9">
        <v>45992</v>
      </c>
      <c r="D16" s="9">
        <v>45332</v>
      </c>
      <c r="E16" s="10"/>
      <c r="F16" s="10">
        <v>1</v>
      </c>
      <c r="G16" s="13">
        <v>32500</v>
      </c>
      <c r="H16" s="13">
        <v>25000</v>
      </c>
      <c r="I16" s="13"/>
    </row>
    <row r="17" spans="2:9" ht="15.75" x14ac:dyDescent="0.25">
      <c r="B17" s="11"/>
      <c r="C17" s="11"/>
      <c r="D17" s="11"/>
      <c r="E17" s="11"/>
      <c r="F17" s="12"/>
      <c r="G17" s="14"/>
      <c r="H17" s="14"/>
      <c r="I1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7531-D7B1-4801-94B5-EDD84425FD87}">
  <dimension ref="A1:H15"/>
  <sheetViews>
    <sheetView tabSelected="1" workbookViewId="0">
      <selection activeCell="H2" sqref="H2:H15"/>
    </sheetView>
  </sheetViews>
  <sheetFormatPr defaultRowHeight="15" x14ac:dyDescent="0.25"/>
  <cols>
    <col min="1" max="1" width="16.42578125" customWidth="1"/>
    <col min="2" max="2" width="12.42578125" customWidth="1"/>
    <col min="3" max="3" width="11.85546875" customWidth="1"/>
    <col min="4" max="4" width="12.85546875" customWidth="1"/>
    <col min="5" max="5" width="18" customWidth="1"/>
    <col min="6" max="6" width="23" customWidth="1"/>
    <col min="7" max="7" width="19" customWidth="1"/>
    <col min="8" max="8" width="23.42578125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4</v>
      </c>
    </row>
    <row r="2" spans="1:8" x14ac:dyDescent="0.25">
      <c r="A2" t="s">
        <v>8</v>
      </c>
      <c r="B2" s="22">
        <v>45782</v>
      </c>
      <c r="C2" s="22">
        <v>45839</v>
      </c>
      <c r="E2">
        <v>10</v>
      </c>
      <c r="F2" s="23">
        <v>1000000</v>
      </c>
      <c r="G2" s="23">
        <v>880000</v>
      </c>
      <c r="H2" s="24">
        <f>Tabela4[[#This Row],[Orçamento Projectado]]-Tabela4[[#This Row],[Orçamento Actual]]</f>
        <v>120000</v>
      </c>
    </row>
    <row r="3" spans="1:8" x14ac:dyDescent="0.25">
      <c r="A3" t="s">
        <v>9</v>
      </c>
      <c r="B3" s="22">
        <v>45787</v>
      </c>
      <c r="C3" s="22">
        <v>45879</v>
      </c>
      <c r="E3">
        <v>2</v>
      </c>
      <c r="F3" s="23">
        <v>900000</v>
      </c>
      <c r="G3" s="23">
        <v>920000</v>
      </c>
      <c r="H3" s="24">
        <f>Tabela4[[#This Row],[Orçamento Projectado]]-Tabela4[[#This Row],[Orçamento Actual]]</f>
        <v>-20000</v>
      </c>
    </row>
    <row r="4" spans="1:8" x14ac:dyDescent="0.25">
      <c r="A4" t="s">
        <v>10</v>
      </c>
      <c r="B4" s="22">
        <v>45818</v>
      </c>
      <c r="C4" s="22">
        <v>45352</v>
      </c>
      <c r="E4">
        <v>4</v>
      </c>
      <c r="F4" s="23">
        <v>860000</v>
      </c>
      <c r="G4" s="23">
        <v>880000</v>
      </c>
      <c r="H4" s="24">
        <f>Tabela4[[#This Row],[Orçamento Projectado]]-Tabela4[[#This Row],[Orçamento Actual]]</f>
        <v>-20000</v>
      </c>
    </row>
    <row r="5" spans="1:8" x14ac:dyDescent="0.25">
      <c r="A5" t="s">
        <v>11</v>
      </c>
      <c r="B5" s="22">
        <v>45830</v>
      </c>
      <c r="C5" s="22">
        <v>45873</v>
      </c>
      <c r="E5">
        <v>5</v>
      </c>
      <c r="F5" s="23">
        <v>1000000</v>
      </c>
      <c r="G5" s="23">
        <v>998050</v>
      </c>
      <c r="H5" s="24">
        <f>Tabela4[[#This Row],[Orçamento Projectado]]-Tabela4[[#This Row],[Orçamento Actual]]</f>
        <v>1950</v>
      </c>
    </row>
    <row r="6" spans="1:8" x14ac:dyDescent="0.25">
      <c r="A6" t="s">
        <v>12</v>
      </c>
      <c r="B6" s="22">
        <v>45852</v>
      </c>
      <c r="C6" s="22">
        <v>45962</v>
      </c>
      <c r="E6">
        <v>7</v>
      </c>
      <c r="F6" s="23">
        <v>294000</v>
      </c>
      <c r="G6" s="23">
        <v>280000</v>
      </c>
      <c r="H6" s="24">
        <f>Tabela4[[#This Row],[Orçamento Projectado]]-Tabela4[[#This Row],[Orçamento Actual]]</f>
        <v>14000</v>
      </c>
    </row>
    <row r="7" spans="1:8" x14ac:dyDescent="0.25">
      <c r="A7" t="s">
        <v>13</v>
      </c>
      <c r="B7" s="22">
        <v>45852</v>
      </c>
      <c r="C7" s="22">
        <v>45311</v>
      </c>
      <c r="E7">
        <v>5</v>
      </c>
      <c r="F7" s="23">
        <v>123400</v>
      </c>
      <c r="G7" s="23">
        <v>125000</v>
      </c>
      <c r="H7" s="24">
        <f>Tabela4[[#This Row],[Orçamento Projectado]]-Tabela4[[#This Row],[Orçamento Actual]]</f>
        <v>-1600</v>
      </c>
    </row>
    <row r="8" spans="1:8" x14ac:dyDescent="0.25">
      <c r="A8" t="s">
        <v>14</v>
      </c>
      <c r="B8" s="22">
        <v>45870</v>
      </c>
      <c r="C8" s="22">
        <v>45931</v>
      </c>
      <c r="E8">
        <v>12</v>
      </c>
      <c r="F8" s="23">
        <v>250500</v>
      </c>
      <c r="G8" s="23">
        <v>236000</v>
      </c>
      <c r="H8" s="24">
        <f>Tabela4[[#This Row],[Orçamento Projectado]]-Tabela4[[#This Row],[Orçamento Actual]]</f>
        <v>14500</v>
      </c>
    </row>
    <row r="9" spans="1:8" x14ac:dyDescent="0.25">
      <c r="A9" t="s">
        <v>15</v>
      </c>
      <c r="B9" s="22">
        <v>45883</v>
      </c>
      <c r="C9" s="22">
        <v>45899</v>
      </c>
      <c r="E9">
        <v>2</v>
      </c>
      <c r="F9" s="23">
        <v>127200</v>
      </c>
      <c r="G9" s="23">
        <v>126000</v>
      </c>
      <c r="H9" s="24">
        <f>Tabela4[[#This Row],[Orçamento Projectado]]-Tabela4[[#This Row],[Orçamento Actual]]</f>
        <v>1200</v>
      </c>
    </row>
    <row r="10" spans="1:8" x14ac:dyDescent="0.25">
      <c r="A10" t="s">
        <v>16</v>
      </c>
      <c r="B10" s="22">
        <v>45901</v>
      </c>
      <c r="C10" s="22">
        <v>46001</v>
      </c>
      <c r="E10">
        <v>7</v>
      </c>
      <c r="F10" s="23">
        <v>80000</v>
      </c>
      <c r="G10" s="23">
        <v>79900</v>
      </c>
      <c r="H10" s="24">
        <f>Tabela4[[#This Row],[Orçamento Projectado]]-Tabela4[[#This Row],[Orçamento Actual]]</f>
        <v>100</v>
      </c>
    </row>
    <row r="11" spans="1:8" x14ac:dyDescent="0.25">
      <c r="A11" t="s">
        <v>17</v>
      </c>
      <c r="B11" s="22">
        <v>45931</v>
      </c>
      <c r="C11" s="22">
        <v>45976</v>
      </c>
      <c r="E11">
        <v>5</v>
      </c>
      <c r="F11" s="23">
        <v>77000</v>
      </c>
      <c r="G11" s="23">
        <v>77000</v>
      </c>
      <c r="H11" s="24">
        <f>Tabela4[[#This Row],[Orçamento Projectado]]-Tabela4[[#This Row],[Orçamento Actual]]</f>
        <v>0</v>
      </c>
    </row>
    <row r="12" spans="1:8" x14ac:dyDescent="0.25">
      <c r="A12" t="s">
        <v>18</v>
      </c>
      <c r="B12" s="22">
        <v>45931</v>
      </c>
      <c r="C12" s="22">
        <v>45992</v>
      </c>
      <c r="E12">
        <v>10</v>
      </c>
      <c r="F12" s="23">
        <v>65000</v>
      </c>
      <c r="G12" s="23">
        <v>55000</v>
      </c>
      <c r="H12" s="24">
        <f>Tabela4[[#This Row],[Orçamento Projectado]]-Tabela4[[#This Row],[Orçamento Actual]]</f>
        <v>10000</v>
      </c>
    </row>
    <row r="13" spans="1:8" x14ac:dyDescent="0.25">
      <c r="A13" t="s">
        <v>19</v>
      </c>
      <c r="B13" s="22">
        <v>45962</v>
      </c>
      <c r="C13" s="22">
        <v>45992</v>
      </c>
      <c r="E13">
        <v>4</v>
      </c>
      <c r="F13" s="23">
        <v>550000</v>
      </c>
      <c r="G13" s="23">
        <v>651000</v>
      </c>
      <c r="H13" s="24">
        <f>Tabela4[[#This Row],[Orçamento Projectado]]-Tabela4[[#This Row],[Orçamento Actual]]</f>
        <v>-101000</v>
      </c>
    </row>
    <row r="14" spans="1:8" x14ac:dyDescent="0.25">
      <c r="A14" t="s">
        <v>20</v>
      </c>
      <c r="B14" s="22">
        <v>45971</v>
      </c>
      <c r="C14" s="22">
        <v>46001</v>
      </c>
      <c r="E14">
        <v>3</v>
      </c>
      <c r="F14" s="23">
        <v>45000</v>
      </c>
      <c r="G14" s="23">
        <v>42000</v>
      </c>
      <c r="H14" s="24">
        <f>Tabela4[[#This Row],[Orçamento Projectado]]-Tabela4[[#This Row],[Orçamento Actual]]</f>
        <v>3000</v>
      </c>
    </row>
    <row r="15" spans="1:8" x14ac:dyDescent="0.25">
      <c r="A15" t="s">
        <v>21</v>
      </c>
      <c r="B15" s="22">
        <v>45992</v>
      </c>
      <c r="C15" s="22">
        <v>45332</v>
      </c>
      <c r="E15">
        <v>1</v>
      </c>
      <c r="F15" s="23">
        <v>32500</v>
      </c>
      <c r="G15" s="23">
        <v>25000</v>
      </c>
      <c r="H15" s="24">
        <f>Tabela4[[#This Row],[Orçamento Projectado]]-Tabela4[[#This Row],[Orçamento Actual]]</f>
        <v>7500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Ex1</vt:lpstr>
      <vt:lpstr>Ex1 (2)</vt:lpstr>
      <vt:lpstr>Ex2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2018-12-01T16:29:59Z</dcterms:created>
  <dcterms:modified xsi:type="dcterms:W3CDTF">2025-06-18T15:09:18Z</dcterms:modified>
</cp:coreProperties>
</file>