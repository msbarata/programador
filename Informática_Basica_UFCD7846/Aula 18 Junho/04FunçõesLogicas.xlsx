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ula 18 Junho\"/>
    </mc:Choice>
  </mc:AlternateContent>
  <xr:revisionPtr revIDLastSave="0" documentId="13_ncr:1_{CBFD154A-42E4-41EC-B515-DE37A246151E}" xr6:coauthVersionLast="47" xr6:coauthVersionMax="47" xr10:uidLastSave="{00000000-0000-0000-0000-000000000000}"/>
  <bookViews>
    <workbookView minimized="1" xWindow="1560" yWindow="1560" windowWidth="15375" windowHeight="7875" tabRatio="672" xr2:uid="{00000000-000D-0000-FFFF-FFFF00000000}"/>
  </bookViews>
  <sheets>
    <sheet name="índice" sheetId="35" r:id="rId1"/>
    <sheet name="Ex1" sheetId="22" r:id="rId2"/>
    <sheet name="Ex2" sheetId="31" r:id="rId3"/>
    <sheet name="Ex3" sheetId="32" r:id="rId4"/>
    <sheet name="Ex4" sheetId="33" r:id="rId5"/>
    <sheet name="Ex5" sheetId="3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4" l="1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" i="34"/>
  <c r="J6" i="33"/>
  <c r="J7" i="33"/>
  <c r="J8" i="33"/>
  <c r="J9" i="33"/>
  <c r="J10" i="33"/>
  <c r="J11" i="33"/>
  <c r="J12" i="33"/>
  <c r="J13" i="33"/>
  <c r="J5" i="33"/>
  <c r="G5" i="33"/>
  <c r="H8" i="33"/>
  <c r="H9" i="33"/>
  <c r="H10" i="33"/>
  <c r="H11" i="33"/>
  <c r="H12" i="33"/>
  <c r="H13" i="33"/>
  <c r="H7" i="33"/>
  <c r="H6" i="33"/>
  <c r="H5" i="33"/>
  <c r="G7" i="33"/>
  <c r="G8" i="33"/>
  <c r="G9" i="33"/>
  <c r="G10" i="33"/>
  <c r="G11" i="33"/>
  <c r="G12" i="33"/>
  <c r="G13" i="33"/>
  <c r="G6" i="33"/>
  <c r="D6" i="32"/>
  <c r="D7" i="32"/>
  <c r="D8" i="32"/>
  <c r="D9" i="32"/>
  <c r="D10" i="32"/>
  <c r="D11" i="32"/>
  <c r="D12" i="32"/>
  <c r="D13" i="32"/>
  <c r="D14" i="32"/>
  <c r="D5" i="32"/>
  <c r="E6" i="31"/>
  <c r="E7" i="31"/>
  <c r="E8" i="31"/>
  <c r="E9" i="31"/>
  <c r="E10" i="31"/>
  <c r="E11" i="31"/>
  <c r="E12" i="31"/>
  <c r="E13" i="31"/>
  <c r="E14" i="31"/>
  <c r="E5" i="31"/>
  <c r="E4" i="31"/>
  <c r="E3" i="31"/>
  <c r="D11" i="22"/>
  <c r="D12" i="22"/>
  <c r="D13" i="22"/>
  <c r="D14" i="22"/>
  <c r="D15" i="22"/>
  <c r="D16" i="22"/>
  <c r="D17" i="22"/>
  <c r="D18" i="22"/>
  <c r="D10" i="22"/>
  <c r="D9" i="22"/>
  <c r="D8" i="22"/>
  <c r="D6" i="22"/>
  <c r="D7" i="22"/>
  <c r="D5" i="22"/>
  <c r="F13" i="33"/>
  <c r="F12" i="33"/>
  <c r="F11" i="33"/>
  <c r="F10" i="33"/>
  <c r="F9" i="33"/>
  <c r="F8" i="33"/>
  <c r="F7" i="33"/>
  <c r="F6" i="33"/>
  <c r="F5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Hospital Dr. Jose M. Grande</author>
  </authors>
  <commentList>
    <comment ref="D4" authorId="0" shapeId="0" xr:uid="{7BC47B9C-7A2A-4EAD-89C5-F4DC75A8F76B}">
      <text>
        <r>
          <rPr>
            <b/>
            <sz val="8"/>
            <color indexed="81"/>
            <rFont val="Tahoma"/>
            <family val="2"/>
          </rPr>
          <t>KN:</t>
        </r>
        <r>
          <rPr>
            <sz val="8"/>
            <color indexed="81"/>
            <rFont val="Tahoma"/>
            <family val="2"/>
          </rPr>
          <t xml:space="preserve">
Se o Nº de respostas correctas fôr maior ou igual a 14, então está Seleccionado, caso contrário está Rejeitado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Hospital Dr. Jose M. Grande</author>
  </authors>
  <commentList>
    <comment ref="D3" authorId="0" shapeId="0" xr:uid="{59418975-DE3F-4357-A32B-85C9801B1D3B}">
      <text>
        <r>
          <rPr>
            <b/>
            <sz val="8"/>
            <color indexed="81"/>
            <rFont val="Tahoma"/>
            <family val="2"/>
          </rPr>
          <t>KN:</t>
        </r>
        <r>
          <rPr>
            <sz val="8"/>
            <color indexed="81"/>
            <rFont val="Tahoma"/>
            <family val="2"/>
          </rPr>
          <t xml:space="preserve">
Se o Stock Actual for superior ao Stock mínimo, então aparece escrito:"Stock Ok", senão aparece escrito "Stock negativo"</t>
        </r>
      </text>
    </comment>
  </commentList>
</comments>
</file>

<file path=xl/sharedStrings.xml><?xml version="1.0" encoding="utf-8"?>
<sst xmlns="http://schemas.openxmlformats.org/spreadsheetml/2006/main" count="216" uniqueCount="103">
  <si>
    <t>NOME ENTREVISTADO</t>
  </si>
  <si>
    <t>RESPOSTAS CORRECTAS</t>
  </si>
  <si>
    <t>OBSERVAÇÃO</t>
  </si>
  <si>
    <t>ANA PINTO</t>
  </si>
  <si>
    <t>ANTÓNIO GOMES</t>
  </si>
  <si>
    <t>BEATRIZ SILVA</t>
  </si>
  <si>
    <t>JOSÉ PAIVA</t>
  </si>
  <si>
    <t>PAULA FREITAS</t>
  </si>
  <si>
    <t>PEDRO  GÓIS</t>
  </si>
  <si>
    <t>RUI COSTA</t>
  </si>
  <si>
    <t>ZEFERINO COELHO</t>
  </si>
  <si>
    <t>CARLOS COSTA</t>
  </si>
  <si>
    <t>BERNARDO SILVA</t>
  </si>
  <si>
    <t>ANA SANTOS</t>
  </si>
  <si>
    <t>MARGARIDA COELHO</t>
  </si>
  <si>
    <t>RITA SEABRA</t>
  </si>
  <si>
    <t>CARLOS SOUSA</t>
  </si>
  <si>
    <t>Vendedor</t>
  </si>
  <si>
    <t>Meta</t>
  </si>
  <si>
    <t>Total Vendido</t>
  </si>
  <si>
    <t>Situação</t>
  </si>
  <si>
    <t>Andreia Cavalcante</t>
  </si>
  <si>
    <t>Aline Santos</t>
  </si>
  <si>
    <t>Bruno Ferraz</t>
  </si>
  <si>
    <t>Camila Putini</t>
  </si>
  <si>
    <t>Camila Valéria</t>
  </si>
  <si>
    <t>Beatriz Carvalho</t>
  </si>
  <si>
    <t>Juliana Leão</t>
  </si>
  <si>
    <t>Bruna Vilela</t>
  </si>
  <si>
    <t>Juliana Gouveia</t>
  </si>
  <si>
    <t>Marcos Rocha</t>
  </si>
  <si>
    <t>Paulo Gonçalves</t>
  </si>
  <si>
    <t>Andréia Dalló</t>
  </si>
  <si>
    <t>Designação</t>
  </si>
  <si>
    <t>Stock mínimo</t>
  </si>
  <si>
    <t>Stock Actual</t>
  </si>
  <si>
    <t>Observações</t>
  </si>
  <si>
    <t>Mercedes-Benz C 220 D Avantgarde</t>
  </si>
  <si>
    <t>Mercedes-Benz A 180 CDi BE AMG Sport</t>
  </si>
  <si>
    <t xml:space="preserve">Mercedes-Benz C 250 BlueTEC Avantgarde </t>
  </si>
  <si>
    <t>Mercedes-Benz A 180 CDi BE Urban</t>
  </si>
  <si>
    <t xml:space="preserve">Mercedes-Benz CLA 220 CDi AMG Aut. 
</t>
  </si>
  <si>
    <t>Mercedes-Benz GLA 180 cdi urban</t>
  </si>
  <si>
    <t xml:space="preserve">Mercedes-Benz C 43 AMG
</t>
  </si>
  <si>
    <t>Mercedes-Benz Classe E 220 d</t>
  </si>
  <si>
    <t>Mercedes-Benz E 400 4MATIC Coupé</t>
  </si>
  <si>
    <t>Mercedes-Benz E 200 Coupé</t>
  </si>
  <si>
    <t>CONTROLO DE STOCKS - CSANTOS 2022- Abril</t>
  </si>
  <si>
    <t>Nome</t>
  </si>
  <si>
    <t>1º Módulo</t>
  </si>
  <si>
    <t>2º Módulo</t>
  </si>
  <si>
    <t>3º Módulo</t>
  </si>
  <si>
    <t>Média Final</t>
  </si>
  <si>
    <t>ObsA</t>
  </si>
  <si>
    <t>ObsB</t>
  </si>
  <si>
    <t>João Rato</t>
  </si>
  <si>
    <t>Tita Lopo</t>
  </si>
  <si>
    <t>Maria Cruz</t>
  </si>
  <si>
    <t>Mara Lopes</t>
  </si>
  <si>
    <t>Inês Marques</t>
  </si>
  <si>
    <t>João Antunes</t>
  </si>
  <si>
    <t>Rita Marques</t>
  </si>
  <si>
    <t>Jorge Justo</t>
  </si>
  <si>
    <t>Patrica Tavares</t>
  </si>
  <si>
    <t>Condições</t>
  </si>
  <si>
    <t>Se a Nota do 1º Mod, 2ºMod e 3º Mod fôr &gt;=10, então está Aprovado, caso contrário está Reprovado</t>
  </si>
  <si>
    <t>Se a Nota do 1º Mod, ou do  2ºMod ou do 3º Mod fôr &gt;=10, então está Aprovado, caso contrário está Reprovado</t>
  </si>
  <si>
    <t>TIPO DE REGISTO</t>
  </si>
  <si>
    <t>DATA DE ABERTURA</t>
  </si>
  <si>
    <t>EQUIPA DE SUPORTE</t>
  </si>
  <si>
    <t>STATUS</t>
  </si>
  <si>
    <t>FONTE</t>
  </si>
  <si>
    <t>DATA DE RESOLUÇÃO</t>
  </si>
  <si>
    <t>PRIORIDADE</t>
  </si>
  <si>
    <t>STATUS FINAL</t>
  </si>
  <si>
    <t>Incidente</t>
  </si>
  <si>
    <t>Service Desk</t>
  </si>
  <si>
    <t>Fechado</t>
  </si>
  <si>
    <t>Email</t>
  </si>
  <si>
    <t>Alta</t>
  </si>
  <si>
    <t>Solicitação de Serviço</t>
  </si>
  <si>
    <t>Field Support</t>
  </si>
  <si>
    <t>Em Andamento</t>
  </si>
  <si>
    <t>Telefone</t>
  </si>
  <si>
    <t>Baixa</t>
  </si>
  <si>
    <t>E&amp;P SAIC UK Maximo</t>
  </si>
  <si>
    <t>Média</t>
  </si>
  <si>
    <t>Resolvido</t>
  </si>
  <si>
    <t>A/V  Team</t>
  </si>
  <si>
    <t>Pendente</t>
  </si>
  <si>
    <t>Entrevistas 2025 - trim 1</t>
  </si>
  <si>
    <r>
      <rPr>
        <b/>
        <sz val="10"/>
        <color theme="1"/>
        <rFont val="Arial"/>
        <family val="2"/>
      </rPr>
      <t>SE e Contar-se</t>
    </r>
    <r>
      <rPr>
        <sz val="10"/>
        <color theme="1"/>
        <rFont val="Arial"/>
        <family val="2"/>
      </rPr>
      <t xml:space="preserve"> etc. poderá ser repetido até 127 vezes</t>
    </r>
  </si>
  <si>
    <r>
      <t xml:space="preserve">Situação: SE o Total Vendido for maior ou igual à Meta; deverá aparecer </t>
    </r>
    <r>
      <rPr>
        <b/>
        <sz val="11"/>
        <color theme="1"/>
        <rFont val="Calibri"/>
        <family val="2"/>
        <scheme val="minor"/>
      </rPr>
      <t>"Atingiu Meta</t>
    </r>
    <r>
      <rPr>
        <sz val="11"/>
        <color theme="1"/>
        <rFont val="Calibri"/>
        <family val="2"/>
        <scheme val="minor"/>
      </rPr>
      <t>"; caso contrário "Não Atingiu Meta".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</si>
  <si>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</si>
  <si>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</t>
  </si>
  <si>
    <t>OU</t>
  </si>
  <si>
    <t>Uso de duas funções em conjunto (SE + E) dando outro resultado:</t>
  </si>
  <si>
    <t>Se o Status for "Fechado", o Status Final será "Encerrado". Caso contrário, será "Em Aberto".</t>
  </si>
  <si>
    <t>Projeto</t>
  </si>
  <si>
    <t>Notas</t>
  </si>
  <si>
    <t>Voltar</t>
  </si>
  <si>
    <t>ÍNDICE EXCEL - LIGAÇÃO ENTRE FOLHA DE CÁLCULOS</t>
  </si>
  <si>
    <t>PROCV - Ficheiro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</si>
</sst>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_-* #,##0.00\ &quot;Esc.&quot;_-;\-* #,##0.00\ &quot;Esc.&quot;_-;_-* &quot;-&quot;??\ &quot;Esc.&quot;_-;_-@_-"/>
    <numFmt numFmtId="167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2"/>
      <color indexed="18"/>
      <name val="Stencil"/>
      <family val="5"/>
    </font>
    <font>
      <sz val="12"/>
      <color theme="1"/>
      <name val="Calibri"/>
      <family val="2"/>
      <scheme val="minor"/>
    </font>
    <font>
      <sz val="1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8" tint="-0.249977111117893"/>
      <name val="Calibri"/>
      <family val="2"/>
      <scheme val="minor"/>
    </font>
    <font>
      <b/>
      <sz val="12"/>
      <color theme="0" tint="-4.9989318521683403E-2"/>
      <name val="Arial"/>
      <family val="2"/>
    </font>
    <font>
      <sz val="14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EECEC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777"/>
      </left>
      <right style="thin">
        <color rgb="FF9F9777"/>
      </right>
      <top style="thin">
        <color rgb="FF9F9777"/>
      </top>
      <bottom style="thin">
        <color rgb="FF9F977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166" fontId="3" fillId="0" borderId="0" applyFont="0" applyFill="0" applyBorder="0" applyAlignment="0" applyProtection="0"/>
    <xf numFmtId="0" fontId="1" fillId="0" borderId="0"/>
    <xf numFmtId="4" fontId="8" fillId="2" borderId="2" applyNumberFormat="0" applyProtection="0">
      <alignment horizontal="left" vertical="center" indent="1"/>
    </xf>
    <xf numFmtId="0" fontId="1" fillId="6" borderId="3" applyNumberFormat="0" applyFont="0" applyAlignment="0" applyProtection="0"/>
    <xf numFmtId="0" fontId="22" fillId="0" borderId="0" applyNumberFormat="0" applyFill="0" applyBorder="0" applyAlignment="0" applyProtection="0"/>
  </cellStyleXfs>
  <cellXfs count="58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6" fillId="0" borderId="0" xfId="0" applyFont="1"/>
    <xf numFmtId="14" fontId="7" fillId="0" borderId="0" xfId="0" applyNumberFormat="1" applyFont="1"/>
    <xf numFmtId="0" fontId="10" fillId="0" borderId="0" xfId="0" applyFont="1"/>
    <xf numFmtId="0" fontId="11" fillId="0" borderId="0" xfId="0" applyFont="1"/>
    <xf numFmtId="0" fontId="14" fillId="4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5" applyNumberFormat="1" applyFont="1" applyBorder="1"/>
    <xf numFmtId="0" fontId="0" fillId="0" borderId="1" xfId="0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4" xfId="5" applyFont="1" applyBorder="1" applyAlignment="1">
      <alignment horizontal="center" wrapText="1"/>
    </xf>
    <xf numFmtId="0" fontId="20" fillId="0" borderId="5" xfId="5" applyFont="1" applyBorder="1" applyAlignment="1">
      <alignment horizontal="center" wrapText="1"/>
    </xf>
    <xf numFmtId="0" fontId="20" fillId="0" borderId="6" xfId="5" applyFont="1" applyBorder="1" applyAlignment="1">
      <alignment horizontal="justify" vertical="top" wrapText="1"/>
    </xf>
    <xf numFmtId="0" fontId="20" fillId="0" borderId="4" xfId="5" applyFont="1" applyBorder="1" applyAlignment="1">
      <alignment horizontal="center" vertical="top" wrapText="1"/>
    </xf>
    <xf numFmtId="0" fontId="20" fillId="0" borderId="5" xfId="5" applyFont="1" applyBorder="1" applyAlignment="1">
      <alignment horizontal="center" vertical="top" wrapText="1"/>
    </xf>
    <xf numFmtId="167" fontId="20" fillId="0" borderId="7" xfId="5" applyNumberFormat="1" applyFont="1" applyBorder="1" applyAlignment="1">
      <alignment horizontal="center" vertical="top" wrapText="1"/>
    </xf>
    <xf numFmtId="0" fontId="20" fillId="0" borderId="7" xfId="5" applyFont="1" applyBorder="1" applyAlignment="1">
      <alignment horizontal="center" vertical="top" wrapText="1"/>
    </xf>
    <xf numFmtId="0" fontId="20" fillId="0" borderId="6" xfId="5" applyFont="1" applyBorder="1" applyAlignment="1">
      <alignment horizontal="center" vertical="top" wrapText="1"/>
    </xf>
    <xf numFmtId="0" fontId="18" fillId="0" borderId="0" xfId="0" applyFont="1"/>
    <xf numFmtId="14" fontId="0" fillId="8" borderId="3" xfId="20" applyNumberFormat="1" applyFont="1" applyFill="1" applyAlignment="1">
      <alignment horizontal="center" vertical="center" wrapText="1"/>
    </xf>
    <xf numFmtId="0" fontId="0" fillId="8" borderId="3" xfId="20" applyFont="1" applyFill="1" applyAlignment="1">
      <alignment horizontal="center" vertical="center" wrapText="1"/>
    </xf>
    <xf numFmtId="0" fontId="0" fillId="6" borderId="3" xfId="20" applyFont="1" applyAlignment="1">
      <alignment vertical="center"/>
    </xf>
    <xf numFmtId="14" fontId="0" fillId="6" borderId="3" xfId="20" applyNumberFormat="1" applyFont="1" applyAlignment="1">
      <alignment horizontal="center" vertical="center"/>
    </xf>
    <xf numFmtId="0" fontId="0" fillId="6" borderId="3" xfId="20" applyFont="1" applyAlignment="1">
      <alignment horizontal="center" vertical="center"/>
    </xf>
    <xf numFmtId="0" fontId="0" fillId="0" borderId="0" xfId="0" quotePrefix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6" fillId="7" borderId="0" xfId="0" applyFont="1" applyFill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22" fillId="0" borderId="0" xfId="21"/>
    <xf numFmtId="0" fontId="22" fillId="0" borderId="0" xfId="21" applyAlignment="1">
      <alignment horizontal="center"/>
    </xf>
    <xf numFmtId="0" fontId="18" fillId="0" borderId="0" xfId="0" applyFont="1" applyAlignment="1"/>
  </cellXfs>
  <cellStyles count="22">
    <cellStyle name="Comma 2" xfId="8" xr:uid="{00000000-0005-0000-0000-000000000000}"/>
    <cellStyle name="Currency 3" xfId="11" xr:uid="{00000000-0005-0000-0000-000002000000}"/>
    <cellStyle name="Euro" xfId="13" xr:uid="{00000000-0005-0000-0000-000003000000}"/>
    <cellStyle name="Euro 3" xfId="9" xr:uid="{00000000-0005-0000-0000-000004000000}"/>
    <cellStyle name="Hiperligação" xfId="21" builtinId="8"/>
    <cellStyle name="Moeda" xfId="15" builtinId="4"/>
    <cellStyle name="Moeda 2" xfId="17" xr:uid="{A594B866-BCE6-44B4-B36C-5B16FDA79F20}"/>
    <cellStyle name="Normal" xfId="0" builtinId="0"/>
    <cellStyle name="Normal 2" xfId="5" xr:uid="{00000000-0005-0000-0000-000006000000}"/>
    <cellStyle name="Normal 2 2" xfId="4" xr:uid="{00000000-0005-0000-0000-000007000000}"/>
    <cellStyle name="Normal 2 3" xfId="10" xr:uid="{00000000-0005-0000-0000-000008000000}"/>
    <cellStyle name="Normal 25" xfId="1" xr:uid="{00000000-0005-0000-0000-000009000000}"/>
    <cellStyle name="Normal 3" xfId="6" xr:uid="{00000000-0005-0000-0000-00000A000000}"/>
    <cellStyle name="Normal 3 2" xfId="14" xr:uid="{00000000-0005-0000-0000-00000B000000}"/>
    <cellStyle name="Normal 4" xfId="3" xr:uid="{00000000-0005-0000-0000-00000C000000}"/>
    <cellStyle name="Normal 5" xfId="7" xr:uid="{00000000-0005-0000-0000-00000D000000}"/>
    <cellStyle name="Normal 6" xfId="16" xr:uid="{24441911-4ABD-4631-B1E6-103830A6CBAD}"/>
    <cellStyle name="Normal 8" xfId="18" xr:uid="{5095B477-A39F-4923-A09C-ADEF835EEDA5}"/>
    <cellStyle name="Nota" xfId="20" builtinId="10"/>
    <cellStyle name="Percent 6" xfId="2" xr:uid="{00000000-0005-0000-0000-00000E000000}"/>
    <cellStyle name="Percentagem 3" xfId="12" xr:uid="{00000000-0005-0000-0000-00000F000000}"/>
    <cellStyle name="SAPBEXstdItem" xfId="19" xr:uid="{6674CFDB-8190-44D2-BCA6-86408698939A}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/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/>
      </fill>
    </dxf>
    <dxf>
      <fill>
        <patternFill patternType="gray125"/>
      </fill>
    </dxf>
  </dxfs>
  <tableStyles count="1" defaultTableStyle="TableStyleMedium2" defaultPivotStyle="PivotStyleLight16">
    <tableStyle name="Estilo de Tabe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EXCELL\02%20Fun&#231;&#245;esLookup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2280-6725-461C-94DA-52432833B32C}">
  <dimension ref="A1:I11"/>
  <sheetViews>
    <sheetView tabSelected="1" workbookViewId="0"/>
  </sheetViews>
  <sheetFormatPr defaultRowHeight="15" x14ac:dyDescent="0.25"/>
  <sheetData>
    <row r="1" spans="1:9" x14ac:dyDescent="0.25">
      <c r="D1" s="57" t="s">
        <v>101</v>
      </c>
      <c r="E1" s="57"/>
      <c r="F1" s="57"/>
      <c r="G1" s="57"/>
      <c r="H1" s="57"/>
      <c r="I1" s="57"/>
    </row>
    <row r="3" spans="1:9" x14ac:dyDescent="0.25">
      <c r="A3" s="55" t="s">
        <v>98</v>
      </c>
    </row>
    <row r="5" spans="1:9" x14ac:dyDescent="0.25">
      <c r="A5" s="55" t="s">
        <v>99</v>
      </c>
    </row>
    <row r="11" spans="1:9" x14ac:dyDescent="0.25">
      <c r="A11" s="55" t="s">
        <v>102</v>
      </c>
    </row>
  </sheetData>
  <mergeCells count="1">
    <mergeCell ref="D1:I1"/>
  </mergeCells>
  <hyperlinks>
    <hyperlink ref="A3" location="'Ex5'!A1" display="Projeto" xr:uid="{1EF56630-666C-4146-B02C-E7865146ED2A}"/>
    <hyperlink ref="A5" location="'Ex4'!A1" display="Notas" xr:uid="{3E543F55-8F84-4FB4-A235-F88CDB70A694}"/>
    <hyperlink ref="A11" r:id="rId1" xr:uid="{1CE4FFE0-9BC2-42E4-942A-B0CC744B15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workbookViewId="0">
      <selection activeCell="G9" sqref="G9"/>
    </sheetView>
  </sheetViews>
  <sheetFormatPr defaultColWidth="30.28515625" defaultRowHeight="15" x14ac:dyDescent="0.25"/>
  <cols>
    <col min="1" max="1" width="2.5703125" customWidth="1"/>
    <col min="2" max="2" width="26.5703125" customWidth="1"/>
    <col min="3" max="3" width="16.85546875" customWidth="1"/>
    <col min="4" max="4" width="19.28515625" customWidth="1"/>
    <col min="5" max="5" width="4.140625" customWidth="1"/>
  </cols>
  <sheetData>
    <row r="1" spans="2:4" ht="6.75" customHeight="1" x14ac:dyDescent="0.25"/>
    <row r="2" spans="2:4" ht="15.75" x14ac:dyDescent="0.25">
      <c r="B2" s="41" t="s">
        <v>90</v>
      </c>
      <c r="C2" s="41"/>
      <c r="D2" s="41"/>
    </row>
    <row r="3" spans="2:4" ht="5.25" customHeight="1" x14ac:dyDescent="0.25">
      <c r="B3" s="6"/>
      <c r="C3" s="6"/>
      <c r="D3" s="6"/>
    </row>
    <row r="4" spans="2:4" ht="31.5" x14ac:dyDescent="0.25">
      <c r="B4" s="16" t="s">
        <v>0</v>
      </c>
      <c r="C4" s="17" t="s">
        <v>1</v>
      </c>
      <c r="D4" s="18" t="s">
        <v>2</v>
      </c>
    </row>
    <row r="5" spans="2:4" ht="15.75" x14ac:dyDescent="0.25">
      <c r="B5" s="19" t="s">
        <v>3</v>
      </c>
      <c r="C5" s="20">
        <v>12</v>
      </c>
      <c r="D5" s="20" t="str">
        <f>IF(C5&gt;=14,"Selecionado","Rejeitado")</f>
        <v>Rejeitado</v>
      </c>
    </row>
    <row r="6" spans="2:4" ht="15.75" x14ac:dyDescent="0.25">
      <c r="B6" s="19" t="s">
        <v>4</v>
      </c>
      <c r="C6" s="20">
        <v>8</v>
      </c>
      <c r="D6" s="20" t="str">
        <f t="shared" ref="D6:D7" si="0">IF(C6&gt;=14,"Selecionado","Rejeitado")</f>
        <v>Rejeitado</v>
      </c>
    </row>
    <row r="7" spans="2:4" ht="15.75" x14ac:dyDescent="0.25">
      <c r="B7" s="19" t="s">
        <v>5</v>
      </c>
      <c r="C7" s="20">
        <v>16</v>
      </c>
      <c r="D7" s="20" t="str">
        <f t="shared" si="0"/>
        <v>Selecionado</v>
      </c>
    </row>
    <row r="8" spans="2:4" ht="15.75" x14ac:dyDescent="0.25">
      <c r="B8" s="19" t="s">
        <v>6</v>
      </c>
      <c r="C8" s="20">
        <v>11</v>
      </c>
      <c r="D8" s="20" t="str">
        <f>IF(C8&gt;=14,"Selecionado","Rejeitado")</f>
        <v>Rejeitado</v>
      </c>
    </row>
    <row r="9" spans="2:4" ht="15.75" x14ac:dyDescent="0.25">
      <c r="B9" s="19" t="s">
        <v>7</v>
      </c>
      <c r="C9" s="20">
        <v>14</v>
      </c>
      <c r="D9" s="20" t="str">
        <f>IF(C9&gt;=14,"Selecionado","Rejeitado")</f>
        <v>Selecionado</v>
      </c>
    </row>
    <row r="10" spans="2:4" ht="15.75" x14ac:dyDescent="0.25">
      <c r="B10" s="19" t="s">
        <v>8</v>
      </c>
      <c r="C10" s="20">
        <v>9</v>
      </c>
      <c r="D10" s="20" t="str">
        <f>IF(C10&gt;=14,"Selecionado","Rejeitado")</f>
        <v>Rejeitado</v>
      </c>
    </row>
    <row r="11" spans="2:4" ht="15.75" x14ac:dyDescent="0.25">
      <c r="B11" s="19" t="s">
        <v>9</v>
      </c>
      <c r="C11" s="20">
        <v>18</v>
      </c>
      <c r="D11" s="20" t="str">
        <f t="shared" ref="D11:D18" si="1">IF(C11&gt;=14,"Selecionado","Rejeitado")</f>
        <v>Selecionado</v>
      </c>
    </row>
    <row r="12" spans="2:4" ht="15.75" x14ac:dyDescent="0.25">
      <c r="B12" s="19" t="s">
        <v>10</v>
      </c>
      <c r="C12" s="20">
        <v>10</v>
      </c>
      <c r="D12" s="20" t="str">
        <f t="shared" si="1"/>
        <v>Rejeitado</v>
      </c>
    </row>
    <row r="13" spans="2:4" ht="15.75" x14ac:dyDescent="0.25">
      <c r="B13" s="19" t="s">
        <v>11</v>
      </c>
      <c r="C13" s="20">
        <v>14</v>
      </c>
      <c r="D13" s="20" t="str">
        <f t="shared" si="1"/>
        <v>Selecionado</v>
      </c>
    </row>
    <row r="14" spans="2:4" ht="15.75" x14ac:dyDescent="0.25">
      <c r="B14" s="19" t="s">
        <v>12</v>
      </c>
      <c r="C14" s="20">
        <v>16</v>
      </c>
      <c r="D14" s="20" t="str">
        <f t="shared" si="1"/>
        <v>Selecionado</v>
      </c>
    </row>
    <row r="15" spans="2:4" ht="15.75" x14ac:dyDescent="0.25">
      <c r="B15" s="19" t="s">
        <v>13</v>
      </c>
      <c r="C15" s="20">
        <v>16</v>
      </c>
      <c r="D15" s="20" t="str">
        <f t="shared" si="1"/>
        <v>Selecionado</v>
      </c>
    </row>
    <row r="16" spans="2:4" ht="15.75" x14ac:dyDescent="0.25">
      <c r="B16" s="19" t="s">
        <v>14</v>
      </c>
      <c r="C16" s="20">
        <v>15</v>
      </c>
      <c r="D16" s="20" t="str">
        <f t="shared" si="1"/>
        <v>Selecionado</v>
      </c>
    </row>
    <row r="17" spans="2:4" ht="15.75" x14ac:dyDescent="0.25">
      <c r="B17" s="19" t="s">
        <v>15</v>
      </c>
      <c r="C17" s="20">
        <v>17</v>
      </c>
      <c r="D17" s="20" t="str">
        <f t="shared" si="1"/>
        <v>Selecionado</v>
      </c>
    </row>
    <row r="18" spans="2:4" ht="15.75" x14ac:dyDescent="0.25">
      <c r="B18" s="19" t="s">
        <v>16</v>
      </c>
      <c r="C18" s="20">
        <v>10</v>
      </c>
      <c r="D18" s="20" t="str">
        <f t="shared" si="1"/>
        <v>Rejeitado</v>
      </c>
    </row>
    <row r="20" spans="2:4" ht="20.25" x14ac:dyDescent="0.3">
      <c r="B20" s="7"/>
    </row>
  </sheetData>
  <sortState xmlns:xlrd2="http://schemas.microsoft.com/office/spreadsheetml/2017/richdata2" ref="I2:N12">
    <sortCondition ref="I1"/>
  </sortState>
  <mergeCells count="1">
    <mergeCell ref="B2:D2"/>
  </mergeCells>
  <conditionalFormatting sqref="D5:D18">
    <cfRule type="cellIs" dxfId="19" priority="3" stopIfTrue="1" operator="equal">
      <formula>"""Aprovado"""</formula>
    </cfRule>
    <cfRule type="cellIs" dxfId="18" priority="2" operator="equal">
      <formula>"Rejeitado"</formula>
    </cfRule>
  </conditionalFormatting>
  <conditionalFormatting sqref="D4:D18">
    <cfRule type="cellIs" dxfId="15" priority="1" operator="equal">
      <formula>"Selecionado"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7"/>
  <sheetViews>
    <sheetView zoomScale="110" zoomScaleNormal="110" workbookViewId="0">
      <selection activeCell="I13" sqref="I13"/>
    </sheetView>
  </sheetViews>
  <sheetFormatPr defaultRowHeight="15" x14ac:dyDescent="0.25"/>
  <cols>
    <col min="1" max="1" width="5.42578125" customWidth="1"/>
    <col min="2" max="2" width="18.28515625" style="1" bestFit="1" customWidth="1"/>
    <col min="3" max="3" width="11.85546875" style="5" bestFit="1" customWidth="1"/>
    <col min="4" max="4" width="13.5703125" style="1" bestFit="1" customWidth="1"/>
    <col min="5" max="5" width="16.28515625" style="1" bestFit="1" customWidth="1"/>
    <col min="6" max="6" width="9.140625" style="1"/>
    <col min="7" max="8" width="9.140625" style="5"/>
    <col min="9" max="9" width="9.140625" style="2"/>
    <col min="10" max="10" width="9.140625" style="3"/>
  </cols>
  <sheetData>
    <row r="2" spans="2:14" x14ac:dyDescent="0.25">
      <c r="B2" s="8" t="s">
        <v>17</v>
      </c>
      <c r="C2" s="8" t="s">
        <v>18</v>
      </c>
      <c r="D2" s="8" t="s">
        <v>19</v>
      </c>
      <c r="E2" s="8" t="s">
        <v>20</v>
      </c>
    </row>
    <row r="3" spans="2:14" x14ac:dyDescent="0.25">
      <c r="B3" s="9" t="s">
        <v>21</v>
      </c>
      <c r="C3" s="10">
        <v>12500</v>
      </c>
      <c r="D3" s="10">
        <v>13500</v>
      </c>
      <c r="E3" s="11" t="str">
        <f>IF(D3&gt;=C3,"Atingiu Meta","Não Atingiu Meta")</f>
        <v>Atingiu Meta</v>
      </c>
    </row>
    <row r="4" spans="2:14" x14ac:dyDescent="0.25">
      <c r="B4" s="9" t="s">
        <v>22</v>
      </c>
      <c r="C4" s="10">
        <v>15000</v>
      </c>
      <c r="D4" s="10">
        <v>15000</v>
      </c>
      <c r="E4" s="11" t="str">
        <f>IF(D4&gt;=C4,"Atingiu Meta","Não Atingiu Meta")</f>
        <v>Atingiu Meta</v>
      </c>
      <c r="I4" s="52" t="s">
        <v>91</v>
      </c>
      <c r="J4" s="53"/>
      <c r="K4" s="53"/>
      <c r="L4" s="53"/>
      <c r="M4" s="53"/>
      <c r="N4" s="53"/>
    </row>
    <row r="5" spans="2:14" x14ac:dyDescent="0.25">
      <c r="B5" s="9" t="s">
        <v>23</v>
      </c>
      <c r="C5" s="10">
        <v>13500</v>
      </c>
      <c r="D5" s="10">
        <v>9500</v>
      </c>
      <c r="E5" s="11" t="str">
        <f>IF(D5&gt;=C5,"Atingiu Meta","Não Atingiu Meta")</f>
        <v>Não Atingiu Meta</v>
      </c>
    </row>
    <row r="6" spans="2:14" x14ac:dyDescent="0.25">
      <c r="B6" s="9" t="s">
        <v>24</v>
      </c>
      <c r="C6" s="10">
        <v>9500</v>
      </c>
      <c r="D6" s="10">
        <v>12000</v>
      </c>
      <c r="E6" s="11" t="str">
        <f t="shared" ref="E6:E14" si="0">IF(D6&gt;=C6,"Atingiu Meta","Não Atingiu Meta")</f>
        <v>Atingiu Meta</v>
      </c>
    </row>
    <row r="7" spans="2:14" x14ac:dyDescent="0.25">
      <c r="B7" s="9" t="s">
        <v>25</v>
      </c>
      <c r="C7" s="10">
        <v>19000</v>
      </c>
      <c r="D7" s="10">
        <v>17500</v>
      </c>
      <c r="E7" s="11" t="str">
        <f t="shared" si="0"/>
        <v>Não Atingiu Meta</v>
      </c>
    </row>
    <row r="8" spans="2:14" x14ac:dyDescent="0.25">
      <c r="B8" s="9" t="s">
        <v>26</v>
      </c>
      <c r="C8" s="10">
        <v>21000</v>
      </c>
      <c r="D8" s="10">
        <v>22500</v>
      </c>
      <c r="E8" s="11" t="str">
        <f t="shared" si="0"/>
        <v>Atingiu Meta</v>
      </c>
    </row>
    <row r="9" spans="2:14" x14ac:dyDescent="0.25">
      <c r="B9" s="9" t="s">
        <v>27</v>
      </c>
      <c r="C9" s="10">
        <v>17500</v>
      </c>
      <c r="D9" s="10">
        <v>18500</v>
      </c>
      <c r="E9" s="11" t="str">
        <f t="shared" si="0"/>
        <v>Atingiu Meta</v>
      </c>
    </row>
    <row r="10" spans="2:14" x14ac:dyDescent="0.25">
      <c r="B10" s="9" t="s">
        <v>28</v>
      </c>
      <c r="C10" s="10">
        <v>13500</v>
      </c>
      <c r="D10" s="10">
        <v>14000</v>
      </c>
      <c r="E10" s="11" t="str">
        <f t="shared" si="0"/>
        <v>Atingiu Meta</v>
      </c>
    </row>
    <row r="11" spans="2:14" x14ac:dyDescent="0.25">
      <c r="B11" s="9" t="s">
        <v>29</v>
      </c>
      <c r="C11" s="10">
        <v>12000</v>
      </c>
      <c r="D11" s="10">
        <v>12000</v>
      </c>
      <c r="E11" s="11" t="str">
        <f t="shared" si="0"/>
        <v>Atingiu Meta</v>
      </c>
    </row>
    <row r="12" spans="2:14" x14ac:dyDescent="0.25">
      <c r="B12" s="9" t="s">
        <v>30</v>
      </c>
      <c r="C12" s="10">
        <v>9050</v>
      </c>
      <c r="D12" s="10">
        <v>9000</v>
      </c>
      <c r="E12" s="11" t="str">
        <f t="shared" si="0"/>
        <v>Não Atingiu Meta</v>
      </c>
    </row>
    <row r="13" spans="2:14" x14ac:dyDescent="0.25">
      <c r="B13" s="9" t="s">
        <v>31</v>
      </c>
      <c r="C13" s="10">
        <v>12000</v>
      </c>
      <c r="D13" s="10">
        <v>9500</v>
      </c>
      <c r="E13" s="11" t="str">
        <f t="shared" si="0"/>
        <v>Não Atingiu Meta</v>
      </c>
    </row>
    <row r="14" spans="2:14" x14ac:dyDescent="0.25">
      <c r="B14" s="9" t="s">
        <v>32</v>
      </c>
      <c r="C14" s="10">
        <v>11500</v>
      </c>
      <c r="D14" s="10">
        <v>13000</v>
      </c>
      <c r="E14" s="11" t="str">
        <f t="shared" si="0"/>
        <v>Atingiu Meta</v>
      </c>
    </row>
    <row r="17" spans="2:2" x14ac:dyDescent="0.25">
      <c r="B17" t="s">
        <v>92</v>
      </c>
    </row>
  </sheetData>
  <sortState xmlns:xlrd2="http://schemas.microsoft.com/office/spreadsheetml/2017/richdata2" ref="B3:J3860">
    <sortCondition ref="C2"/>
  </sortState>
  <mergeCells count="1">
    <mergeCell ref="I4:N4"/>
  </mergeCells>
  <conditionalFormatting sqref="E3:E14">
    <cfRule type="cellIs" dxfId="9" priority="3" operator="equal">
      <formula>$E$3</formula>
    </cfRule>
    <cfRule type="cellIs" dxfId="10" priority="2" operator="equal">
      <formula>$E$5</formula>
    </cfRule>
    <cfRule type="cellIs" dxfId="11" priority="1" operator="equal">
      <formula>$E$3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7E17-FA01-4C7B-97CF-32694EA8A5BA}">
  <dimension ref="A1:F14"/>
  <sheetViews>
    <sheetView workbookViewId="0">
      <selection activeCell="C18" sqref="C18"/>
    </sheetView>
  </sheetViews>
  <sheetFormatPr defaultRowHeight="15" x14ac:dyDescent="0.25"/>
  <cols>
    <col min="1" max="1" width="37.5703125" customWidth="1"/>
    <col min="2" max="2" width="16.28515625" bestFit="1" customWidth="1"/>
    <col min="3" max="3" width="15.140625" bestFit="1" customWidth="1"/>
    <col min="4" max="4" width="35.42578125" customWidth="1"/>
  </cols>
  <sheetData>
    <row r="1" spans="1:6" ht="15.75" x14ac:dyDescent="0.25">
      <c r="A1" s="4" t="s">
        <v>47</v>
      </c>
    </row>
    <row r="3" spans="1:6" ht="15.75" x14ac:dyDescent="0.25">
      <c r="A3" s="12" t="s">
        <v>33</v>
      </c>
      <c r="B3" s="12" t="s">
        <v>34</v>
      </c>
      <c r="C3" s="12" t="s">
        <v>35</v>
      </c>
      <c r="D3" s="12" t="s">
        <v>36</v>
      </c>
    </row>
    <row r="4" spans="1:6" ht="18" x14ac:dyDescent="0.25">
      <c r="A4" s="13"/>
      <c r="B4" s="13"/>
      <c r="C4" s="13"/>
      <c r="D4" s="13"/>
    </row>
    <row r="5" spans="1:6" ht="18" x14ac:dyDescent="0.25">
      <c r="A5" s="9" t="s">
        <v>37</v>
      </c>
      <c r="B5" s="14">
        <v>45</v>
      </c>
      <c r="C5" s="14">
        <v>50</v>
      </c>
      <c r="D5" s="15" t="str">
        <f>IF(C5&gt;=B5,"Stock OK","Stock Negativo")</f>
        <v>Stock OK</v>
      </c>
    </row>
    <row r="6" spans="1:6" ht="18" x14ac:dyDescent="0.25">
      <c r="A6" s="9" t="s">
        <v>38</v>
      </c>
      <c r="B6" s="14">
        <v>50</v>
      </c>
      <c r="C6" s="14">
        <v>15</v>
      </c>
      <c r="D6" s="15" t="str">
        <f t="shared" ref="D6:D14" si="0">IF(C6&gt;=B6,"Stock OK","Stock Negativo")</f>
        <v>Stock Negativo</v>
      </c>
    </row>
    <row r="7" spans="1:6" ht="18" x14ac:dyDescent="0.25">
      <c r="A7" s="9" t="s">
        <v>39</v>
      </c>
      <c r="B7" s="14">
        <v>75</v>
      </c>
      <c r="C7" s="14">
        <v>32</v>
      </c>
      <c r="D7" s="15" t="str">
        <f t="shared" si="0"/>
        <v>Stock Negativo</v>
      </c>
    </row>
    <row r="8" spans="1:6" ht="18" x14ac:dyDescent="0.25">
      <c r="A8" s="9" t="s">
        <v>40</v>
      </c>
      <c r="B8" s="14">
        <v>35</v>
      </c>
      <c r="C8" s="14">
        <v>45</v>
      </c>
      <c r="D8" s="15" t="str">
        <f t="shared" si="0"/>
        <v>Stock OK</v>
      </c>
    </row>
    <row r="9" spans="1:6" ht="18" x14ac:dyDescent="0.25">
      <c r="A9" s="9" t="s">
        <v>41</v>
      </c>
      <c r="B9" s="14">
        <v>40</v>
      </c>
      <c r="C9" s="14">
        <v>10</v>
      </c>
      <c r="D9" s="15" t="str">
        <f t="shared" si="0"/>
        <v>Stock Negativo</v>
      </c>
      <c r="F9" t="s">
        <v>93</v>
      </c>
    </row>
    <row r="10" spans="1:6" ht="18" x14ac:dyDescent="0.25">
      <c r="A10" s="9" t="s">
        <v>42</v>
      </c>
      <c r="B10" s="14">
        <v>45</v>
      </c>
      <c r="C10" s="14">
        <v>55</v>
      </c>
      <c r="D10" s="15" t="str">
        <f t="shared" si="0"/>
        <v>Stock OK</v>
      </c>
    </row>
    <row r="11" spans="1:6" ht="18" x14ac:dyDescent="0.25">
      <c r="A11" s="9" t="s">
        <v>43</v>
      </c>
      <c r="B11" s="14">
        <v>120</v>
      </c>
      <c r="C11" s="14">
        <v>156</v>
      </c>
      <c r="D11" s="15" t="str">
        <f t="shared" si="0"/>
        <v>Stock OK</v>
      </c>
    </row>
    <row r="12" spans="1:6" ht="18" x14ac:dyDescent="0.25">
      <c r="A12" s="9" t="s">
        <v>44</v>
      </c>
      <c r="B12" s="14">
        <v>50</v>
      </c>
      <c r="C12" s="14">
        <v>45</v>
      </c>
      <c r="D12" s="15" t="str">
        <f t="shared" si="0"/>
        <v>Stock Negativo</v>
      </c>
    </row>
    <row r="13" spans="1:6" ht="18" x14ac:dyDescent="0.25">
      <c r="A13" s="9" t="s">
        <v>45</v>
      </c>
      <c r="B13" s="14">
        <v>100</v>
      </c>
      <c r="C13" s="14">
        <v>110</v>
      </c>
      <c r="D13" s="15" t="str">
        <f t="shared" si="0"/>
        <v>Stock OK</v>
      </c>
    </row>
    <row r="14" spans="1:6" ht="18" x14ac:dyDescent="0.25">
      <c r="A14" s="9" t="s">
        <v>46</v>
      </c>
      <c r="B14" s="14">
        <v>125</v>
      </c>
      <c r="C14" s="14">
        <v>120</v>
      </c>
      <c r="D14" s="15" t="str">
        <f t="shared" si="0"/>
        <v>Stock Negativo</v>
      </c>
    </row>
  </sheetData>
  <conditionalFormatting sqref="D5:D14">
    <cfRule type="cellIs" dxfId="6" priority="2" operator="equal">
      <formula>$D$6</formula>
    </cfRule>
    <cfRule type="cellIs" dxfId="7" priority="1" operator="equal">
      <formula>$D$5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99F9-FA3E-4244-B61D-C729000A2E40}">
  <dimension ref="B2:L18"/>
  <sheetViews>
    <sheetView workbookViewId="0">
      <selection activeCell="K2" sqref="K2"/>
    </sheetView>
  </sheetViews>
  <sheetFormatPr defaultRowHeight="15" x14ac:dyDescent="0.25"/>
  <cols>
    <col min="1" max="1" width="4.7109375" customWidth="1"/>
    <col min="2" max="2" width="17.85546875" customWidth="1"/>
    <col min="6" max="6" width="15.28515625" customWidth="1"/>
    <col min="7" max="7" width="21.140625" customWidth="1"/>
    <col min="8" max="8" width="23.140625" customWidth="1"/>
    <col min="9" max="9" width="4" customWidth="1"/>
    <col min="10" max="10" width="14.28515625" style="22" customWidth="1"/>
    <col min="11" max="11" width="16.5703125" style="22" customWidth="1"/>
  </cols>
  <sheetData>
    <row r="2" spans="2:12" ht="18.75" x14ac:dyDescent="0.3">
      <c r="G2" s="21"/>
      <c r="H2" s="21"/>
      <c r="K2" s="56" t="s">
        <v>100</v>
      </c>
    </row>
    <row r="3" spans="2:12" ht="15.75" thickBot="1" x14ac:dyDescent="0.3">
      <c r="G3" s="22" t="s">
        <v>94</v>
      </c>
      <c r="H3" s="22" t="s">
        <v>95</v>
      </c>
    </row>
    <row r="4" spans="2:12" ht="29.25" thickBot="1" x14ac:dyDescent="0.3">
      <c r="B4" s="23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  <c r="H4" s="24" t="s">
        <v>54</v>
      </c>
      <c r="J4" s="54" t="s">
        <v>96</v>
      </c>
      <c r="K4" s="53"/>
      <c r="L4" s="53"/>
    </row>
    <row r="5" spans="2:12" ht="15.75" thickBot="1" x14ac:dyDescent="0.3">
      <c r="B5" s="25" t="s">
        <v>55</v>
      </c>
      <c r="C5" s="26">
        <v>12</v>
      </c>
      <c r="D5" s="27">
        <v>11</v>
      </c>
      <c r="E5" s="27">
        <v>9</v>
      </c>
      <c r="F5" s="28">
        <f t="shared" ref="F5:F13" si="0">AVERAGE(C5:E5)</f>
        <v>10.666666666666666</v>
      </c>
      <c r="G5" s="29" t="b">
        <f>AND(C5&gt;=10,D5&gt;=10,E5&gt;=10)</f>
        <v>0</v>
      </c>
      <c r="H5" s="29" t="b">
        <f>OR(C5&gt;=10,D5&gt;=10,E5&gt;=10)</f>
        <v>1</v>
      </c>
      <c r="J5" s="22" t="str">
        <f>IF(AND(C5&gt;=10,D5&gt;=10,E5&gt;=10),"Aprovado","Reprovado")</f>
        <v>Reprovado</v>
      </c>
    </row>
    <row r="6" spans="2:12" ht="15.75" thickBot="1" x14ac:dyDescent="0.3">
      <c r="B6" s="25" t="s">
        <v>56</v>
      </c>
      <c r="C6" s="30">
        <v>15</v>
      </c>
      <c r="D6" s="29">
        <v>15</v>
      </c>
      <c r="E6" s="29">
        <v>12</v>
      </c>
      <c r="F6" s="28">
        <f t="shared" si="0"/>
        <v>14</v>
      </c>
      <c r="G6" s="29" t="b">
        <f>AND(C6&gt;=10,D6&gt;=10,E6&gt;=10)</f>
        <v>1</v>
      </c>
      <c r="H6" s="29" t="b">
        <f>OR(C6&gt;=10,D6&gt;=10,E6&gt;=10)</f>
        <v>1</v>
      </c>
      <c r="J6" s="22" t="str">
        <f t="shared" ref="J6:J13" si="1">IF(AND(C6&gt;=10,D6&gt;=10,E6&gt;=10),"Aprovado","Reprovado")</f>
        <v>Aprovado</v>
      </c>
    </row>
    <row r="7" spans="2:12" ht="15.75" thickBot="1" x14ac:dyDescent="0.3">
      <c r="B7" s="25" t="s">
        <v>57</v>
      </c>
      <c r="C7" s="30">
        <v>7</v>
      </c>
      <c r="D7" s="29">
        <v>8</v>
      </c>
      <c r="E7" s="29">
        <v>9</v>
      </c>
      <c r="F7" s="28">
        <f t="shared" si="0"/>
        <v>8</v>
      </c>
      <c r="G7" s="29" t="b">
        <f t="shared" ref="G7:G13" si="2">AND(C7&gt;=10,D7&gt;=10,E7&gt;=10)</f>
        <v>0</v>
      </c>
      <c r="H7" s="29" t="b">
        <f>OR(C7&gt;=10,D7&gt;=10,E7&gt;=10)</f>
        <v>0</v>
      </c>
      <c r="J7" s="22" t="str">
        <f t="shared" si="1"/>
        <v>Reprovado</v>
      </c>
    </row>
    <row r="8" spans="2:12" ht="15.75" thickBot="1" x14ac:dyDescent="0.3">
      <c r="B8" s="25" t="s">
        <v>58</v>
      </c>
      <c r="C8" s="30">
        <v>12</v>
      </c>
      <c r="D8" s="29">
        <v>12</v>
      </c>
      <c r="E8" s="29">
        <v>8</v>
      </c>
      <c r="F8" s="28">
        <f t="shared" si="0"/>
        <v>10.666666666666666</v>
      </c>
      <c r="G8" s="29" t="b">
        <f t="shared" si="2"/>
        <v>0</v>
      </c>
      <c r="H8" s="29" t="b">
        <f t="shared" ref="H8:H13" si="3">OR(C8&gt;=10,D8&gt;=10,E8&gt;=10)</f>
        <v>1</v>
      </c>
      <c r="J8" s="22" t="str">
        <f t="shared" si="1"/>
        <v>Reprovado</v>
      </c>
    </row>
    <row r="9" spans="2:12" ht="15.75" thickBot="1" x14ac:dyDescent="0.3">
      <c r="B9" s="25" t="s">
        <v>59</v>
      </c>
      <c r="C9" s="30">
        <v>17</v>
      </c>
      <c r="D9" s="29">
        <v>19</v>
      </c>
      <c r="E9" s="29">
        <v>18</v>
      </c>
      <c r="F9" s="28">
        <f t="shared" si="0"/>
        <v>18</v>
      </c>
      <c r="G9" s="29" t="b">
        <f t="shared" si="2"/>
        <v>1</v>
      </c>
      <c r="H9" s="29" t="b">
        <f t="shared" si="3"/>
        <v>1</v>
      </c>
      <c r="J9" s="22" t="str">
        <f t="shared" si="1"/>
        <v>Aprovado</v>
      </c>
    </row>
    <row r="10" spans="2:12" ht="15.75" thickBot="1" x14ac:dyDescent="0.3">
      <c r="B10" s="25" t="s">
        <v>60</v>
      </c>
      <c r="C10" s="30">
        <v>8</v>
      </c>
      <c r="D10" s="29">
        <v>10</v>
      </c>
      <c r="E10" s="29">
        <v>10</v>
      </c>
      <c r="F10" s="28">
        <f t="shared" si="0"/>
        <v>9.3333333333333339</v>
      </c>
      <c r="G10" s="29" t="b">
        <f t="shared" si="2"/>
        <v>0</v>
      </c>
      <c r="H10" s="29" t="b">
        <f t="shared" si="3"/>
        <v>1</v>
      </c>
      <c r="J10" s="22" t="str">
        <f t="shared" si="1"/>
        <v>Reprovado</v>
      </c>
    </row>
    <row r="11" spans="2:12" ht="15.75" thickBot="1" x14ac:dyDescent="0.3">
      <c r="B11" s="25" t="s">
        <v>61</v>
      </c>
      <c r="C11" s="30">
        <v>13</v>
      </c>
      <c r="D11" s="29">
        <v>14</v>
      </c>
      <c r="E11" s="29">
        <v>18</v>
      </c>
      <c r="F11" s="28">
        <f t="shared" si="0"/>
        <v>15</v>
      </c>
      <c r="G11" s="29" t="b">
        <f t="shared" si="2"/>
        <v>1</v>
      </c>
      <c r="H11" s="29" t="b">
        <f t="shared" si="3"/>
        <v>1</v>
      </c>
      <c r="J11" s="22" t="str">
        <f t="shared" si="1"/>
        <v>Aprovado</v>
      </c>
    </row>
    <row r="12" spans="2:12" ht="15.75" thickBot="1" x14ac:dyDescent="0.3">
      <c r="B12" s="25" t="s">
        <v>62</v>
      </c>
      <c r="C12" s="30">
        <v>11</v>
      </c>
      <c r="D12" s="29">
        <v>11</v>
      </c>
      <c r="E12" s="29">
        <v>15</v>
      </c>
      <c r="F12" s="28">
        <f t="shared" si="0"/>
        <v>12.333333333333334</v>
      </c>
      <c r="G12" s="29" t="b">
        <f t="shared" si="2"/>
        <v>1</v>
      </c>
      <c r="H12" s="29" t="b">
        <f t="shared" si="3"/>
        <v>1</v>
      </c>
      <c r="J12" s="22" t="str">
        <f t="shared" si="1"/>
        <v>Aprovado</v>
      </c>
    </row>
    <row r="13" spans="2:12" ht="15.75" thickBot="1" x14ac:dyDescent="0.3">
      <c r="B13" s="25" t="s">
        <v>63</v>
      </c>
      <c r="C13" s="30">
        <v>9</v>
      </c>
      <c r="D13" s="29">
        <v>8</v>
      </c>
      <c r="E13" s="29">
        <v>7</v>
      </c>
      <c r="F13" s="28">
        <f t="shared" si="0"/>
        <v>8</v>
      </c>
      <c r="G13" s="29" t="b">
        <f t="shared" si="2"/>
        <v>0</v>
      </c>
      <c r="H13" s="29" t="b">
        <f t="shared" si="3"/>
        <v>0</v>
      </c>
      <c r="J13" s="22" t="str">
        <f t="shared" si="1"/>
        <v>Reprovado</v>
      </c>
    </row>
    <row r="16" spans="2:12" ht="15.75" x14ac:dyDescent="0.25">
      <c r="C16" s="42" t="s">
        <v>64</v>
      </c>
      <c r="D16" s="42"/>
      <c r="E16" s="42"/>
      <c r="F16" s="42"/>
      <c r="G16" s="42"/>
      <c r="H16" s="42"/>
    </row>
    <row r="17" spans="3:4" x14ac:dyDescent="0.25">
      <c r="C17" s="31" t="s">
        <v>53</v>
      </c>
      <c r="D17" t="s">
        <v>65</v>
      </c>
    </row>
    <row r="18" spans="3:4" x14ac:dyDescent="0.25">
      <c r="C18" s="31" t="s">
        <v>54</v>
      </c>
      <c r="D18" t="s">
        <v>66</v>
      </c>
    </row>
  </sheetData>
  <mergeCells count="2">
    <mergeCell ref="C16:H16"/>
    <mergeCell ref="J4:L4"/>
  </mergeCells>
  <hyperlinks>
    <hyperlink ref="K2" location="índice!A1" display="Voltar" xr:uid="{4B0DA4A4-78E7-4B86-802F-622C1C5D4C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3560-6299-430F-87C0-A8513D8A6112}">
  <dimension ref="A1:M26"/>
  <sheetViews>
    <sheetView zoomScaleNormal="100" workbookViewId="0"/>
  </sheetViews>
  <sheetFormatPr defaultRowHeight="15" x14ac:dyDescent="0.25"/>
  <cols>
    <col min="1" max="1" width="20.28515625" bestFit="1" customWidth="1"/>
    <col min="2" max="2" width="10.7109375" style="38" bestFit="1" customWidth="1"/>
    <col min="3" max="3" width="19.7109375" style="39" customWidth="1"/>
    <col min="4" max="4" width="14.7109375" style="39" bestFit="1" customWidth="1"/>
    <col min="5" max="5" width="9" style="39" bestFit="1" customWidth="1"/>
    <col min="6" max="6" width="11.5703125" style="38" bestFit="1" customWidth="1"/>
    <col min="7" max="7" width="11.85546875" style="40" bestFit="1" customWidth="1"/>
    <col min="8" max="8" width="15.7109375" style="39" customWidth="1"/>
    <col min="9" max="9" width="4.85546875" customWidth="1"/>
  </cols>
  <sheetData>
    <row r="1" spans="1:13" ht="30" x14ac:dyDescent="0.25">
      <c r="A1" s="32" t="s">
        <v>67</v>
      </c>
      <c r="B1" s="32" t="s">
        <v>68</v>
      </c>
      <c r="C1" s="33" t="s">
        <v>69</v>
      </c>
      <c r="D1" s="33" t="s">
        <v>70</v>
      </c>
      <c r="E1" s="33" t="s">
        <v>71</v>
      </c>
      <c r="F1" s="32" t="s">
        <v>72</v>
      </c>
      <c r="G1" s="33" t="s">
        <v>73</v>
      </c>
      <c r="H1" s="33" t="s">
        <v>74</v>
      </c>
      <c r="K1" s="56" t="s">
        <v>100</v>
      </c>
    </row>
    <row r="2" spans="1:13" x14ac:dyDescent="0.25">
      <c r="A2" s="34" t="s">
        <v>75</v>
      </c>
      <c r="B2" s="35">
        <v>44927.360671296294</v>
      </c>
      <c r="C2" s="34" t="s">
        <v>76</v>
      </c>
      <c r="D2" s="34" t="s">
        <v>77</v>
      </c>
      <c r="E2" s="34" t="s">
        <v>78</v>
      </c>
      <c r="F2" s="35">
        <v>44931.488564814812</v>
      </c>
      <c r="G2" s="36" t="s">
        <v>79</v>
      </c>
      <c r="H2" s="36" t="str">
        <f>IF(D2="Fechado","Encerrado","Em Aberto")</f>
        <v>Encerrado</v>
      </c>
      <c r="J2" s="37"/>
    </row>
    <row r="3" spans="1:13" ht="15.75" thickBot="1" x14ac:dyDescent="0.3">
      <c r="A3" s="34" t="s">
        <v>80</v>
      </c>
      <c r="B3" s="35">
        <v>44927.710902777777</v>
      </c>
      <c r="C3" s="34" t="s">
        <v>81</v>
      </c>
      <c r="D3" s="34" t="s">
        <v>82</v>
      </c>
      <c r="E3" s="34" t="s">
        <v>83</v>
      </c>
      <c r="F3" s="35">
        <v>44965.374062499999</v>
      </c>
      <c r="G3" s="36" t="s">
        <v>79</v>
      </c>
      <c r="H3" s="36" t="str">
        <f t="shared" ref="H3:H26" si="0">IF(D3="Fechado","Encerrado","Em Aberto")</f>
        <v>Em Aberto</v>
      </c>
    </row>
    <row r="4" spans="1:13" x14ac:dyDescent="0.25">
      <c r="A4" s="34" t="s">
        <v>80</v>
      </c>
      <c r="B4" s="35">
        <v>44927.713391203702</v>
      </c>
      <c r="C4" s="34" t="s">
        <v>76</v>
      </c>
      <c r="D4" s="34" t="s">
        <v>77</v>
      </c>
      <c r="E4" s="34" t="s">
        <v>83</v>
      </c>
      <c r="F4" s="35">
        <v>44938.460115740738</v>
      </c>
      <c r="G4" s="36" t="s">
        <v>84</v>
      </c>
      <c r="H4" s="36" t="str">
        <f t="shared" si="0"/>
        <v>Encerrado</v>
      </c>
      <c r="J4" s="43" t="s">
        <v>97</v>
      </c>
      <c r="K4" s="44"/>
      <c r="L4" s="44"/>
      <c r="M4" s="45"/>
    </row>
    <row r="5" spans="1:13" x14ac:dyDescent="0.25">
      <c r="A5" s="34" t="s">
        <v>80</v>
      </c>
      <c r="B5" s="35">
        <v>44928.402789351851</v>
      </c>
      <c r="C5" s="34" t="s">
        <v>85</v>
      </c>
      <c r="D5" s="34" t="s">
        <v>77</v>
      </c>
      <c r="E5" s="34" t="s">
        <v>83</v>
      </c>
      <c r="F5" s="35">
        <v>44945.486643518518</v>
      </c>
      <c r="G5" s="36" t="s">
        <v>86</v>
      </c>
      <c r="H5" s="36" t="str">
        <f t="shared" si="0"/>
        <v>Encerrado</v>
      </c>
      <c r="J5" s="46"/>
      <c r="K5" s="47"/>
      <c r="L5" s="47"/>
      <c r="M5" s="48"/>
    </row>
    <row r="6" spans="1:13" x14ac:dyDescent="0.25">
      <c r="A6" s="34" t="s">
        <v>80</v>
      </c>
      <c r="B6" s="35">
        <v>44929.373668981483</v>
      </c>
      <c r="C6" s="34" t="s">
        <v>85</v>
      </c>
      <c r="D6" s="34" t="s">
        <v>77</v>
      </c>
      <c r="E6" s="34" t="s">
        <v>83</v>
      </c>
      <c r="F6" s="35">
        <v>44934.501076388886</v>
      </c>
      <c r="G6" s="36" t="s">
        <v>86</v>
      </c>
      <c r="H6" s="36" t="str">
        <f t="shared" si="0"/>
        <v>Encerrado</v>
      </c>
      <c r="J6" s="46"/>
      <c r="K6" s="47"/>
      <c r="L6" s="47"/>
      <c r="M6" s="48"/>
    </row>
    <row r="7" spans="1:13" x14ac:dyDescent="0.25">
      <c r="A7" s="34" t="s">
        <v>80</v>
      </c>
      <c r="B7" s="35">
        <v>44930.554236111115</v>
      </c>
      <c r="C7" s="34" t="s">
        <v>81</v>
      </c>
      <c r="D7" s="34" t="s">
        <v>87</v>
      </c>
      <c r="E7" s="34" t="s">
        <v>83</v>
      </c>
      <c r="F7" s="35">
        <v>44945.517430555556</v>
      </c>
      <c r="G7" s="36" t="s">
        <v>79</v>
      </c>
      <c r="H7" s="36" t="str">
        <f t="shared" si="0"/>
        <v>Em Aberto</v>
      </c>
      <c r="J7" s="46"/>
      <c r="K7" s="47"/>
      <c r="L7" s="47"/>
      <c r="M7" s="48"/>
    </row>
    <row r="8" spans="1:13" ht="15.75" thickBot="1" x14ac:dyDescent="0.3">
      <c r="A8" s="34" t="s">
        <v>80</v>
      </c>
      <c r="B8" s="35">
        <v>44930.556446759256</v>
      </c>
      <c r="C8" s="34" t="s">
        <v>81</v>
      </c>
      <c r="D8" s="34" t="s">
        <v>77</v>
      </c>
      <c r="E8" s="34" t="s">
        <v>83</v>
      </c>
      <c r="F8" s="35">
        <v>44976.398784722223</v>
      </c>
      <c r="G8" s="36" t="s">
        <v>86</v>
      </c>
      <c r="H8" s="36" t="str">
        <f t="shared" si="0"/>
        <v>Encerrado</v>
      </c>
      <c r="J8" s="49"/>
      <c r="K8" s="50"/>
      <c r="L8" s="50"/>
      <c r="M8" s="51"/>
    </row>
    <row r="9" spans="1:13" x14ac:dyDescent="0.25">
      <c r="A9" s="34" t="s">
        <v>75</v>
      </c>
      <c r="B9" s="35">
        <v>44930.823009259257</v>
      </c>
      <c r="C9" s="34" t="s">
        <v>76</v>
      </c>
      <c r="D9" s="34" t="s">
        <v>87</v>
      </c>
      <c r="E9" s="34" t="s">
        <v>78</v>
      </c>
      <c r="F9" s="35">
        <v>44946.527395833335</v>
      </c>
      <c r="G9" s="36" t="s">
        <v>84</v>
      </c>
      <c r="H9" s="36" t="str">
        <f t="shared" si="0"/>
        <v>Em Aberto</v>
      </c>
    </row>
    <row r="10" spans="1:13" x14ac:dyDescent="0.25">
      <c r="A10" s="34" t="s">
        <v>80</v>
      </c>
      <c r="B10" s="35">
        <v>44931.311631944445</v>
      </c>
      <c r="C10" s="34" t="s">
        <v>85</v>
      </c>
      <c r="D10" s="34" t="s">
        <v>77</v>
      </c>
      <c r="E10" s="34" t="s">
        <v>78</v>
      </c>
      <c r="F10" s="35">
        <v>44931.492349537039</v>
      </c>
      <c r="G10" s="36" t="s">
        <v>86</v>
      </c>
      <c r="H10" s="36" t="str">
        <f t="shared" si="0"/>
        <v>Encerrado</v>
      </c>
    </row>
    <row r="11" spans="1:13" x14ac:dyDescent="0.25">
      <c r="A11" s="34" t="s">
        <v>75</v>
      </c>
      <c r="B11" s="35">
        <v>44931.331921296296</v>
      </c>
      <c r="C11" s="34" t="s">
        <v>76</v>
      </c>
      <c r="D11" s="34" t="s">
        <v>77</v>
      </c>
      <c r="E11" s="34" t="s">
        <v>78</v>
      </c>
      <c r="F11" s="35">
        <v>44931.706319444442</v>
      </c>
      <c r="G11" s="36" t="s">
        <v>84</v>
      </c>
      <c r="H11" s="36" t="str">
        <f t="shared" si="0"/>
        <v>Encerrado</v>
      </c>
    </row>
    <row r="12" spans="1:13" x14ac:dyDescent="0.25">
      <c r="A12" s="34" t="s">
        <v>80</v>
      </c>
      <c r="B12" s="35">
        <v>44931.346238425926</v>
      </c>
      <c r="C12" s="34" t="s">
        <v>88</v>
      </c>
      <c r="D12" s="34" t="s">
        <v>82</v>
      </c>
      <c r="E12" s="34" t="s">
        <v>83</v>
      </c>
      <c r="F12" s="35">
        <v>44931.564618055556</v>
      </c>
      <c r="G12" s="36" t="s">
        <v>84</v>
      </c>
      <c r="H12" s="36" t="str">
        <f t="shared" si="0"/>
        <v>Em Aberto</v>
      </c>
    </row>
    <row r="13" spans="1:13" x14ac:dyDescent="0.25">
      <c r="A13" s="34" t="s">
        <v>75</v>
      </c>
      <c r="B13" s="35">
        <v>44931.359675925924</v>
      </c>
      <c r="C13" s="34" t="s">
        <v>76</v>
      </c>
      <c r="D13" s="34" t="s">
        <v>87</v>
      </c>
      <c r="E13" s="34" t="s">
        <v>78</v>
      </c>
      <c r="F13" s="35">
        <v>44939.679571759261</v>
      </c>
      <c r="G13" s="36" t="s">
        <v>79</v>
      </c>
      <c r="H13" s="36" t="str">
        <f t="shared" si="0"/>
        <v>Em Aberto</v>
      </c>
    </row>
    <row r="14" spans="1:13" x14ac:dyDescent="0.25">
      <c r="A14" s="34" t="s">
        <v>75</v>
      </c>
      <c r="B14" s="35">
        <v>44931.363032407404</v>
      </c>
      <c r="C14" s="34" t="s">
        <v>76</v>
      </c>
      <c r="D14" s="34" t="s">
        <v>77</v>
      </c>
      <c r="E14" s="34" t="s">
        <v>83</v>
      </c>
      <c r="F14" s="35">
        <v>44931.416678240741</v>
      </c>
      <c r="G14" s="36" t="s">
        <v>79</v>
      </c>
      <c r="H14" s="36" t="str">
        <f t="shared" si="0"/>
        <v>Encerrado</v>
      </c>
    </row>
    <row r="15" spans="1:13" x14ac:dyDescent="0.25">
      <c r="A15" s="34" t="s">
        <v>75</v>
      </c>
      <c r="B15" s="35">
        <v>44931.376759259256</v>
      </c>
      <c r="C15" s="34" t="s">
        <v>76</v>
      </c>
      <c r="D15" s="34" t="s">
        <v>89</v>
      </c>
      <c r="E15" s="34" t="s">
        <v>78</v>
      </c>
      <c r="F15" s="35">
        <v>44937.348645833335</v>
      </c>
      <c r="G15" s="36" t="s">
        <v>84</v>
      </c>
      <c r="H15" s="36" t="str">
        <f t="shared" si="0"/>
        <v>Em Aberto</v>
      </c>
    </row>
    <row r="16" spans="1:13" x14ac:dyDescent="0.25">
      <c r="A16" s="34" t="s">
        <v>75</v>
      </c>
      <c r="B16" s="35">
        <v>44931.387002314812</v>
      </c>
      <c r="C16" s="34" t="s">
        <v>76</v>
      </c>
      <c r="D16" s="34" t="s">
        <v>87</v>
      </c>
      <c r="E16" s="34" t="s">
        <v>83</v>
      </c>
      <c r="F16" s="35">
        <v>44932.66333333333</v>
      </c>
      <c r="G16" s="36" t="s">
        <v>79</v>
      </c>
      <c r="H16" s="36" t="str">
        <f t="shared" si="0"/>
        <v>Em Aberto</v>
      </c>
    </row>
    <row r="17" spans="1:8" x14ac:dyDescent="0.25">
      <c r="A17" s="34" t="s">
        <v>75</v>
      </c>
      <c r="B17" s="35">
        <v>44931.393136574072</v>
      </c>
      <c r="C17" s="34" t="s">
        <v>76</v>
      </c>
      <c r="D17" s="34" t="s">
        <v>77</v>
      </c>
      <c r="E17" s="34" t="s">
        <v>83</v>
      </c>
      <c r="F17" s="35">
        <v>44933.576342592591</v>
      </c>
      <c r="G17" s="36" t="s">
        <v>84</v>
      </c>
      <c r="H17" s="36" t="str">
        <f t="shared" si="0"/>
        <v>Encerrado</v>
      </c>
    </row>
    <row r="18" spans="1:8" x14ac:dyDescent="0.25">
      <c r="A18" s="34" t="s">
        <v>75</v>
      </c>
      <c r="B18" s="35">
        <v>44931.407430555555</v>
      </c>
      <c r="C18" s="34" t="s">
        <v>76</v>
      </c>
      <c r="D18" s="34" t="s">
        <v>82</v>
      </c>
      <c r="E18" s="34" t="s">
        <v>78</v>
      </c>
      <c r="F18" s="35">
        <v>44932.663090277776</v>
      </c>
      <c r="G18" s="36" t="s">
        <v>84</v>
      </c>
      <c r="H18" s="36" t="str">
        <f t="shared" si="0"/>
        <v>Em Aberto</v>
      </c>
    </row>
    <row r="19" spans="1:8" x14ac:dyDescent="0.25">
      <c r="A19" s="34" t="s">
        <v>80</v>
      </c>
      <c r="B19" s="35">
        <v>44931.418217592596</v>
      </c>
      <c r="C19" s="34" t="s">
        <v>81</v>
      </c>
      <c r="D19" s="34" t="s">
        <v>89</v>
      </c>
      <c r="E19" s="34" t="s">
        <v>83</v>
      </c>
      <c r="F19" s="35">
        <v>44931.46775462963</v>
      </c>
      <c r="G19" s="36" t="s">
        <v>79</v>
      </c>
      <c r="H19" s="36" t="str">
        <f t="shared" si="0"/>
        <v>Em Aberto</v>
      </c>
    </row>
    <row r="20" spans="1:8" x14ac:dyDescent="0.25">
      <c r="A20" s="34" t="s">
        <v>75</v>
      </c>
      <c r="B20" s="35">
        <v>44931.455960648149</v>
      </c>
      <c r="C20" s="34" t="s">
        <v>76</v>
      </c>
      <c r="D20" s="34" t="s">
        <v>77</v>
      </c>
      <c r="E20" s="34" t="s">
        <v>78</v>
      </c>
      <c r="F20" s="35">
        <v>44932.436377314814</v>
      </c>
      <c r="G20" s="36" t="s">
        <v>86</v>
      </c>
      <c r="H20" s="36" t="str">
        <f t="shared" si="0"/>
        <v>Encerrado</v>
      </c>
    </row>
    <row r="21" spans="1:8" x14ac:dyDescent="0.25">
      <c r="A21" s="34" t="s">
        <v>75</v>
      </c>
      <c r="B21" s="35">
        <v>44931.461157407408</v>
      </c>
      <c r="C21" s="34" t="s">
        <v>76</v>
      </c>
      <c r="D21" s="34" t="s">
        <v>87</v>
      </c>
      <c r="E21" s="34" t="s">
        <v>78</v>
      </c>
      <c r="F21" s="35">
        <v>44937.711736111109</v>
      </c>
      <c r="G21" s="36" t="s">
        <v>86</v>
      </c>
      <c r="H21" s="36" t="str">
        <f t="shared" si="0"/>
        <v>Em Aberto</v>
      </c>
    </row>
    <row r="22" spans="1:8" x14ac:dyDescent="0.25">
      <c r="A22" s="34" t="s">
        <v>75</v>
      </c>
      <c r="B22" s="35">
        <v>44931.485023148147</v>
      </c>
      <c r="C22" s="34" t="s">
        <v>76</v>
      </c>
      <c r="D22" s="34" t="s">
        <v>89</v>
      </c>
      <c r="E22" s="34" t="s">
        <v>78</v>
      </c>
      <c r="F22" s="35">
        <v>44931.603865740741</v>
      </c>
      <c r="G22" s="36" t="s">
        <v>84</v>
      </c>
      <c r="H22" s="36" t="str">
        <f t="shared" si="0"/>
        <v>Em Aberto</v>
      </c>
    </row>
    <row r="23" spans="1:8" x14ac:dyDescent="0.25">
      <c r="A23" s="34" t="s">
        <v>75</v>
      </c>
      <c r="B23" s="35">
        <v>44931.493252314816</v>
      </c>
      <c r="C23" s="34" t="s">
        <v>76</v>
      </c>
      <c r="D23" s="34" t="s">
        <v>82</v>
      </c>
      <c r="E23" s="34" t="s">
        <v>78</v>
      </c>
      <c r="F23" s="35">
        <v>44944.413449074076</v>
      </c>
      <c r="G23" s="36" t="s">
        <v>84</v>
      </c>
      <c r="H23" s="36" t="str">
        <f t="shared" si="0"/>
        <v>Em Aberto</v>
      </c>
    </row>
    <row r="24" spans="1:8" x14ac:dyDescent="0.25">
      <c r="A24" s="34" t="s">
        <v>80</v>
      </c>
      <c r="B24" s="35">
        <v>44931.501863425925</v>
      </c>
      <c r="C24" s="34" t="s">
        <v>85</v>
      </c>
      <c r="D24" s="34" t="s">
        <v>77</v>
      </c>
      <c r="E24" s="34" t="s">
        <v>78</v>
      </c>
      <c r="F24" s="35">
        <v>44938.449282407404</v>
      </c>
      <c r="G24" s="36" t="s">
        <v>79</v>
      </c>
      <c r="H24" s="36" t="str">
        <f t="shared" si="0"/>
        <v>Encerrado</v>
      </c>
    </row>
    <row r="25" spans="1:8" x14ac:dyDescent="0.25">
      <c r="A25" s="34" t="s">
        <v>75</v>
      </c>
      <c r="B25" s="35">
        <v>44931.504733796297</v>
      </c>
      <c r="C25" s="34" t="s">
        <v>76</v>
      </c>
      <c r="D25" s="34" t="s">
        <v>77</v>
      </c>
      <c r="E25" s="34" t="s">
        <v>78</v>
      </c>
      <c r="F25" s="35">
        <v>44934.555960648147</v>
      </c>
      <c r="G25" s="36" t="s">
        <v>86</v>
      </c>
      <c r="H25" s="36" t="str">
        <f t="shared" si="0"/>
        <v>Encerrado</v>
      </c>
    </row>
    <row r="26" spans="1:8" x14ac:dyDescent="0.25">
      <c r="A26" s="34" t="s">
        <v>80</v>
      </c>
      <c r="B26" s="35">
        <v>44931.510497685187</v>
      </c>
      <c r="C26" s="34" t="s">
        <v>81</v>
      </c>
      <c r="D26" s="34" t="s">
        <v>82</v>
      </c>
      <c r="E26" s="34" t="s">
        <v>78</v>
      </c>
      <c r="F26" s="35">
        <v>44932.377754629626</v>
      </c>
      <c r="G26" s="36" t="s">
        <v>84</v>
      </c>
      <c r="H26" s="36" t="str">
        <f t="shared" si="0"/>
        <v>Em Aberto</v>
      </c>
    </row>
  </sheetData>
  <mergeCells count="1">
    <mergeCell ref="J4:M8"/>
  </mergeCells>
  <conditionalFormatting sqref="H2:H26">
    <cfRule type="cellIs" dxfId="0" priority="3" operator="equal">
      <formula>$H$2</formula>
    </cfRule>
    <cfRule type="cellIs" dxfId="1" priority="2" operator="equal">
      <formula>$H$2</formula>
    </cfRule>
    <cfRule type="cellIs" dxfId="2" priority="1" operator="equal">
      <formula>$H$3</formula>
    </cfRule>
  </conditionalFormatting>
  <hyperlinks>
    <hyperlink ref="K1" location="índice!A1" display="Voltar" xr:uid="{74D104F7-EC88-4838-BA02-ABB7D01E0F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índice</vt:lpstr>
      <vt:lpstr>Ex1</vt:lpstr>
      <vt:lpstr>Ex2</vt:lpstr>
      <vt:lpstr>Ex3</vt:lpstr>
      <vt:lpstr>Ex4</vt:lpstr>
      <vt:lpstr>Ex5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2014-04-06T09:22:50Z</dcterms:created>
  <dcterms:modified xsi:type="dcterms:W3CDTF">2025-06-18T14:45:19Z</dcterms:modified>
</cp:coreProperties>
</file>