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"/>
    </mc:Choice>
  </mc:AlternateContent>
  <xr:revisionPtr revIDLastSave="0" documentId="13_ncr:1_{104E1143-B6BA-44AD-8128-7F66C9E571A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dos" sheetId="1" r:id="rId1"/>
    <sheet name="Relatóri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B5" i="3"/>
  <c r="B4" i="3"/>
  <c r="E5" i="3"/>
  <c r="E6" i="3"/>
  <c r="E7" i="3"/>
  <c r="E8" i="3"/>
  <c r="E9" i="3"/>
  <c r="E4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2" i="1"/>
  <c r="H6" i="3" s="1"/>
  <c r="H7" i="3" l="1"/>
  <c r="H4" i="3"/>
</calcChain>
</file>

<file path=xl/sharedStrings.xml><?xml version="1.0" encoding="utf-8"?>
<sst xmlns="http://schemas.openxmlformats.org/spreadsheetml/2006/main" count="135" uniqueCount="56">
  <si>
    <t>Nome</t>
  </si>
  <si>
    <t>Ana Lúcia Mendes</t>
  </si>
  <si>
    <t>Ana Paula Picoli</t>
  </si>
  <si>
    <t>Anaor Mendonça</t>
  </si>
  <si>
    <t>Andréia Piccoli Gonzales</t>
  </si>
  <si>
    <t>Antonio Luiz Silva</t>
  </si>
  <si>
    <t>Beatriz Azevedo</t>
  </si>
  <si>
    <t>Cecília Teresa</t>
  </si>
  <si>
    <t>Clara de Assis</t>
  </si>
  <si>
    <t>Conceição de Torres</t>
  </si>
  <si>
    <t>Djanir Mendes</t>
  </si>
  <si>
    <t>Douglas Francisco Piccoli</t>
  </si>
  <si>
    <t>Elzita das Neves</t>
  </si>
  <si>
    <t>Francisco Gonzales</t>
  </si>
  <si>
    <t>Giovana Moda</t>
  </si>
  <si>
    <t>Gustavo Moda</t>
  </si>
  <si>
    <t>Henrique Olinto Piccoli</t>
  </si>
  <si>
    <t>José Luiz Cabrera</t>
  </si>
  <si>
    <t>Lourival Picoli Junior</t>
  </si>
  <si>
    <t>Luíza Piccoli</t>
  </si>
  <si>
    <t>Marcia Fernandez</t>
  </si>
  <si>
    <t>Maria Antonia Teresa</t>
  </si>
  <si>
    <t>Maria Aparecida Piccoli</t>
  </si>
  <si>
    <t>Maria Augusta</t>
  </si>
  <si>
    <t>Maria Clara</t>
  </si>
  <si>
    <t>Maria Fernanda</t>
  </si>
  <si>
    <t>Maria Isabel</t>
  </si>
  <si>
    <t>Rafael Azevedo</t>
  </si>
  <si>
    <t>Renata Helena</t>
  </si>
  <si>
    <t>Renata Moda</t>
  </si>
  <si>
    <t>Ricardo Castro</t>
  </si>
  <si>
    <t>Rodrigo Antonio Picoli</t>
  </si>
  <si>
    <t>Silvia Maria de Sousa</t>
  </si>
  <si>
    <t>Tania Cabrera</t>
  </si>
  <si>
    <t>Teresa Raquel</t>
  </si>
  <si>
    <t>Valéria Piccoli Gonzales</t>
  </si>
  <si>
    <t>Victor Hugo</t>
  </si>
  <si>
    <t>Vitória Maria</t>
  </si>
  <si>
    <t>Sexo</t>
  </si>
  <si>
    <t>Idade</t>
  </si>
  <si>
    <t>Curso</t>
  </si>
  <si>
    <t>Data Nasc.</t>
  </si>
  <si>
    <t>Matemática</t>
  </si>
  <si>
    <t>Letras</t>
  </si>
  <si>
    <t>Biologia</t>
  </si>
  <si>
    <t>Química</t>
  </si>
  <si>
    <t>Educação Física</t>
  </si>
  <si>
    <t>História</t>
  </si>
  <si>
    <t>Feminino</t>
  </si>
  <si>
    <t>Masculino</t>
  </si>
  <si>
    <t>Quantidade de alunos</t>
  </si>
  <si>
    <t>Acima de 50</t>
  </si>
  <si>
    <t>Abaixo de 25</t>
  </si>
  <si>
    <t>Relatório De Matrículas</t>
  </si>
  <si>
    <t>Acima de 40</t>
  </si>
  <si>
    <t>Acima de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</si>
</sst>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5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0" fontId="0" fillId="0" borderId="2" xfId="0" applyBorder="1" applyAlignment="1">
      <alignment horizontal="center" wrapText="1"/>
    </xf>
    <xf numFmtId="14" fontId="0" fillId="0" borderId="0" xfId="0" applyNumberFormat="1"/>
    <xf numFmtId="14" fontId="3" fillId="0" borderId="0" xfId="0" applyNumberFormat="1" applyFont="1"/>
    <xf numFmtId="0" fontId="3" fillId="0" borderId="0" xfId="0" applyFont="1"/>
    <xf numFmtId="22" fontId="3" fillId="0" borderId="0" xfId="0" applyNumberFormat="1" applyFont="1"/>
    <xf numFmtId="0" fontId="0" fillId="0" borderId="2" xfId="0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0" xfId="0" applyNumberFormat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Estilo de Tabela 1" pivot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9"/>
  <sheetViews>
    <sheetView zoomScale="110" zoomScaleNormal="110" workbookViewId="0">
      <selection activeCell="E2" sqref="E2:E38"/>
    </sheetView>
  </sheetViews>
  <sheetFormatPr defaultRowHeight="15" x14ac:dyDescent="0.25"/>
  <cols>
    <col min="1" max="1" width="23.140625" bestFit="1" customWidth="1"/>
    <col min="2" max="2" width="12.28515625" customWidth="1"/>
    <col min="3" max="3" width="14.42578125" bestFit="1" customWidth="1"/>
    <col min="4" max="4" width="14.85546875" customWidth="1"/>
    <col min="5" max="5" width="11.42578125" style="13" customWidth="1"/>
    <col min="6" max="6" width="14" customWidth="1"/>
    <col min="7" max="7" width="11.28515625" customWidth="1"/>
    <col min="9" max="9" width="12.7109375" customWidth="1"/>
    <col min="11" max="11" width="18.42578125" bestFit="1" customWidth="1"/>
  </cols>
  <sheetData>
    <row r="1" spans="1:11" x14ac:dyDescent="0.25">
      <c r="A1" s="1" t="s">
        <v>0</v>
      </c>
      <c r="B1" s="2" t="s">
        <v>38</v>
      </c>
      <c r="C1" s="2" t="s">
        <v>40</v>
      </c>
      <c r="D1" s="2" t="s">
        <v>41</v>
      </c>
      <c r="E1" s="11" t="s">
        <v>39</v>
      </c>
    </row>
    <row r="2" spans="1:11" x14ac:dyDescent="0.25">
      <c r="A2" s="3" t="s">
        <v>1</v>
      </c>
      <c r="B2" s="4" t="s">
        <v>48</v>
      </c>
      <c r="C2" s="4" t="s">
        <v>44</v>
      </c>
      <c r="D2" s="5">
        <v>26748</v>
      </c>
      <c r="E2" s="12">
        <f ca="1">YEARFRAC(D2,TODAY())</f>
        <v>52.25</v>
      </c>
    </row>
    <row r="3" spans="1:11" ht="15.75" x14ac:dyDescent="0.25">
      <c r="A3" s="3" t="s">
        <v>2</v>
      </c>
      <c r="B3" s="4" t="s">
        <v>48</v>
      </c>
      <c r="C3" s="4" t="s">
        <v>44</v>
      </c>
      <c r="D3" s="5">
        <v>27124</v>
      </c>
      <c r="E3" s="12">
        <f t="shared" ref="E3:E38" ca="1" si="0">YEARFRAC(D3,TODAY())</f>
        <v>51.222222222222221</v>
      </c>
      <c r="K3" s="8"/>
    </row>
    <row r="4" spans="1:11" ht="15.75" x14ac:dyDescent="0.25">
      <c r="A4" s="3" t="s">
        <v>3</v>
      </c>
      <c r="B4" s="4" t="s">
        <v>49</v>
      </c>
      <c r="C4" s="4" t="s">
        <v>44</v>
      </c>
      <c r="D4" s="5">
        <v>27529</v>
      </c>
      <c r="E4" s="12">
        <f t="shared" ca="1" si="0"/>
        <v>50.111111111111114</v>
      </c>
      <c r="K4" s="9"/>
    </row>
    <row r="5" spans="1:11" ht="15.75" x14ac:dyDescent="0.25">
      <c r="A5" s="3" t="s">
        <v>4</v>
      </c>
      <c r="B5" s="4" t="s">
        <v>48</v>
      </c>
      <c r="C5" s="4" t="s">
        <v>42</v>
      </c>
      <c r="D5" s="5">
        <v>28755</v>
      </c>
      <c r="E5" s="12">
        <f t="shared" ca="1" si="0"/>
        <v>46.758333333333333</v>
      </c>
      <c r="K5" s="10"/>
    </row>
    <row r="6" spans="1:11" x14ac:dyDescent="0.25">
      <c r="A6" s="3" t="s">
        <v>5</v>
      </c>
      <c r="B6" s="4" t="s">
        <v>49</v>
      </c>
      <c r="C6" s="4" t="s">
        <v>42</v>
      </c>
      <c r="D6" s="5">
        <v>29162</v>
      </c>
      <c r="E6" s="12">
        <f t="shared" ca="1" si="0"/>
        <v>45.644444444444446</v>
      </c>
    </row>
    <row r="7" spans="1:11" x14ac:dyDescent="0.25">
      <c r="A7" s="3" t="s">
        <v>6</v>
      </c>
      <c r="B7" s="4" t="s">
        <v>48</v>
      </c>
      <c r="C7" s="4" t="s">
        <v>46</v>
      </c>
      <c r="D7" s="5">
        <v>29499</v>
      </c>
      <c r="E7" s="12">
        <f t="shared" ca="1" si="0"/>
        <v>44.722222222222221</v>
      </c>
    </row>
    <row r="8" spans="1:11" x14ac:dyDescent="0.25">
      <c r="A8" s="3" t="s">
        <v>7</v>
      </c>
      <c r="B8" s="4" t="s">
        <v>48</v>
      </c>
      <c r="C8" s="4" t="s">
        <v>42</v>
      </c>
      <c r="D8" s="5">
        <v>29569</v>
      </c>
      <c r="E8" s="12">
        <f t="shared" ca="1" si="0"/>
        <v>44.530555555555559</v>
      </c>
    </row>
    <row r="9" spans="1:11" x14ac:dyDescent="0.25">
      <c r="A9" s="3" t="s">
        <v>8</v>
      </c>
      <c r="B9" s="4" t="s">
        <v>48</v>
      </c>
      <c r="C9" s="4" t="s">
        <v>42</v>
      </c>
      <c r="D9" s="5">
        <v>29976</v>
      </c>
      <c r="E9" s="12">
        <f t="shared" ca="1" si="0"/>
        <v>43.416666666666664</v>
      </c>
    </row>
    <row r="10" spans="1:11" x14ac:dyDescent="0.25">
      <c r="A10" s="3" t="s">
        <v>9</v>
      </c>
      <c r="B10" s="4" t="s">
        <v>48</v>
      </c>
      <c r="C10" s="4" t="s">
        <v>42</v>
      </c>
      <c r="D10" s="5">
        <v>30383</v>
      </c>
      <c r="E10" s="12">
        <f t="shared" ca="1" si="0"/>
        <v>42.297222222222224</v>
      </c>
    </row>
    <row r="11" spans="1:11" x14ac:dyDescent="0.25">
      <c r="A11" s="3" t="s">
        <v>10</v>
      </c>
      <c r="B11" s="4" t="s">
        <v>49</v>
      </c>
      <c r="C11" s="4" t="s">
        <v>42</v>
      </c>
      <c r="D11" s="5">
        <v>30790</v>
      </c>
      <c r="E11" s="12">
        <f t="shared" ca="1" si="0"/>
        <v>41.18611111111111</v>
      </c>
    </row>
    <row r="12" spans="1:11" x14ac:dyDescent="0.25">
      <c r="A12" s="3" t="s">
        <v>11</v>
      </c>
      <c r="B12" s="4" t="s">
        <v>49</v>
      </c>
      <c r="C12" s="4" t="s">
        <v>42</v>
      </c>
      <c r="D12" s="5">
        <v>31197</v>
      </c>
      <c r="E12" s="12">
        <f t="shared" ca="1" si="0"/>
        <v>40.069444444444443</v>
      </c>
    </row>
    <row r="13" spans="1:11" x14ac:dyDescent="0.25">
      <c r="A13" s="3" t="s">
        <v>12</v>
      </c>
      <c r="B13" s="4" t="s">
        <v>48</v>
      </c>
      <c r="C13" s="4" t="s">
        <v>42</v>
      </c>
      <c r="D13" s="5">
        <v>31604</v>
      </c>
      <c r="E13" s="12">
        <f t="shared" ca="1" si="0"/>
        <v>38.955555555555556</v>
      </c>
    </row>
    <row r="14" spans="1:11" x14ac:dyDescent="0.25">
      <c r="A14" s="3" t="s">
        <v>13</v>
      </c>
      <c r="B14" s="4" t="s">
        <v>49</v>
      </c>
      <c r="C14" s="4" t="s">
        <v>45</v>
      </c>
      <c r="D14" s="5">
        <v>20099</v>
      </c>
      <c r="E14" s="12">
        <f t="shared" ca="1" si="0"/>
        <v>70.458333333333329</v>
      </c>
    </row>
    <row r="15" spans="1:11" x14ac:dyDescent="0.25">
      <c r="A15" s="3" t="s">
        <v>14</v>
      </c>
      <c r="B15" s="4" t="s">
        <v>48</v>
      </c>
      <c r="C15" s="4" t="s">
        <v>45</v>
      </c>
      <c r="D15" s="5">
        <v>20505</v>
      </c>
      <c r="E15" s="12">
        <f t="shared" ca="1" si="0"/>
        <v>69.347222222222229</v>
      </c>
    </row>
    <row r="16" spans="1:11" x14ac:dyDescent="0.25">
      <c r="A16" s="3" t="s">
        <v>15</v>
      </c>
      <c r="B16" s="4" t="s">
        <v>49</v>
      </c>
      <c r="C16" s="4" t="s">
        <v>45</v>
      </c>
      <c r="D16" s="5">
        <v>20911</v>
      </c>
      <c r="E16" s="12">
        <f t="shared" ca="1" si="0"/>
        <v>68.233333333333334</v>
      </c>
    </row>
    <row r="17" spans="1:5" x14ac:dyDescent="0.25">
      <c r="A17" s="3" t="s">
        <v>16</v>
      </c>
      <c r="B17" s="4" t="s">
        <v>49</v>
      </c>
      <c r="C17" s="4" t="s">
        <v>42</v>
      </c>
      <c r="D17" s="5">
        <v>32011</v>
      </c>
      <c r="E17" s="12">
        <f t="shared" ca="1" si="0"/>
        <v>37.841666666666669</v>
      </c>
    </row>
    <row r="18" spans="1:5" x14ac:dyDescent="0.25">
      <c r="A18" s="3" t="s">
        <v>17</v>
      </c>
      <c r="B18" s="4" t="s">
        <v>49</v>
      </c>
      <c r="C18" s="4" t="s">
        <v>44</v>
      </c>
      <c r="D18" s="5">
        <v>27936</v>
      </c>
      <c r="E18" s="12">
        <f t="shared" ca="1" si="0"/>
        <v>49</v>
      </c>
    </row>
    <row r="19" spans="1:5" x14ac:dyDescent="0.25">
      <c r="A19" s="3" t="s">
        <v>18</v>
      </c>
      <c r="B19" s="4" t="s">
        <v>49</v>
      </c>
      <c r="C19" s="4" t="s">
        <v>45</v>
      </c>
      <c r="D19" s="5">
        <v>21317</v>
      </c>
      <c r="E19" s="12">
        <f t="shared" ca="1" si="0"/>
        <v>67.11944444444444</v>
      </c>
    </row>
    <row r="20" spans="1:5" x14ac:dyDescent="0.25">
      <c r="A20" s="3" t="s">
        <v>19</v>
      </c>
      <c r="B20" s="4" t="s">
        <v>48</v>
      </c>
      <c r="C20" s="4" t="s">
        <v>45</v>
      </c>
      <c r="D20" s="5">
        <v>21723</v>
      </c>
      <c r="E20" s="12">
        <f t="shared" ca="1" si="0"/>
        <v>66.00833333333334</v>
      </c>
    </row>
    <row r="21" spans="1:5" x14ac:dyDescent="0.25">
      <c r="A21" s="3" t="s">
        <v>20</v>
      </c>
      <c r="B21" s="4" t="s">
        <v>48</v>
      </c>
      <c r="C21" s="4" t="s">
        <v>45</v>
      </c>
      <c r="D21" s="5">
        <v>22129</v>
      </c>
      <c r="E21" s="12">
        <f t="shared" ca="1" si="0"/>
        <v>64.900000000000006</v>
      </c>
    </row>
    <row r="22" spans="1:5" x14ac:dyDescent="0.25">
      <c r="A22" s="3" t="s">
        <v>21</v>
      </c>
      <c r="B22" s="4" t="s">
        <v>48</v>
      </c>
      <c r="C22" s="4" t="s">
        <v>47</v>
      </c>
      <c r="D22" s="5">
        <v>29591</v>
      </c>
      <c r="E22" s="12">
        <f t="shared" ca="1" si="0"/>
        <v>44.472222222222221</v>
      </c>
    </row>
    <row r="23" spans="1:5" x14ac:dyDescent="0.25">
      <c r="A23" s="3" t="s">
        <v>22</v>
      </c>
      <c r="B23" s="4" t="s">
        <v>48</v>
      </c>
      <c r="C23" s="4" t="s">
        <v>47</v>
      </c>
      <c r="D23" s="5">
        <v>29997</v>
      </c>
      <c r="E23" s="12">
        <f t="shared" ca="1" si="0"/>
        <v>43.361111111111114</v>
      </c>
    </row>
    <row r="24" spans="1:5" x14ac:dyDescent="0.25">
      <c r="A24" s="3" t="s">
        <v>23</v>
      </c>
      <c r="B24" s="4" t="s">
        <v>48</v>
      </c>
      <c r="C24" s="4" t="s">
        <v>46</v>
      </c>
      <c r="D24" s="5">
        <v>29905</v>
      </c>
      <c r="E24" s="12">
        <f t="shared" ca="1" si="0"/>
        <v>43.611111111111114</v>
      </c>
    </row>
    <row r="25" spans="1:5" x14ac:dyDescent="0.25">
      <c r="A25" s="3" t="s">
        <v>24</v>
      </c>
      <c r="B25" s="4" t="s">
        <v>48</v>
      </c>
      <c r="C25" s="4" t="s">
        <v>47</v>
      </c>
      <c r="D25" s="5">
        <v>30400</v>
      </c>
      <c r="E25" s="12">
        <f t="shared" ca="1" si="0"/>
        <v>42.25</v>
      </c>
    </row>
    <row r="26" spans="1:5" x14ac:dyDescent="0.25">
      <c r="A26" s="3" t="s">
        <v>25</v>
      </c>
      <c r="B26" s="4" t="s">
        <v>48</v>
      </c>
      <c r="C26" s="4" t="s">
        <v>47</v>
      </c>
      <c r="D26" s="5">
        <v>30777</v>
      </c>
      <c r="E26" s="12">
        <f t="shared" ca="1" si="0"/>
        <v>41.222222222222221</v>
      </c>
    </row>
    <row r="27" spans="1:5" x14ac:dyDescent="0.25">
      <c r="A27" s="3" t="s">
        <v>26</v>
      </c>
      <c r="B27" s="4" t="s">
        <v>48</v>
      </c>
      <c r="C27" s="4" t="s">
        <v>44</v>
      </c>
      <c r="D27" s="5">
        <v>28311</v>
      </c>
      <c r="E27" s="12">
        <f t="shared" ca="1" si="0"/>
        <v>47.972222222222221</v>
      </c>
    </row>
    <row r="28" spans="1:5" x14ac:dyDescent="0.25">
      <c r="A28" s="3" t="s">
        <v>27</v>
      </c>
      <c r="B28" s="4" t="s">
        <v>49</v>
      </c>
      <c r="C28" s="4" t="s">
        <v>47</v>
      </c>
      <c r="D28" s="5">
        <v>31154</v>
      </c>
      <c r="E28" s="12">
        <f t="shared" ca="1" si="0"/>
        <v>40.18888888888889</v>
      </c>
    </row>
    <row r="29" spans="1:5" x14ac:dyDescent="0.25">
      <c r="A29" s="3" t="s">
        <v>28</v>
      </c>
      <c r="B29" s="4" t="s">
        <v>48</v>
      </c>
      <c r="C29" s="4" t="s">
        <v>47</v>
      </c>
      <c r="D29" s="5">
        <v>31531</v>
      </c>
      <c r="E29" s="12">
        <f t="shared" ca="1" si="0"/>
        <v>39.155555555555559</v>
      </c>
    </row>
    <row r="30" spans="1:5" x14ac:dyDescent="0.25">
      <c r="A30" s="3" t="s">
        <v>29</v>
      </c>
      <c r="B30" s="4" t="s">
        <v>48</v>
      </c>
      <c r="C30" s="4" t="s">
        <v>44</v>
      </c>
      <c r="D30" s="5">
        <v>28717</v>
      </c>
      <c r="E30" s="12">
        <f t="shared" ca="1" si="0"/>
        <v>46.861111111111114</v>
      </c>
    </row>
    <row r="31" spans="1:5" x14ac:dyDescent="0.25">
      <c r="A31" s="3" t="s">
        <v>30</v>
      </c>
      <c r="B31" s="4" t="s">
        <v>49</v>
      </c>
      <c r="C31" s="4" t="s">
        <v>46</v>
      </c>
      <c r="D31" s="5">
        <v>30310</v>
      </c>
      <c r="E31" s="12">
        <f t="shared" ca="1" si="0"/>
        <v>42.5</v>
      </c>
    </row>
    <row r="32" spans="1:5" x14ac:dyDescent="0.25">
      <c r="A32" s="3" t="s">
        <v>31</v>
      </c>
      <c r="B32" s="4" t="s">
        <v>49</v>
      </c>
      <c r="C32" s="4" t="s">
        <v>43</v>
      </c>
      <c r="D32" s="5">
        <v>31908</v>
      </c>
      <c r="E32" s="12">
        <f t="shared" ca="1" si="0"/>
        <v>38.12222222222222</v>
      </c>
    </row>
    <row r="33" spans="1:5" x14ac:dyDescent="0.25">
      <c r="A33" s="3" t="s">
        <v>32</v>
      </c>
      <c r="B33" s="4" t="s">
        <v>48</v>
      </c>
      <c r="C33" s="4" t="s">
        <v>43</v>
      </c>
      <c r="D33" s="5">
        <v>32285</v>
      </c>
      <c r="E33" s="12">
        <f t="shared" ca="1" si="0"/>
        <v>37.091666666666669</v>
      </c>
    </row>
    <row r="34" spans="1:5" x14ac:dyDescent="0.25">
      <c r="A34" s="3" t="s">
        <v>33</v>
      </c>
      <c r="B34" s="4" t="s">
        <v>48</v>
      </c>
      <c r="C34" s="4" t="s">
        <v>43</v>
      </c>
      <c r="D34" s="5">
        <v>27534</v>
      </c>
      <c r="E34" s="12">
        <f t="shared" ca="1" si="0"/>
        <v>50.097222222222221</v>
      </c>
    </row>
    <row r="35" spans="1:5" x14ac:dyDescent="0.25">
      <c r="A35" s="3" t="s">
        <v>34</v>
      </c>
      <c r="B35" s="4" t="s">
        <v>48</v>
      </c>
      <c r="C35" s="4" t="s">
        <v>43</v>
      </c>
      <c r="D35" s="5">
        <v>27941</v>
      </c>
      <c r="E35" s="12">
        <f t="shared" ca="1" si="0"/>
        <v>48.986111111111114</v>
      </c>
    </row>
    <row r="36" spans="1:5" x14ac:dyDescent="0.25">
      <c r="A36" s="3" t="s">
        <v>35</v>
      </c>
      <c r="B36" s="4" t="s">
        <v>48</v>
      </c>
      <c r="C36" s="4" t="s">
        <v>44</v>
      </c>
      <c r="D36" s="5">
        <v>29123</v>
      </c>
      <c r="E36" s="12">
        <f t="shared" ca="1" si="0"/>
        <v>45.75</v>
      </c>
    </row>
    <row r="37" spans="1:5" x14ac:dyDescent="0.25">
      <c r="A37" s="3" t="s">
        <v>36</v>
      </c>
      <c r="B37" s="4" t="s">
        <v>49</v>
      </c>
      <c r="C37" s="4" t="s">
        <v>42</v>
      </c>
      <c r="D37" s="5">
        <v>32418</v>
      </c>
      <c r="E37" s="12">
        <f t="shared" ca="1" si="0"/>
        <v>36.730555555555554</v>
      </c>
    </row>
    <row r="38" spans="1:5" x14ac:dyDescent="0.25">
      <c r="A38" s="3" t="s">
        <v>37</v>
      </c>
      <c r="B38" s="4" t="s">
        <v>48</v>
      </c>
      <c r="C38" s="4" t="s">
        <v>43</v>
      </c>
      <c r="D38" s="5">
        <v>28348</v>
      </c>
      <c r="E38" s="12">
        <f t="shared" ca="1" si="0"/>
        <v>47.87222222222222</v>
      </c>
    </row>
    <row r="39" spans="1:5" x14ac:dyDescent="0.25">
      <c r="A39" s="14"/>
      <c r="B39" s="15"/>
      <c r="C39" s="15"/>
      <c r="D39" s="7"/>
      <c r="E39" s="16"/>
    </row>
  </sheetData>
  <sortState xmlns:xlrd2="http://schemas.microsoft.com/office/spreadsheetml/2017/richdata2" ref="A2:E38">
    <sortCondition ref="A31"/>
  </sortState>
  <dataValidations count="2">
    <dataValidation type="list" allowBlank="1" showInputMessage="1" showErrorMessage="1" sqref="C2:C38" xr:uid="{00000000-0002-0000-0000-000000000000}">
      <formula1>cursos</formula1>
    </dataValidation>
    <dataValidation type="list" errorStyle="information" allowBlank="1" showInputMessage="1" showErrorMessage="1" errorTitle="Digitação fora do padrão" error="Verifique se você está dentro dos padrões especificados." promptTitle="Sexo" prompt="O Sexo da pesso deverá ser selecionado na lista" sqref="B2:B38" xr:uid="{00000000-0002-0000-0000-000001000000}">
      <formula1>"Feminino,Masculino"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"/>
  <sheetViews>
    <sheetView tabSelected="1" zoomScale="130" zoomScaleNormal="130" workbookViewId="0">
      <selection activeCell="H7" sqref="H7"/>
    </sheetView>
  </sheetViews>
  <sheetFormatPr defaultRowHeight="15" x14ac:dyDescent="0.25"/>
  <cols>
    <col min="1" max="1" width="10" bestFit="1" customWidth="1"/>
    <col min="2" max="2" width="15" customWidth="1"/>
    <col min="3" max="3" width="4.5703125" customWidth="1"/>
    <col min="4" max="4" width="14.42578125" bestFit="1" customWidth="1"/>
    <col min="5" max="5" width="15" customWidth="1"/>
    <col min="7" max="7" width="12.28515625" bestFit="1" customWidth="1"/>
    <col min="8" max="8" width="18.42578125" style="13" customWidth="1"/>
  </cols>
  <sheetData>
    <row r="1" spans="1:8" ht="31.5" x14ac:dyDescent="0.5">
      <c r="A1" s="18" t="s">
        <v>53</v>
      </c>
      <c r="B1" s="18"/>
      <c r="C1" s="18"/>
      <c r="D1" s="18"/>
      <c r="E1" s="18"/>
      <c r="F1" s="18"/>
      <c r="G1" s="18"/>
      <c r="H1" s="18"/>
    </row>
    <row r="3" spans="1:8" ht="30" x14ac:dyDescent="0.25">
      <c r="A3" s="1" t="s">
        <v>38</v>
      </c>
      <c r="B3" s="6" t="s">
        <v>50</v>
      </c>
      <c r="D3" s="1" t="s">
        <v>40</v>
      </c>
      <c r="E3" s="6" t="s">
        <v>50</v>
      </c>
      <c r="G3" s="1" t="s">
        <v>39</v>
      </c>
      <c r="H3" s="6" t="s">
        <v>50</v>
      </c>
    </row>
    <row r="4" spans="1:8" ht="15.75" x14ac:dyDescent="0.25">
      <c r="A4" s="3" t="s">
        <v>48</v>
      </c>
      <c r="B4" s="4">
        <f>COUNTIF(Dados!B:B,A4)</f>
        <v>24</v>
      </c>
      <c r="D4" s="3" t="s">
        <v>44</v>
      </c>
      <c r="E4" s="4">
        <f>COUNTIF(Dados!C:C,D4)</f>
        <v>7</v>
      </c>
      <c r="G4" s="3" t="s">
        <v>51</v>
      </c>
      <c r="H4" s="17">
        <f ca="1">COUNTIF(Dados!E:E,"&gt;50")</f>
        <v>10</v>
      </c>
    </row>
    <row r="5" spans="1:8" ht="15.75" x14ac:dyDescent="0.25">
      <c r="A5" s="3" t="s">
        <v>49</v>
      </c>
      <c r="B5" s="4">
        <f>COUNTIF(Dados!B:B,A5)</f>
        <v>13</v>
      </c>
      <c r="D5" s="3" t="s">
        <v>46</v>
      </c>
      <c r="E5" s="4">
        <f>COUNTIF(Dados!C:C,D5)</f>
        <v>3</v>
      </c>
      <c r="G5" s="3" t="s">
        <v>52</v>
      </c>
      <c r="H5" s="17">
        <f>COUNTIF(Dados!D:D,"&lt;25")</f>
        <v>0</v>
      </c>
    </row>
    <row r="6" spans="1:8" ht="15.75" x14ac:dyDescent="0.25">
      <c r="D6" s="3" t="s">
        <v>47</v>
      </c>
      <c r="E6" s="4">
        <f>COUNTIF(Dados!C:C,D6)</f>
        <v>6</v>
      </c>
      <c r="G6" s="3" t="s">
        <v>54</v>
      </c>
      <c r="H6" s="17">
        <f ca="1">COUNTIF(Dados!E:E,"&gt;40")</f>
        <v>31</v>
      </c>
    </row>
    <row r="7" spans="1:8" ht="15.75" x14ac:dyDescent="0.25">
      <c r="D7" s="3" t="s">
        <v>43</v>
      </c>
      <c r="E7" s="4">
        <f>COUNTIF(Dados!C:C,D7)</f>
        <v>5</v>
      </c>
      <c r="G7" s="3" t="s">
        <v>55</v>
      </c>
      <c r="H7" s="17">
        <f ca="1">COUNTIF(Dados!E:E,"&gt;30")</f>
        <v>37</v>
      </c>
    </row>
    <row r="8" spans="1:8" x14ac:dyDescent="0.25">
      <c r="D8" s="3" t="s">
        <v>42</v>
      </c>
      <c r="E8" s="4">
        <f>COUNTIF(Dados!C:C,D8)</f>
        <v>10</v>
      </c>
    </row>
    <row r="9" spans="1:8" x14ac:dyDescent="0.25">
      <c r="D9" s="3" t="s">
        <v>45</v>
      </c>
      <c r="E9" s="4">
        <f>COUNTIF(Dados!C:C,D9)</f>
        <v>6</v>
      </c>
    </row>
  </sheetData>
  <sortState xmlns:xlrd2="http://schemas.microsoft.com/office/spreadsheetml/2017/richdata2" ref="D4:E9">
    <sortCondition ref="D5"/>
  </sortState>
  <mergeCells count="1">
    <mergeCell ref="A1:H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F9EF46-51C5-4E9C-A3E4-47CB1A5E144C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customXml/itemProps2.xml><?xml version="1.0" encoding="utf-8"?>
<ds:datastoreItem xmlns:ds="http://schemas.openxmlformats.org/officeDocument/2006/customXml" ds:itemID="{ED2425A0-DC47-47A2-9E0C-87C50B2895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9FB752-4182-4EE4-8ACD-9CA07BD030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Dados</vt:lpstr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</dc:creator>
  <cp:lastModifiedBy>MANOEL BARATA</cp:lastModifiedBy>
  <dcterms:created xsi:type="dcterms:W3CDTF">2007-02-22T10:42:21Z</dcterms:created>
  <dcterms:modified xsi:type="dcterms:W3CDTF">2025-06-25T17:20:27Z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