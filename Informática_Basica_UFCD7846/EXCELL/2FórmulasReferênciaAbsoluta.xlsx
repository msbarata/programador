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EXCELL\"/>
    </mc:Choice>
  </mc:AlternateContent>
  <xr:revisionPtr revIDLastSave="0" documentId="13_ncr:1_{1F5528F6-82D0-42EC-A3B0-AB32F7451248}" xr6:coauthVersionLast="47" xr6:coauthVersionMax="47" xr10:uidLastSave="{00000000-0000-0000-0000-000000000000}"/>
  <bookViews>
    <workbookView xWindow="-120" yWindow="-120" windowWidth="20730" windowHeight="11160" tabRatio="824" activeTab="1" xr2:uid="{00000000-000D-0000-FFFF-FFFF00000000}"/>
  </bookViews>
  <sheets>
    <sheet name="RefAbs1" sheetId="10" r:id="rId1"/>
    <sheet name="RefAbs2" sheetId="3" r:id="rId2"/>
    <sheet name="Percent" sheetId="2" r:id="rId3"/>
    <sheet name="Percent1" sheetId="9" r:id="rId4"/>
    <sheet name="Percent2" sheetId="8" r:id="rId5"/>
    <sheet name="Percent3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/>
  <c r="C11" i="3"/>
  <c r="C12" i="3"/>
  <c r="C13" i="3"/>
  <c r="C14" i="3"/>
  <c r="C15" i="3"/>
  <c r="C4" i="3"/>
  <c r="B16" i="3"/>
  <c r="I8" i="11"/>
  <c r="I9" i="11"/>
  <c r="I10" i="11"/>
  <c r="I11" i="11"/>
  <c r="I12" i="11"/>
  <c r="I13" i="11"/>
  <c r="I14" i="11"/>
  <c r="I15" i="11"/>
  <c r="I16" i="11"/>
  <c r="I17" i="11"/>
  <c r="I18" i="11"/>
  <c r="I7" i="11"/>
  <c r="G8" i="11"/>
  <c r="G9" i="11"/>
  <c r="G10" i="11"/>
  <c r="G11" i="11"/>
  <c r="G12" i="11"/>
  <c r="G13" i="11"/>
  <c r="G14" i="11"/>
  <c r="G15" i="11"/>
  <c r="G16" i="11"/>
  <c r="G17" i="11"/>
  <c r="G18" i="11"/>
  <c r="G7" i="11"/>
  <c r="J8" i="11"/>
  <c r="J9" i="11"/>
  <c r="E9" i="11" s="1"/>
  <c r="J10" i="11"/>
  <c r="E10" i="11" s="1"/>
  <c r="J11" i="11"/>
  <c r="E11" i="11" s="1"/>
  <c r="J12" i="11"/>
  <c r="J13" i="11"/>
  <c r="J14" i="11"/>
  <c r="J15" i="11"/>
  <c r="J16" i="11"/>
  <c r="J17" i="11"/>
  <c r="J18" i="11"/>
  <c r="E8" i="11"/>
  <c r="E12" i="11"/>
  <c r="E13" i="11"/>
  <c r="E14" i="11"/>
  <c r="E15" i="11"/>
  <c r="E16" i="11"/>
  <c r="E17" i="11"/>
  <c r="E18" i="11"/>
  <c r="E7" i="11"/>
  <c r="J7" i="11"/>
  <c r="C6" i="8"/>
  <c r="C7" i="8"/>
  <c r="C8" i="8"/>
  <c r="C9" i="8"/>
  <c r="C5" i="8"/>
  <c r="B11" i="8"/>
  <c r="E4" i="9"/>
  <c r="E5" i="9"/>
  <c r="E6" i="9"/>
  <c r="E3" i="9"/>
  <c r="D4" i="9"/>
  <c r="D5" i="9"/>
  <c r="D6" i="9"/>
  <c r="D3" i="9"/>
  <c r="G4" i="2"/>
  <c r="D5" i="2"/>
  <c r="D6" i="2"/>
  <c r="D7" i="2"/>
  <c r="D8" i="2"/>
  <c r="D9" i="2"/>
  <c r="D10" i="2"/>
  <c r="D11" i="2"/>
  <c r="D12" i="2"/>
  <c r="D13" i="2"/>
  <c r="D14" i="2"/>
  <c r="D15" i="2"/>
  <c r="D4" i="2"/>
  <c r="C16" i="2"/>
  <c r="H10" i="10"/>
  <c r="H9" i="10"/>
  <c r="H8" i="10"/>
  <c r="E14" i="10"/>
  <c r="E9" i="10"/>
  <c r="E10" i="10"/>
  <c r="E11" i="10"/>
  <c r="E12" i="10"/>
  <c r="E8" i="10"/>
  <c r="D9" i="10"/>
  <c r="D10" i="10"/>
  <c r="D11" i="10"/>
  <c r="D12" i="10"/>
  <c r="D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Kundan Narendra</author>
  </authors>
  <commentList>
    <comment ref="E3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Kundan Narendra:</t>
        </r>
        <r>
          <rPr>
            <sz val="8"/>
            <color indexed="81"/>
            <rFont val="Tahoma"/>
            <family val="2"/>
          </rPr>
          <t xml:space="preserve">
=Diferença/Valor Ano transacto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Kundan Narendra</author>
  </authors>
  <commentList>
    <comment ref="C5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Kundan Narendra:</t>
        </r>
        <r>
          <rPr>
            <sz val="8"/>
            <color indexed="81"/>
            <rFont val="Tahoma"/>
            <family val="2"/>
          </rPr>
          <t xml:space="preserve">
=vendas/$TV$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jalaram</author>
  </authors>
  <commentList>
    <comment ref="E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jalaram:</t>
        </r>
        <r>
          <rPr>
            <sz val="9"/>
            <color indexed="81"/>
            <rFont val="Tahoma"/>
            <family val="2"/>
          </rPr>
          <t xml:space="preserve">
Valor mensal/total</t>
        </r>
      </text>
    </comment>
  </commentList>
</comments>
</file>

<file path=xl/sharedStrings.xml><?xml version="1.0" encoding="utf-8"?>
<sst xmlns="http://schemas.openxmlformats.org/spreadsheetml/2006/main" count="110" uniqueCount="91">
  <si>
    <t>Meses</t>
  </si>
  <si>
    <t>Vendas</t>
  </si>
  <si>
    <t>% Vendas/Total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</si>
  <si>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</si>
  <si>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</si>
  <si>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</si>
  <si>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</si>
  <si>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</si>
  <si>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</si>
  <si>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</si>
  <si>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</si>
  <si>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</si>
  <si>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</si>
  <si>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</si>
  <si>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</si>
  <si>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</si>
  <si>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Cálculo de Percentagens</t>
  </si>
  <si>
    <t>Vendedor</t>
  </si>
  <si>
    <t>% de Vendas</t>
  </si>
  <si>
    <t>Vitor</t>
  </si>
  <si>
    <t>Luís</t>
  </si>
  <si>
    <t>Dora</t>
  </si>
  <si>
    <t>Tina</t>
  </si>
  <si>
    <t>Rita</t>
  </si>
  <si>
    <t>Total de Vendas</t>
  </si>
  <si>
    <t>Cálculo de Percentagens 2</t>
  </si>
  <si>
    <t>Diferença</t>
  </si>
  <si>
    <t>% Diferença</t>
  </si>
  <si>
    <t>1º Trimestre</t>
  </si>
  <si>
    <t>2º Trimestre</t>
  </si>
  <si>
    <t>3º Trimestre</t>
  </si>
  <si>
    <t>4º Trimestre</t>
  </si>
  <si>
    <t>Calcule a percentagem das Vendas por mês</t>
  </si>
  <si>
    <t>Vendas por Un. Negócio</t>
  </si>
  <si>
    <t>Hardware</t>
  </si>
  <si>
    <t>Software</t>
  </si>
  <si>
    <t>Serviços</t>
  </si>
  <si>
    <t>Total Facturado</t>
  </si>
  <si>
    <t>Montante</t>
  </si>
  <si>
    <t>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</si>
  <si>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</si>
  <si>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</si>
  <si>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</si>
  <si>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</si>
  <si>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</si>
  <si>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</si>
  <si>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</si>
  <si>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</si>
  <si>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</si>
  <si>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</si>
  <si>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</si>
  <si>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</si>
  <si>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Nota: Calcule o Total facturado e depois a percentagem por Unidades de Negócio</t>
  </si>
  <si>
    <t>Prestação de Serviços de Limpeza</t>
  </si>
  <si>
    <t xml:space="preserve">Cliente: </t>
  </si>
  <si>
    <t>Vodafone</t>
  </si>
  <si>
    <t>Dia:</t>
  </si>
  <si>
    <t>Custo Hora:</t>
  </si>
  <si>
    <t>(Hora de fim-Hora de inicio)*24</t>
  </si>
  <si>
    <t>Funcionário</t>
  </si>
  <si>
    <t>Hora de inicio</t>
  </si>
  <si>
    <t>Hora de fim</t>
  </si>
  <si>
    <t>Horas</t>
  </si>
  <si>
    <t>Custo Total</t>
  </si>
  <si>
    <t>António</t>
  </si>
  <si>
    <t>Manuel</t>
  </si>
  <si>
    <t>Joaquim</t>
  </si>
  <si>
    <t>José</t>
  </si>
  <si>
    <t>Maria</t>
  </si>
  <si>
    <t>A TECLA DE FUNÇÃO F4 - PERMITE APLICAR A REFERÊNCIA ABSOLUTA</t>
  </si>
  <si>
    <t>Visitantes Exposição</t>
  </si>
  <si>
    <t>Facturação</t>
  </si>
  <si>
    <t>Resultado Mensal</t>
  </si>
  <si>
    <t>Média Visitantes</t>
  </si>
  <si>
    <t>Soluções:</t>
  </si>
  <si>
    <t>Custos Fixos Mensais</t>
  </si>
  <si>
    <t>Facturação: Visitantes Exposição * Bilhete unidade</t>
  </si>
  <si>
    <t>Resultado Mensal: Facturação - Custos Fixos Mensais</t>
  </si>
  <si>
    <t>Totais: somatório das várias colunas =soma</t>
  </si>
  <si>
    <t>Bilhete Unidade</t>
  </si>
  <si>
    <t>Média de visitantes: =media</t>
  </si>
  <si>
    <t>% Visitantes</t>
  </si>
  <si>
    <t>Ano de 2024</t>
  </si>
  <si>
    <t>Nota:</t>
  </si>
  <si>
    <t>Hora</t>
  </si>
  <si>
    <t>Hoje</t>
  </si>
  <si>
    <t>Agora</t>
  </si>
  <si>
    <t>Funções</t>
  </si>
  <si>
    <t>CTRL+Shift;</t>
  </si>
  <si>
    <t>(Teclas-atalho)</t>
  </si>
  <si>
    <t>Fazer sozinho depois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</si>
</sst>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_-* #,##0.00\ [$€-816]_-;\-* #,##0.00\ [$€-816]_-;_-* &quot;-&quot;??\ [$€-816]_-;_-@_-"/>
    <numFmt numFmtId="166" formatCode="0.0%"/>
    <numFmt numFmtId="167" formatCode="#,##0.00\ [$€-1];\-#,##0.00\ [$€-1]"/>
    <numFmt numFmtId="168" formatCode="_-* #,##0.00\ [$€-1]_-;\-* #,##0.00\ [$€-1]_-;_-* &quot;-&quot;??\ [$€-1]_-"/>
    <numFmt numFmtId="170" formatCode="[$-F400]h:mm:ss\ AM/PM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6"/>
      <color indexed="8"/>
      <name val="Calibri"/>
      <family val="2"/>
    </font>
    <font>
      <sz val="14"/>
      <color indexed="8"/>
      <name val="Calibri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80">
    <xf numFmtId="0" fontId="0" fillId="0" borderId="0" xfId="0"/>
    <xf numFmtId="0" fontId="6" fillId="0" borderId="5" xfId="0" applyFont="1" applyBorder="1"/>
    <xf numFmtId="10" fontId="6" fillId="0" borderId="6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/>
    <xf numFmtId="0" fontId="6" fillId="0" borderId="0" xfId="0" applyFont="1"/>
    <xf numFmtId="0" fontId="7" fillId="0" borderId="0" xfId="0" applyFont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4" fontId="6" fillId="0" borderId="2" xfId="0" applyNumberFormat="1" applyFont="1" applyBorder="1"/>
    <xf numFmtId="4" fontId="6" fillId="0" borderId="12" xfId="0" applyNumberFormat="1" applyFont="1" applyBorder="1"/>
    <xf numFmtId="0" fontId="3" fillId="0" borderId="13" xfId="0" applyFont="1" applyBorder="1" applyAlignment="1">
      <alignment horizontal="center"/>
    </xf>
    <xf numFmtId="0" fontId="3" fillId="0" borderId="13" xfId="0" applyFont="1" applyBorder="1"/>
    <xf numFmtId="0" fontId="8" fillId="0" borderId="0" xfId="0" applyFont="1"/>
    <xf numFmtId="0" fontId="0" fillId="0" borderId="0" xfId="0" applyAlignment="1">
      <alignment horizontal="center"/>
    </xf>
    <xf numFmtId="0" fontId="3" fillId="2" borderId="13" xfId="0" applyFont="1" applyFill="1" applyBorder="1"/>
    <xf numFmtId="9" fontId="3" fillId="2" borderId="13" xfId="2" applyFont="1" applyFill="1" applyBorder="1"/>
    <xf numFmtId="0" fontId="4" fillId="3" borderId="1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4" fontId="12" fillId="0" borderId="18" xfId="0" applyNumberFormat="1" applyFont="1" applyBorder="1"/>
    <xf numFmtId="166" fontId="11" fillId="4" borderId="19" xfId="7" applyNumberFormat="1" applyFont="1" applyFill="1" applyBorder="1"/>
    <xf numFmtId="4" fontId="0" fillId="0" borderId="15" xfId="0" applyNumberFormat="1" applyBorder="1"/>
    <xf numFmtId="0" fontId="4" fillId="5" borderId="20" xfId="0" applyFont="1" applyFill="1" applyBorder="1" applyAlignment="1">
      <alignment horizontal="center"/>
    </xf>
    <xf numFmtId="4" fontId="12" fillId="0" borderId="21" xfId="0" applyNumberFormat="1" applyFont="1" applyBorder="1"/>
    <xf numFmtId="4" fontId="0" fillId="0" borderId="21" xfId="0" applyNumberFormat="1" applyBorder="1"/>
    <xf numFmtId="0" fontId="4" fillId="5" borderId="17" xfId="0" applyFont="1" applyFill="1" applyBorder="1" applyAlignment="1">
      <alignment horizontal="center"/>
    </xf>
    <xf numFmtId="4" fontId="0" fillId="0" borderId="22" xfId="0" applyNumberFormat="1" applyBorder="1"/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5" fontId="2" fillId="0" borderId="0" xfId="8" applyNumberFormat="1" applyFont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/>
    </xf>
    <xf numFmtId="20" fontId="2" fillId="0" borderId="13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  <xf numFmtId="20" fontId="8" fillId="0" borderId="13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15" fillId="6" borderId="13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6" fillId="6" borderId="13" xfId="0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 applyAlignment="1">
      <alignment horizontal="center"/>
    </xf>
    <xf numFmtId="167" fontId="4" fillId="0" borderId="13" xfId="1" applyNumberFormat="1" applyFont="1" applyBorder="1" applyAlignment="1">
      <alignment horizontal="right"/>
    </xf>
    <xf numFmtId="0" fontId="4" fillId="6" borderId="13" xfId="0" applyFont="1" applyFill="1" applyBorder="1" applyAlignment="1">
      <alignment horizontal="center"/>
    </xf>
    <xf numFmtId="3" fontId="4" fillId="6" borderId="13" xfId="0" applyNumberFormat="1" applyFont="1" applyFill="1" applyBorder="1" applyAlignment="1">
      <alignment horizontal="center"/>
    </xf>
    <xf numFmtId="167" fontId="4" fillId="6" borderId="13" xfId="1" applyNumberFormat="1" applyFont="1" applyFill="1" applyBorder="1" applyAlignment="1">
      <alignment horizontal="right"/>
    </xf>
    <xf numFmtId="0" fontId="0" fillId="6" borderId="13" xfId="0" applyFill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0" fontId="0" fillId="6" borderId="0" xfId="0" applyFill="1"/>
    <xf numFmtId="168" fontId="4" fillId="0" borderId="13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" fontId="2" fillId="0" borderId="13" xfId="0" applyNumberFormat="1" applyFont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10" fontId="4" fillId="6" borderId="13" xfId="0" applyNumberFormat="1" applyFont="1" applyFill="1" applyBorder="1" applyAlignment="1">
      <alignment horizontal="center"/>
    </xf>
    <xf numFmtId="3" fontId="0" fillId="7" borderId="13" xfId="0" applyNumberFormat="1" applyFill="1" applyBorder="1" applyAlignment="1">
      <alignment horizontal="center"/>
    </xf>
    <xf numFmtId="0" fontId="17" fillId="0" borderId="0" xfId="0" applyFont="1"/>
    <xf numFmtId="0" fontId="3" fillId="7" borderId="13" xfId="0" applyFont="1" applyFill="1" applyBorder="1"/>
    <xf numFmtId="166" fontId="0" fillId="0" borderId="0" xfId="0" applyNumberFormat="1"/>
    <xf numFmtId="0" fontId="2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3" xfId="0" applyFill="1" applyBorder="1"/>
    <xf numFmtId="0" fontId="4" fillId="3" borderId="15" xfId="0" applyFont="1" applyFill="1" applyBorder="1" applyAlignment="1">
      <alignment horizontal="center" vertical="center" wrapText="1"/>
    </xf>
    <xf numFmtId="0" fontId="0" fillId="3" borderId="17" xfId="0" applyFill="1" applyBorder="1"/>
    <xf numFmtId="20" fontId="2" fillId="0" borderId="0" xfId="0" applyNumberFormat="1" applyFont="1" applyAlignment="1">
      <alignment vertical="center"/>
    </xf>
    <xf numFmtId="170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22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18" fillId="0" borderId="0" xfId="0" applyFont="1"/>
    <xf numFmtId="10" fontId="0" fillId="0" borderId="0" xfId="0" applyNumberFormat="1"/>
    <xf numFmtId="9" fontId="11" fillId="4" borderId="19" xfId="2" applyFont="1" applyFill="1" applyBorder="1"/>
  </cellXfs>
  <cellStyles count="9">
    <cellStyle name="Euro" xfId="1" xr:uid="{00000000-0005-0000-0000-000000000000}"/>
    <cellStyle name="Moeda" xfId="8" builtinId="4"/>
    <cellStyle name="Normal" xfId="0" builtinId="0"/>
    <cellStyle name="Normal 2" xfId="3" xr:uid="{00000000-0005-0000-0000-000003000000}"/>
    <cellStyle name="Normal 3" xfId="4" xr:uid="{00000000-0005-0000-0000-000004000000}"/>
    <cellStyle name="Percentagem" xfId="2" builtinId="5"/>
    <cellStyle name="Percentagem 2" xfId="5" xr:uid="{00000000-0005-0000-0000-000006000000}"/>
    <cellStyle name="Percentagem 3" xfId="6" xr:uid="{00000000-0005-0000-0000-000007000000}"/>
    <cellStyle name="Percentagem 3 2" xfId="7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opLeftCell="A4" zoomScale="110" zoomScaleNormal="110" workbookViewId="0">
      <selection activeCell="B18" sqref="B18"/>
    </sheetView>
  </sheetViews>
  <sheetFormatPr defaultColWidth="11.42578125" defaultRowHeight="18" x14ac:dyDescent="0.25"/>
  <cols>
    <col min="1" max="1" width="18.5703125" style="30" customWidth="1"/>
    <col min="2" max="2" width="19.7109375" style="30" bestFit="1" customWidth="1"/>
    <col min="3" max="3" width="18.28515625" style="30" customWidth="1"/>
    <col min="4" max="4" width="16.140625" style="30" customWidth="1"/>
    <col min="5" max="5" width="20.85546875" style="30" customWidth="1"/>
    <col min="6" max="7" width="11.42578125" style="30"/>
    <col min="8" max="8" width="28.5703125" style="30" customWidth="1"/>
    <col min="9" max="9" width="18.7109375" style="30" customWidth="1"/>
    <col min="10" max="16384" width="11.42578125" style="30"/>
  </cols>
  <sheetData>
    <row r="1" spans="1:9" x14ac:dyDescent="0.25">
      <c r="A1" s="29" t="s">
        <v>53</v>
      </c>
      <c r="C1" s="31"/>
    </row>
    <row r="2" spans="1:9" x14ac:dyDescent="0.25">
      <c r="C2" s="31"/>
    </row>
    <row r="3" spans="1:9" x14ac:dyDescent="0.25">
      <c r="A3" s="32" t="s">
        <v>54</v>
      </c>
      <c r="B3" s="30" t="s">
        <v>55</v>
      </c>
      <c r="C3" s="31"/>
      <c r="E3" s="33"/>
    </row>
    <row r="4" spans="1:9" x14ac:dyDescent="0.25">
      <c r="A4" s="32"/>
      <c r="B4" s="33"/>
      <c r="C4" s="31"/>
      <c r="D4" s="33"/>
      <c r="E4" s="33"/>
    </row>
    <row r="5" spans="1:9" x14ac:dyDescent="0.25">
      <c r="A5" s="32" t="s">
        <v>56</v>
      </c>
      <c r="B5" s="34">
        <v>45794</v>
      </c>
      <c r="C5" s="14" t="s">
        <v>57</v>
      </c>
      <c r="D5" s="35">
        <v>15</v>
      </c>
      <c r="E5" s="33"/>
      <c r="F5" s="30" t="s">
        <v>58</v>
      </c>
    </row>
    <row r="6" spans="1:9" x14ac:dyDescent="0.25">
      <c r="B6" s="33"/>
      <c r="C6" s="33"/>
      <c r="D6" s="33"/>
      <c r="E6" s="33"/>
    </row>
    <row r="7" spans="1:9" x14ac:dyDescent="0.25">
      <c r="A7" s="36" t="s">
        <v>59</v>
      </c>
      <c r="B7" s="37" t="s">
        <v>60</v>
      </c>
      <c r="C7" s="38" t="s">
        <v>61</v>
      </c>
      <c r="D7" s="38" t="s">
        <v>62</v>
      </c>
      <c r="E7" s="38" t="s">
        <v>63</v>
      </c>
      <c r="I7" s="30" t="s">
        <v>87</v>
      </c>
    </row>
    <row r="8" spans="1:9" x14ac:dyDescent="0.25">
      <c r="A8" s="39" t="s">
        <v>64</v>
      </c>
      <c r="B8" s="40">
        <v>0.33333333333333331</v>
      </c>
      <c r="C8" s="40">
        <v>0.5</v>
      </c>
      <c r="D8" s="60">
        <f>(C8-B8)*24</f>
        <v>4</v>
      </c>
      <c r="E8" s="41">
        <f>D8*$D$5</f>
        <v>60</v>
      </c>
      <c r="G8" s="72"/>
      <c r="H8" s="73">
        <f ca="1">NOW()</f>
        <v>45806.815990393516</v>
      </c>
      <c r="I8" s="76" t="s">
        <v>84</v>
      </c>
    </row>
    <row r="9" spans="1:9" x14ac:dyDescent="0.25">
      <c r="A9" s="39" t="s">
        <v>65</v>
      </c>
      <c r="B9" s="40">
        <v>0.35416666666666669</v>
      </c>
      <c r="C9" s="40">
        <v>0.625</v>
      </c>
      <c r="D9" s="60">
        <f t="shared" ref="D9:D12" si="0">(C9-B9)*24</f>
        <v>6.5</v>
      </c>
      <c r="E9" s="41">
        <f t="shared" ref="E9:E12" si="1">D9*$D$5</f>
        <v>97.5</v>
      </c>
      <c r="H9" s="74">
        <f ca="1">TODAY()</f>
        <v>45806</v>
      </c>
      <c r="I9" s="76" t="s">
        <v>85</v>
      </c>
    </row>
    <row r="10" spans="1:9" x14ac:dyDescent="0.25">
      <c r="A10" s="39" t="s">
        <v>66</v>
      </c>
      <c r="B10" s="40">
        <v>0.375</v>
      </c>
      <c r="C10" s="40">
        <v>0.5</v>
      </c>
      <c r="D10" s="60">
        <f t="shared" si="0"/>
        <v>3</v>
      </c>
      <c r="E10" s="41">
        <f t="shared" si="1"/>
        <v>45</v>
      </c>
      <c r="H10" s="75">
        <f ca="1">NOW()</f>
        <v>45806.815990393516</v>
      </c>
      <c r="I10" s="76" t="s">
        <v>86</v>
      </c>
    </row>
    <row r="11" spans="1:9" x14ac:dyDescent="0.25">
      <c r="A11" s="39" t="s">
        <v>67</v>
      </c>
      <c r="B11" s="40">
        <v>0.45833333333333331</v>
      </c>
      <c r="C11" s="40">
        <v>0.83333333333333337</v>
      </c>
      <c r="D11" s="60">
        <f t="shared" si="0"/>
        <v>9.0000000000000018</v>
      </c>
      <c r="E11" s="41">
        <f t="shared" si="1"/>
        <v>135.00000000000003</v>
      </c>
    </row>
    <row r="12" spans="1:9" x14ac:dyDescent="0.25">
      <c r="A12" s="39" t="s">
        <v>68</v>
      </c>
      <c r="B12" s="40">
        <v>0.33333333333333331</v>
      </c>
      <c r="C12" s="42">
        <v>0.70833333333333337</v>
      </c>
      <c r="D12" s="60">
        <f t="shared" si="0"/>
        <v>9.0000000000000018</v>
      </c>
      <c r="E12" s="41">
        <f t="shared" si="1"/>
        <v>135.00000000000003</v>
      </c>
      <c r="H12" s="72">
        <v>0.8041666666666667</v>
      </c>
      <c r="I12" s="76" t="s">
        <v>88</v>
      </c>
    </row>
    <row r="13" spans="1:9" ht="18.75" thickBot="1" x14ac:dyDescent="0.3">
      <c r="B13" s="33"/>
      <c r="E13" s="33"/>
      <c r="I13" s="30" t="s">
        <v>89</v>
      </c>
    </row>
    <row r="14" spans="1:9" ht="18.75" thickBot="1" x14ac:dyDescent="0.3">
      <c r="B14" s="33"/>
      <c r="C14" s="33"/>
      <c r="D14" s="32" t="s">
        <v>15</v>
      </c>
      <c r="E14" s="43">
        <f>SUM(E8:E12)</f>
        <v>472.5</v>
      </c>
    </row>
    <row r="15" spans="1:9" x14ac:dyDescent="0.25">
      <c r="B15" s="33"/>
      <c r="C15" s="33"/>
      <c r="D15" s="33"/>
      <c r="E15" s="33"/>
    </row>
    <row r="16" spans="1:9" x14ac:dyDescent="0.25">
      <c r="B16" s="33"/>
    </row>
    <row r="17" spans="1:5" x14ac:dyDescent="0.25">
      <c r="A17" s="30" t="s">
        <v>83</v>
      </c>
      <c r="B17" s="30" t="s">
        <v>69</v>
      </c>
    </row>
    <row r="18" spans="1:5" x14ac:dyDescent="0.25">
      <c r="E18" s="44"/>
    </row>
    <row r="19" spans="1:5" x14ac:dyDescent="0.25">
      <c r="E1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26"/>
  <sheetViews>
    <sheetView tabSelected="1" topLeftCell="A3" zoomScale="120" zoomScaleNormal="120" workbookViewId="0">
      <selection activeCell="A19" sqref="A19"/>
    </sheetView>
  </sheetViews>
  <sheetFormatPr defaultRowHeight="15" x14ac:dyDescent="0.25"/>
  <cols>
    <col min="1" max="1" width="27.140625" customWidth="1"/>
    <col min="2" max="2" width="24.42578125" customWidth="1"/>
    <col min="3" max="3" width="18.7109375" customWidth="1"/>
    <col min="4" max="4" width="23.5703125" customWidth="1"/>
    <col min="5" max="5" width="22.28515625" customWidth="1"/>
    <col min="6" max="6" width="10.7109375" customWidth="1"/>
    <col min="7" max="7" width="11.85546875" customWidth="1"/>
    <col min="8" max="8" width="12.140625" customWidth="1"/>
  </cols>
  <sheetData>
    <row r="3" spans="1:8" ht="17.25" x14ac:dyDescent="0.3">
      <c r="A3" s="46" t="s">
        <v>82</v>
      </c>
      <c r="B3" s="47" t="s">
        <v>70</v>
      </c>
      <c r="C3" s="47" t="s">
        <v>81</v>
      </c>
      <c r="D3" s="47" t="s">
        <v>71</v>
      </c>
      <c r="E3" s="48" t="s">
        <v>72</v>
      </c>
    </row>
    <row r="4" spans="1:8" x14ac:dyDescent="0.25">
      <c r="A4" s="49" t="s">
        <v>3</v>
      </c>
      <c r="B4" s="50">
        <v>10000</v>
      </c>
      <c r="C4" s="61">
        <f>B4/$B$16</f>
        <v>3.1897926634768738E-2</v>
      </c>
      <c r="D4" s="51"/>
      <c r="E4" s="51"/>
      <c r="G4" s="77" t="s">
        <v>90</v>
      </c>
      <c r="H4" s="77"/>
    </row>
    <row r="5" spans="1:8" x14ac:dyDescent="0.25">
      <c r="A5" s="49" t="s">
        <v>4</v>
      </c>
      <c r="B5" s="50">
        <v>15000</v>
      </c>
      <c r="C5" s="61">
        <f t="shared" ref="C5:C15" si="0">B5/$B$16</f>
        <v>4.784688995215311E-2</v>
      </c>
      <c r="D5" s="51"/>
      <c r="E5" s="51"/>
    </row>
    <row r="6" spans="1:8" x14ac:dyDescent="0.25">
      <c r="A6" s="49" t="s">
        <v>5</v>
      </c>
      <c r="B6" s="63">
        <v>18500</v>
      </c>
      <c r="C6" s="61">
        <f t="shared" si="0"/>
        <v>5.9011164274322167E-2</v>
      </c>
      <c r="D6" s="51"/>
      <c r="E6" s="51"/>
    </row>
    <row r="7" spans="1:8" x14ac:dyDescent="0.25">
      <c r="A7" s="49" t="s">
        <v>6</v>
      </c>
      <c r="B7" s="50">
        <v>30000</v>
      </c>
      <c r="C7" s="61">
        <f t="shared" si="0"/>
        <v>9.569377990430622E-2</v>
      </c>
      <c r="D7" s="51"/>
      <c r="E7" s="51"/>
    </row>
    <row r="8" spans="1:8" x14ac:dyDescent="0.25">
      <c r="A8" s="49" t="s">
        <v>7</v>
      </c>
      <c r="B8" s="50">
        <v>35000</v>
      </c>
      <c r="C8" s="61">
        <f t="shared" si="0"/>
        <v>0.11164274322169059</v>
      </c>
      <c r="D8" s="51"/>
      <c r="E8" s="51"/>
    </row>
    <row r="9" spans="1:8" x14ac:dyDescent="0.25">
      <c r="A9" s="49" t="s">
        <v>8</v>
      </c>
      <c r="B9" s="50">
        <v>36000</v>
      </c>
      <c r="C9" s="61">
        <f t="shared" si="0"/>
        <v>0.11483253588516747</v>
      </c>
      <c r="D9" s="51"/>
      <c r="E9" s="51"/>
    </row>
    <row r="10" spans="1:8" x14ac:dyDescent="0.25">
      <c r="A10" s="49" t="s">
        <v>9</v>
      </c>
      <c r="B10" s="50">
        <v>38000</v>
      </c>
      <c r="C10" s="61">
        <f t="shared" si="0"/>
        <v>0.12121212121212122</v>
      </c>
      <c r="D10" s="51"/>
      <c r="E10" s="51"/>
    </row>
    <row r="11" spans="1:8" x14ac:dyDescent="0.25">
      <c r="A11" s="49" t="s">
        <v>10</v>
      </c>
      <c r="B11" s="50">
        <v>27000</v>
      </c>
      <c r="C11" s="61">
        <f t="shared" si="0"/>
        <v>8.6124401913875603E-2</v>
      </c>
      <c r="D11" s="51"/>
      <c r="E11" s="51"/>
    </row>
    <row r="12" spans="1:8" x14ac:dyDescent="0.25">
      <c r="A12" s="49" t="s">
        <v>11</v>
      </c>
      <c r="B12" s="50">
        <v>29000</v>
      </c>
      <c r="C12" s="61">
        <f t="shared" si="0"/>
        <v>9.2503987240829352E-2</v>
      </c>
      <c r="D12" s="51"/>
      <c r="E12" s="51"/>
    </row>
    <row r="13" spans="1:8" x14ac:dyDescent="0.25">
      <c r="A13" s="49" t="s">
        <v>12</v>
      </c>
      <c r="B13" s="50">
        <v>30000</v>
      </c>
      <c r="C13" s="61">
        <f t="shared" si="0"/>
        <v>9.569377990430622E-2</v>
      </c>
      <c r="D13" s="51"/>
      <c r="E13" s="51"/>
    </row>
    <row r="14" spans="1:8" x14ac:dyDescent="0.25">
      <c r="A14" s="49" t="s">
        <v>13</v>
      </c>
      <c r="B14" s="50">
        <v>25000</v>
      </c>
      <c r="C14" s="61">
        <f t="shared" si="0"/>
        <v>7.9744816586921854E-2</v>
      </c>
      <c r="D14" s="51"/>
      <c r="E14" s="51"/>
    </row>
    <row r="15" spans="1:8" x14ac:dyDescent="0.25">
      <c r="A15" s="49" t="s">
        <v>14</v>
      </c>
      <c r="B15" s="50">
        <v>20000</v>
      </c>
      <c r="C15" s="61">
        <f t="shared" si="0"/>
        <v>6.3795853269537475E-2</v>
      </c>
      <c r="D15" s="51"/>
      <c r="E15" s="51"/>
    </row>
    <row r="16" spans="1:8" x14ac:dyDescent="0.25">
      <c r="A16" s="52" t="s">
        <v>15</v>
      </c>
      <c r="B16" s="53">
        <f>SUM(B4:B15)</f>
        <v>313500</v>
      </c>
      <c r="C16" s="62"/>
      <c r="D16" s="51"/>
      <c r="E16" s="54"/>
    </row>
    <row r="17" spans="1:5" x14ac:dyDescent="0.25">
      <c r="B17" s="15"/>
      <c r="C17" s="15"/>
      <c r="D17" s="15"/>
      <c r="E17" s="15"/>
    </row>
    <row r="18" spans="1:5" x14ac:dyDescent="0.25">
      <c r="A18" s="55" t="s">
        <v>73</v>
      </c>
      <c r="B18" s="15"/>
      <c r="C18" s="15"/>
      <c r="D18" s="15"/>
      <c r="E18" s="15"/>
    </row>
    <row r="19" spans="1:5" x14ac:dyDescent="0.25">
      <c r="A19" s="56"/>
      <c r="B19" s="15"/>
      <c r="C19" s="15"/>
      <c r="D19" s="15"/>
      <c r="E19" s="15"/>
    </row>
    <row r="20" spans="1:5" x14ac:dyDescent="0.25">
      <c r="A20" s="15"/>
      <c r="B20" s="15"/>
      <c r="C20" s="15"/>
      <c r="D20" s="57" t="s">
        <v>74</v>
      </c>
      <c r="E20" s="15"/>
    </row>
    <row r="21" spans="1:5" x14ac:dyDescent="0.25">
      <c r="A21" s="55" t="s">
        <v>75</v>
      </c>
      <c r="B21" s="15"/>
      <c r="C21" s="15"/>
      <c r="D21" t="s">
        <v>76</v>
      </c>
      <c r="E21" s="15"/>
    </row>
    <row r="22" spans="1:5" x14ac:dyDescent="0.25">
      <c r="A22" s="58">
        <v>448918.11</v>
      </c>
      <c r="B22" s="15"/>
      <c r="C22" s="15"/>
      <c r="D22" t="s">
        <v>77</v>
      </c>
      <c r="E22" s="15"/>
    </row>
    <row r="23" spans="1:5" x14ac:dyDescent="0.25">
      <c r="A23" s="15"/>
      <c r="B23" s="15"/>
      <c r="C23" s="15"/>
      <c r="D23" t="s">
        <v>78</v>
      </c>
      <c r="E23" s="15"/>
    </row>
    <row r="24" spans="1:5" x14ac:dyDescent="0.25">
      <c r="A24" s="55" t="s">
        <v>79</v>
      </c>
      <c r="B24" s="15"/>
      <c r="C24" s="15"/>
      <c r="D24" t="s">
        <v>80</v>
      </c>
      <c r="E24" s="15"/>
    </row>
    <row r="25" spans="1:5" x14ac:dyDescent="0.25">
      <c r="A25" s="58">
        <v>24.939894853403299</v>
      </c>
      <c r="B25" s="15"/>
      <c r="C25" s="15"/>
      <c r="D25" s="15"/>
      <c r="E25" s="59"/>
    </row>
    <row r="26" spans="1:5" x14ac:dyDescent="0.25">
      <c r="B26" s="15"/>
      <c r="C26" s="15"/>
      <c r="D26" s="15"/>
      <c r="E26" s="15"/>
    </row>
  </sheetData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7"/>
  <sheetViews>
    <sheetView topLeftCell="A2" workbookViewId="0">
      <selection activeCell="I4" sqref="I4"/>
    </sheetView>
  </sheetViews>
  <sheetFormatPr defaultRowHeight="15" x14ac:dyDescent="0.25"/>
  <cols>
    <col min="2" max="2" width="19.28515625" customWidth="1"/>
    <col min="3" max="3" width="19" customWidth="1"/>
    <col min="4" max="4" width="26.140625" customWidth="1"/>
  </cols>
  <sheetData>
    <row r="1" spans="2:7" ht="21" x14ac:dyDescent="0.35">
      <c r="B1" s="64" t="s">
        <v>32</v>
      </c>
    </row>
    <row r="2" spans="2:7" ht="15.75" thickBot="1" x14ac:dyDescent="0.3"/>
    <row r="3" spans="2:7" ht="21.75" thickTop="1" x14ac:dyDescent="0.35">
      <c r="B3" s="7" t="s">
        <v>0</v>
      </c>
      <c r="C3" s="8" t="s">
        <v>1</v>
      </c>
      <c r="D3" s="9" t="s">
        <v>2</v>
      </c>
      <c r="E3" s="5"/>
      <c r="F3" s="5"/>
    </row>
    <row r="4" spans="2:7" ht="21" x14ac:dyDescent="0.35">
      <c r="B4" s="1" t="s">
        <v>3</v>
      </c>
      <c r="C4" s="10">
        <v>12000</v>
      </c>
      <c r="D4" s="2">
        <f>C4/$C$16</f>
        <v>7.407407407407407E-2</v>
      </c>
      <c r="E4" s="6"/>
      <c r="F4" s="5"/>
      <c r="G4" s="78">
        <f>$D$4</f>
        <v>7.407407407407407E-2</v>
      </c>
    </row>
    <row r="5" spans="2:7" ht="21" x14ac:dyDescent="0.35">
      <c r="B5" s="1" t="s">
        <v>4</v>
      </c>
      <c r="C5" s="10">
        <v>8000</v>
      </c>
      <c r="D5" s="2">
        <f t="shared" ref="D5:D15" si="0">C5/$C$16</f>
        <v>4.9382716049382713E-2</v>
      </c>
      <c r="E5" s="6"/>
      <c r="F5" s="5"/>
    </row>
    <row r="6" spans="2:7" ht="21" x14ac:dyDescent="0.35">
      <c r="B6" s="1" t="s">
        <v>5</v>
      </c>
      <c r="C6" s="10">
        <v>10000</v>
      </c>
      <c r="D6" s="2">
        <f t="shared" si="0"/>
        <v>6.1728395061728392E-2</v>
      </c>
      <c r="E6" s="6"/>
      <c r="F6" s="5"/>
    </row>
    <row r="7" spans="2:7" ht="21" x14ac:dyDescent="0.35">
      <c r="B7" s="1" t="s">
        <v>6</v>
      </c>
      <c r="C7" s="10">
        <v>15000</v>
      </c>
      <c r="D7" s="2">
        <f t="shared" si="0"/>
        <v>9.2592592592592587E-2</v>
      </c>
      <c r="E7" s="6"/>
      <c r="F7" s="5"/>
    </row>
    <row r="8" spans="2:7" ht="21" x14ac:dyDescent="0.35">
      <c r="B8" s="1" t="s">
        <v>7</v>
      </c>
      <c r="C8" s="10">
        <v>20000</v>
      </c>
      <c r="D8" s="2">
        <f t="shared" si="0"/>
        <v>0.12345679012345678</v>
      </c>
      <c r="E8" s="6"/>
      <c r="F8" s="5"/>
    </row>
    <row r="9" spans="2:7" ht="21" x14ac:dyDescent="0.35">
      <c r="B9" s="1" t="s">
        <v>8</v>
      </c>
      <c r="C9" s="10">
        <v>16000</v>
      </c>
      <c r="D9" s="2">
        <f t="shared" si="0"/>
        <v>9.8765432098765427E-2</v>
      </c>
      <c r="E9" s="6"/>
      <c r="F9" s="5"/>
    </row>
    <row r="10" spans="2:7" ht="21" x14ac:dyDescent="0.35">
      <c r="B10" s="1" t="s">
        <v>9</v>
      </c>
      <c r="C10" s="10">
        <v>14000</v>
      </c>
      <c r="D10" s="2">
        <f t="shared" si="0"/>
        <v>8.6419753086419748E-2</v>
      </c>
      <c r="E10" s="6"/>
      <c r="F10" s="5"/>
    </row>
    <row r="11" spans="2:7" ht="21" x14ac:dyDescent="0.35">
      <c r="B11" s="1" t="s">
        <v>10</v>
      </c>
      <c r="C11" s="10">
        <v>10000</v>
      </c>
      <c r="D11" s="2">
        <f t="shared" si="0"/>
        <v>6.1728395061728392E-2</v>
      </c>
      <c r="E11" s="6"/>
      <c r="F11" s="5"/>
    </row>
    <row r="12" spans="2:7" ht="21" x14ac:dyDescent="0.35">
      <c r="B12" s="1" t="s">
        <v>11</v>
      </c>
      <c r="C12" s="10">
        <v>12000</v>
      </c>
      <c r="D12" s="2">
        <f t="shared" si="0"/>
        <v>7.407407407407407E-2</v>
      </c>
      <c r="E12" s="6"/>
      <c r="F12" s="5"/>
    </row>
    <row r="13" spans="2:7" ht="21" x14ac:dyDescent="0.35">
      <c r="B13" s="1" t="s">
        <v>12</v>
      </c>
      <c r="C13" s="10">
        <v>15000</v>
      </c>
      <c r="D13" s="2">
        <f t="shared" si="0"/>
        <v>9.2592592592592587E-2</v>
      </c>
      <c r="E13" s="6"/>
      <c r="F13" s="5"/>
    </row>
    <row r="14" spans="2:7" ht="21" x14ac:dyDescent="0.35">
      <c r="B14" s="1" t="s">
        <v>13</v>
      </c>
      <c r="C14" s="10">
        <v>15000</v>
      </c>
      <c r="D14" s="2">
        <f t="shared" si="0"/>
        <v>9.2592592592592587E-2</v>
      </c>
      <c r="E14" s="6"/>
      <c r="F14" s="5"/>
    </row>
    <row r="15" spans="2:7" ht="21" x14ac:dyDescent="0.35">
      <c r="B15" s="1" t="s">
        <v>14</v>
      </c>
      <c r="C15" s="10">
        <v>15000</v>
      </c>
      <c r="D15" s="2">
        <f t="shared" si="0"/>
        <v>9.2592592592592587E-2</v>
      </c>
      <c r="E15" s="6"/>
      <c r="F15" s="5"/>
    </row>
    <row r="16" spans="2:7" ht="21.75" thickBot="1" x14ac:dyDescent="0.4">
      <c r="B16" s="3" t="s">
        <v>15</v>
      </c>
      <c r="C16" s="11">
        <f>SUM(C4:C15)</f>
        <v>162000</v>
      </c>
      <c r="D16" s="4"/>
      <c r="E16" s="6"/>
    </row>
    <row r="17" customFormat="1" ht="15.75" thickTop="1" x14ac:dyDescent="0.25"/>
  </sheetData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zoomScale="130" zoomScaleNormal="130" workbookViewId="0">
      <selection activeCell="E3" sqref="E3:E6"/>
    </sheetView>
  </sheetViews>
  <sheetFormatPr defaultRowHeight="15" x14ac:dyDescent="0.25"/>
  <cols>
    <col min="1" max="1" width="15.7109375" customWidth="1"/>
    <col min="2" max="2" width="14.28515625" customWidth="1"/>
    <col min="3" max="3" width="16.28515625" customWidth="1"/>
    <col min="4" max="4" width="18.28515625" customWidth="1"/>
    <col min="5" max="5" width="21.7109375" customWidth="1"/>
  </cols>
  <sheetData>
    <row r="1" spans="1:5" ht="17.25" customHeight="1" x14ac:dyDescent="0.25">
      <c r="A1" s="14" t="s">
        <v>25</v>
      </c>
    </row>
    <row r="2" spans="1:5" ht="19.5" customHeight="1" x14ac:dyDescent="0.25">
      <c r="A2" s="13"/>
      <c r="B2" s="12">
        <v>2010</v>
      </c>
      <c r="C2" s="12">
        <v>2011</v>
      </c>
      <c r="D2" s="12" t="s">
        <v>26</v>
      </c>
      <c r="E2" s="12" t="s">
        <v>27</v>
      </c>
    </row>
    <row r="3" spans="1:5" ht="15.75" x14ac:dyDescent="0.25">
      <c r="A3" s="13" t="s">
        <v>28</v>
      </c>
      <c r="B3" s="13">
        <v>145000</v>
      </c>
      <c r="C3" s="13">
        <v>185000</v>
      </c>
      <c r="D3" s="16">
        <f>C3-B3</f>
        <v>40000</v>
      </c>
      <c r="E3" s="17">
        <f>D3/B3</f>
        <v>0.27586206896551724</v>
      </c>
    </row>
    <row r="4" spans="1:5" ht="15.75" x14ac:dyDescent="0.25">
      <c r="A4" s="13" t="s">
        <v>29</v>
      </c>
      <c r="B4" s="13">
        <v>154000</v>
      </c>
      <c r="C4" s="13">
        <v>185000</v>
      </c>
      <c r="D4" s="16">
        <f t="shared" ref="D4:D6" si="0">C4-B4</f>
        <v>31000</v>
      </c>
      <c r="E4" s="17">
        <f t="shared" ref="E4:E6" si="1">D4/B4</f>
        <v>0.20129870129870131</v>
      </c>
    </row>
    <row r="5" spans="1:5" ht="15.75" x14ac:dyDescent="0.25">
      <c r="A5" s="13" t="s">
        <v>30</v>
      </c>
      <c r="B5" s="13">
        <v>320000</v>
      </c>
      <c r="C5" s="65">
        <v>280000</v>
      </c>
      <c r="D5" s="16">
        <f t="shared" si="0"/>
        <v>-40000</v>
      </c>
      <c r="E5" s="17">
        <f t="shared" si="1"/>
        <v>-0.125</v>
      </c>
    </row>
    <row r="6" spans="1:5" ht="15.75" x14ac:dyDescent="0.25">
      <c r="A6" s="13" t="s">
        <v>31</v>
      </c>
      <c r="B6" s="13">
        <v>680000</v>
      </c>
      <c r="C6" s="13">
        <v>780000</v>
      </c>
      <c r="D6" s="16">
        <f t="shared" si="0"/>
        <v>100000</v>
      </c>
      <c r="E6" s="17">
        <f t="shared" si="1"/>
        <v>0.14705882352941177</v>
      </c>
    </row>
    <row r="7" spans="1:5" ht="15.75" x14ac:dyDescent="0.25">
      <c r="A7" s="13"/>
      <c r="B7" s="13"/>
      <c r="C7" s="13"/>
      <c r="D7" s="13"/>
      <c r="E7" s="13"/>
    </row>
  </sheetData>
  <phoneticPr fontId="0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zoomScale="130" zoomScaleNormal="130" workbookViewId="0">
      <selection activeCell="C5" sqref="C5:C9"/>
    </sheetView>
  </sheetViews>
  <sheetFormatPr defaultRowHeight="15" x14ac:dyDescent="0.25"/>
  <cols>
    <col min="1" max="1" width="22.85546875" customWidth="1"/>
    <col min="2" max="2" width="21" customWidth="1"/>
    <col min="3" max="3" width="20.42578125" customWidth="1"/>
  </cols>
  <sheetData>
    <row r="1" spans="1:3" ht="18" x14ac:dyDescent="0.25">
      <c r="A1" s="14" t="s">
        <v>16</v>
      </c>
      <c r="B1" s="14"/>
      <c r="C1" s="14"/>
    </row>
    <row r="3" spans="1:3" ht="15.75" x14ac:dyDescent="0.25">
      <c r="A3" s="13" t="s">
        <v>17</v>
      </c>
      <c r="B3" s="13" t="s">
        <v>1</v>
      </c>
      <c r="C3" s="13" t="s">
        <v>18</v>
      </c>
    </row>
    <row r="4" spans="1:3" ht="15.75" x14ac:dyDescent="0.25">
      <c r="A4" s="13"/>
      <c r="B4" s="13"/>
      <c r="C4" s="13"/>
    </row>
    <row r="5" spans="1:3" ht="15.75" x14ac:dyDescent="0.25">
      <c r="A5" s="13" t="s">
        <v>19</v>
      </c>
      <c r="B5" s="13">
        <v>10000</v>
      </c>
      <c r="C5" s="17">
        <f>B5/$B$11</f>
        <v>6.25E-2</v>
      </c>
    </row>
    <row r="6" spans="1:3" ht="15.75" x14ac:dyDescent="0.25">
      <c r="A6" s="13" t="s">
        <v>20</v>
      </c>
      <c r="B6" s="13">
        <v>20000</v>
      </c>
      <c r="C6" s="17">
        <f t="shared" ref="C6:C9" si="0">B6/$B$11</f>
        <v>0.125</v>
      </c>
    </row>
    <row r="7" spans="1:3" ht="15.75" x14ac:dyDescent="0.25">
      <c r="A7" s="13" t="s">
        <v>21</v>
      </c>
      <c r="B7" s="13">
        <v>35000</v>
      </c>
      <c r="C7" s="17">
        <f t="shared" si="0"/>
        <v>0.21875</v>
      </c>
    </row>
    <row r="8" spans="1:3" ht="15.75" x14ac:dyDescent="0.25">
      <c r="A8" s="13" t="s">
        <v>22</v>
      </c>
      <c r="B8" s="13">
        <v>65000</v>
      </c>
      <c r="C8" s="17">
        <f t="shared" si="0"/>
        <v>0.40625</v>
      </c>
    </row>
    <row r="9" spans="1:3" ht="15.75" x14ac:dyDescent="0.25">
      <c r="A9" s="13" t="s">
        <v>23</v>
      </c>
      <c r="B9" s="13">
        <v>30000</v>
      </c>
      <c r="C9" s="17">
        <f t="shared" si="0"/>
        <v>0.1875</v>
      </c>
    </row>
    <row r="10" spans="1:3" ht="15.75" x14ac:dyDescent="0.25">
      <c r="A10" s="13"/>
      <c r="B10" s="13"/>
      <c r="C10" s="13"/>
    </row>
    <row r="11" spans="1:3" ht="15.75" x14ac:dyDescent="0.25">
      <c r="A11" s="13" t="s">
        <v>24</v>
      </c>
      <c r="B11" s="16">
        <f>SUM(B5:B10)</f>
        <v>160000</v>
      </c>
      <c r="C11" s="13"/>
    </row>
  </sheetData>
  <phoneticPr fontId="0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8"/>
  <sheetViews>
    <sheetView topLeftCell="A3" zoomScale="130" zoomScaleNormal="130" workbookViewId="0">
      <selection activeCell="K10" sqref="K10"/>
    </sheetView>
  </sheetViews>
  <sheetFormatPr defaultRowHeight="15" x14ac:dyDescent="0.25"/>
  <cols>
    <col min="4" max="4" width="15.85546875" customWidth="1"/>
    <col min="5" max="5" width="15.140625" customWidth="1"/>
    <col min="6" max="6" width="12.28515625" bestFit="1" customWidth="1"/>
    <col min="7" max="7" width="10.28515625" customWidth="1"/>
    <col min="8" max="8" width="12.7109375" customWidth="1"/>
    <col min="9" max="9" width="10.85546875" customWidth="1"/>
    <col min="10" max="10" width="17" customWidth="1"/>
  </cols>
  <sheetData>
    <row r="1" spans="2:12" x14ac:dyDescent="0.25">
      <c r="B1" t="s">
        <v>52</v>
      </c>
    </row>
    <row r="3" spans="2:12" ht="18" x14ac:dyDescent="0.25">
      <c r="C3" s="67" t="s">
        <v>33</v>
      </c>
      <c r="D3" s="67"/>
      <c r="E3" s="67"/>
      <c r="F3" s="67"/>
      <c r="G3" s="67"/>
      <c r="H3" s="67"/>
      <c r="I3" s="67"/>
      <c r="J3" s="67"/>
    </row>
    <row r="5" spans="2:12" x14ac:dyDescent="0.25">
      <c r="D5" s="68" t="s">
        <v>34</v>
      </c>
      <c r="E5" s="69"/>
      <c r="F5" s="68" t="s">
        <v>35</v>
      </c>
      <c r="G5" s="69"/>
      <c r="H5" s="68" t="s">
        <v>36</v>
      </c>
      <c r="I5" s="69"/>
      <c r="J5" s="70" t="s">
        <v>37</v>
      </c>
    </row>
    <row r="6" spans="2:12" x14ac:dyDescent="0.25">
      <c r="D6" s="18" t="s">
        <v>38</v>
      </c>
      <c r="E6" s="19" t="s">
        <v>39</v>
      </c>
      <c r="F6" s="18" t="s">
        <v>38</v>
      </c>
      <c r="G6" s="19" t="s">
        <v>39</v>
      </c>
      <c r="H6" s="18" t="s">
        <v>38</v>
      </c>
      <c r="I6" s="19" t="s">
        <v>39</v>
      </c>
      <c r="J6" s="71"/>
    </row>
    <row r="7" spans="2:12" x14ac:dyDescent="0.25">
      <c r="C7" s="20" t="s">
        <v>40</v>
      </c>
      <c r="D7" s="21">
        <v>48110</v>
      </c>
      <c r="E7" s="22">
        <f>D7/J7</f>
        <v>9.0971834847639668E-2</v>
      </c>
      <c r="F7" s="21">
        <v>418706</v>
      </c>
      <c r="G7" s="22">
        <f>F7/J7</f>
        <v>0.7917367092437293</v>
      </c>
      <c r="H7" s="21">
        <v>62029</v>
      </c>
      <c r="I7" s="22">
        <f>H7/J7</f>
        <v>0.11729145590863108</v>
      </c>
      <c r="J7" s="23">
        <f>SUM(D7,F7,H7)</f>
        <v>528845</v>
      </c>
      <c r="L7" s="66"/>
    </row>
    <row r="8" spans="2:12" x14ac:dyDescent="0.25">
      <c r="C8" s="24" t="s">
        <v>41</v>
      </c>
      <c r="D8" s="25">
        <v>4998750</v>
      </c>
      <c r="E8" s="79">
        <f t="shared" ref="E8:E18" si="0">D8/J8</f>
        <v>0.74501882537190955</v>
      </c>
      <c r="F8" s="25">
        <v>1283319</v>
      </c>
      <c r="G8" s="22">
        <f t="shared" ref="G8:G18" si="1">F8/J8</f>
        <v>0.19126717958638731</v>
      </c>
      <c r="H8" s="25">
        <v>427493</v>
      </c>
      <c r="I8" s="22">
        <f t="shared" ref="I8:I18" si="2">H8/J8</f>
        <v>6.3713995041703164E-2</v>
      </c>
      <c r="J8" s="23">
        <f t="shared" ref="J8:J18" si="3">SUM(D8,F8,H8)</f>
        <v>6709562</v>
      </c>
    </row>
    <row r="9" spans="2:12" x14ac:dyDescent="0.25">
      <c r="C9" s="24" t="s">
        <v>42</v>
      </c>
      <c r="D9" s="25">
        <v>4837285</v>
      </c>
      <c r="E9" s="79">
        <f t="shared" si="0"/>
        <v>0.51453083711053871</v>
      </c>
      <c r="F9" s="25">
        <v>4540721</v>
      </c>
      <c r="G9" s="22">
        <f t="shared" si="1"/>
        <v>0.48298600913847384</v>
      </c>
      <c r="H9" s="25">
        <v>23345</v>
      </c>
      <c r="I9" s="22">
        <f t="shared" si="2"/>
        <v>2.483153750987491E-3</v>
      </c>
      <c r="J9" s="23">
        <f t="shared" si="3"/>
        <v>9401351</v>
      </c>
    </row>
    <row r="10" spans="2:12" x14ac:dyDescent="0.25">
      <c r="C10" s="24" t="s">
        <v>43</v>
      </c>
      <c r="D10" s="25">
        <v>9096852</v>
      </c>
      <c r="E10" s="79">
        <f t="shared" si="0"/>
        <v>0.91359226869630661</v>
      </c>
      <c r="F10" s="25">
        <v>481280</v>
      </c>
      <c r="G10" s="22">
        <f t="shared" si="1"/>
        <v>4.8334708213144333E-2</v>
      </c>
      <c r="H10" s="25">
        <v>379102</v>
      </c>
      <c r="I10" s="22">
        <f t="shared" si="2"/>
        <v>3.8073023090549045E-2</v>
      </c>
      <c r="J10" s="23">
        <f t="shared" si="3"/>
        <v>9957234</v>
      </c>
    </row>
    <row r="11" spans="2:12" x14ac:dyDescent="0.25">
      <c r="C11" s="24" t="s">
        <v>44</v>
      </c>
      <c r="D11" s="25">
        <v>2296781</v>
      </c>
      <c r="E11" s="79">
        <f t="shared" si="0"/>
        <v>0.43479893033429134</v>
      </c>
      <c r="F11" s="25">
        <v>2717289</v>
      </c>
      <c r="G11" s="22">
        <f t="shared" si="1"/>
        <v>0.51440444283069919</v>
      </c>
      <c r="H11" s="25">
        <v>268328</v>
      </c>
      <c r="I11" s="22">
        <f t="shared" si="2"/>
        <v>5.0796626835009406E-2</v>
      </c>
      <c r="J11" s="23">
        <f t="shared" si="3"/>
        <v>5282398</v>
      </c>
    </row>
    <row r="12" spans="2:12" x14ac:dyDescent="0.25">
      <c r="C12" s="24" t="s">
        <v>45</v>
      </c>
      <c r="D12" s="25">
        <v>8802584</v>
      </c>
      <c r="E12" s="79">
        <f t="shared" si="0"/>
        <v>0.75112768340524128</v>
      </c>
      <c r="F12" s="25">
        <v>2553152</v>
      </c>
      <c r="G12" s="22">
        <f t="shared" si="1"/>
        <v>0.21786138560466545</v>
      </c>
      <c r="H12" s="25">
        <v>363422</v>
      </c>
      <c r="I12" s="22">
        <f t="shared" si="2"/>
        <v>3.1010930990093315E-2</v>
      </c>
      <c r="J12" s="23">
        <f t="shared" si="3"/>
        <v>11719158</v>
      </c>
    </row>
    <row r="13" spans="2:12" x14ac:dyDescent="0.25">
      <c r="C13" s="24" t="s">
        <v>46</v>
      </c>
      <c r="D13" s="25">
        <v>2294997</v>
      </c>
      <c r="E13" s="79">
        <f t="shared" si="0"/>
        <v>0.73063899637131413</v>
      </c>
      <c r="F13" s="25">
        <v>566562</v>
      </c>
      <c r="G13" s="22">
        <f t="shared" si="1"/>
        <v>0.18037160443439554</v>
      </c>
      <c r="H13" s="25">
        <v>279523</v>
      </c>
      <c r="I13" s="22">
        <f t="shared" si="2"/>
        <v>8.8989399194290372E-2</v>
      </c>
      <c r="J13" s="23">
        <f t="shared" si="3"/>
        <v>3141082</v>
      </c>
    </row>
    <row r="14" spans="2:12" x14ac:dyDescent="0.25">
      <c r="C14" s="24" t="s">
        <v>47</v>
      </c>
      <c r="D14" s="25">
        <v>1279700</v>
      </c>
      <c r="E14" s="79">
        <f t="shared" si="0"/>
        <v>0.69044177590883171</v>
      </c>
      <c r="F14" s="25">
        <v>265182</v>
      </c>
      <c r="G14" s="22">
        <f t="shared" si="1"/>
        <v>0.14307472924830492</v>
      </c>
      <c r="H14" s="25">
        <v>308569</v>
      </c>
      <c r="I14" s="22">
        <f t="shared" si="2"/>
        <v>0.1664834948428634</v>
      </c>
      <c r="J14" s="23">
        <f t="shared" si="3"/>
        <v>1853451</v>
      </c>
    </row>
    <row r="15" spans="2:12" x14ac:dyDescent="0.25">
      <c r="C15" s="24" t="s">
        <v>48</v>
      </c>
      <c r="D15" s="26">
        <v>8098984</v>
      </c>
      <c r="E15" s="79">
        <f t="shared" si="0"/>
        <v>0.70325461913898335</v>
      </c>
      <c r="F15" s="26">
        <v>3049584</v>
      </c>
      <c r="G15" s="22">
        <f t="shared" si="1"/>
        <v>0.26480284866007109</v>
      </c>
      <c r="H15" s="26">
        <v>367864</v>
      </c>
      <c r="I15" s="22">
        <f t="shared" si="2"/>
        <v>3.1942532200945568E-2</v>
      </c>
      <c r="J15" s="23">
        <f t="shared" si="3"/>
        <v>11516432</v>
      </c>
    </row>
    <row r="16" spans="2:12" x14ac:dyDescent="0.25">
      <c r="C16" s="24" t="s">
        <v>49</v>
      </c>
      <c r="D16" s="26">
        <v>7098356</v>
      </c>
      <c r="E16" s="79">
        <f t="shared" si="0"/>
        <v>0.44084129515632997</v>
      </c>
      <c r="F16" s="26">
        <v>8273647</v>
      </c>
      <c r="G16" s="22">
        <f t="shared" si="1"/>
        <v>0.51383239431021543</v>
      </c>
      <c r="H16" s="26">
        <v>729837</v>
      </c>
      <c r="I16" s="22">
        <f t="shared" si="2"/>
        <v>4.532631053345456E-2</v>
      </c>
      <c r="J16" s="23">
        <f t="shared" si="3"/>
        <v>16101840</v>
      </c>
    </row>
    <row r="17" spans="3:10" x14ac:dyDescent="0.25">
      <c r="C17" s="24" t="s">
        <v>50</v>
      </c>
      <c r="D17" s="26">
        <v>4928394</v>
      </c>
      <c r="E17" s="79">
        <f t="shared" si="0"/>
        <v>0.59702967562365716</v>
      </c>
      <c r="F17" s="26">
        <v>2938475</v>
      </c>
      <c r="G17" s="22">
        <f t="shared" si="1"/>
        <v>0.35596926221365943</v>
      </c>
      <c r="H17" s="26">
        <v>387987</v>
      </c>
      <c r="I17" s="22">
        <f t="shared" si="2"/>
        <v>4.7001062162683398E-2</v>
      </c>
      <c r="J17" s="23">
        <f t="shared" si="3"/>
        <v>8254856</v>
      </c>
    </row>
    <row r="18" spans="3:10" x14ac:dyDescent="0.25">
      <c r="C18" s="27" t="s">
        <v>51</v>
      </c>
      <c r="D18" s="28">
        <v>9273647</v>
      </c>
      <c r="E18" s="79">
        <f t="shared" si="0"/>
        <v>0.77090863778068286</v>
      </c>
      <c r="F18" s="28">
        <v>2576946</v>
      </c>
      <c r="G18" s="22">
        <f t="shared" si="1"/>
        <v>0.21421884297454707</v>
      </c>
      <c r="H18" s="28">
        <v>178909</v>
      </c>
      <c r="I18" s="22">
        <f t="shared" si="2"/>
        <v>1.4872519244770066E-2</v>
      </c>
      <c r="J18" s="23">
        <f t="shared" si="3"/>
        <v>12029502</v>
      </c>
    </row>
  </sheetData>
  <mergeCells count="5">
    <mergeCell ref="C3:J3"/>
    <mergeCell ref="D5:E5"/>
    <mergeCell ref="F5:G5"/>
    <mergeCell ref="H5:I5"/>
    <mergeCell ref="J5:J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0FAA7B-617A-4A7D-A1E1-D3AF0C8100D5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customXml/itemProps2.xml><?xml version="1.0" encoding="utf-8"?>
<ds:datastoreItem xmlns:ds="http://schemas.openxmlformats.org/officeDocument/2006/customXml" ds:itemID="{2B08017B-C22D-4768-839C-1C690BF846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6A5395-51A9-43EF-AAB2-9094FFBBAF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RefAbs1</vt:lpstr>
      <vt:lpstr>RefAbs2</vt:lpstr>
      <vt:lpstr>Percent</vt:lpstr>
      <vt:lpstr>Percent1</vt:lpstr>
      <vt:lpstr>Percent2</vt:lpstr>
      <vt:lpstr>Percent3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jalaram</dc:creator>
  <cp:lastModifiedBy>MANOEL BARATA</cp:lastModifiedBy>
  <dcterms:created xsi:type="dcterms:W3CDTF">2010-11-01T09:42:15Z</dcterms:created>
  <dcterms:modified xsi:type="dcterms:W3CDTF">2025-05-29T18:36:59Z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