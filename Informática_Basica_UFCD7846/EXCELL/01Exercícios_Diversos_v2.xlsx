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EXCELL\"/>
    </mc:Choice>
  </mc:AlternateContent>
  <xr:revisionPtr revIDLastSave="0" documentId="13_ncr:1_{99E7CAE9-A781-4CF6-A991-2E2CEAD1E729}" xr6:coauthVersionLast="47" xr6:coauthVersionMax="47" xr10:uidLastSave="{00000000-0000-0000-0000-000000000000}"/>
  <bookViews>
    <workbookView xWindow="-120" yWindow="-120" windowWidth="20730" windowHeight="11160" activeTab="8" xr2:uid="{FBC04B4F-3E67-4BCA-8AE3-B9A007FCEE89}"/>
  </bookViews>
  <sheets>
    <sheet name="Ex1" sheetId="9" r:id="rId1"/>
    <sheet name="Ex2" sheetId="2" r:id="rId2"/>
    <sheet name="Ex3" sheetId="3" r:id="rId3"/>
    <sheet name="Ex4" sheetId="7" r:id="rId4"/>
    <sheet name="Ex5" sheetId="8" r:id="rId5"/>
    <sheet name="Ex6" sheetId="1" r:id="rId6"/>
    <sheet name="Ex7" sheetId="10" r:id="rId7"/>
    <sheet name="Ex8" sheetId="11" r:id="rId8"/>
    <sheet name="Ex9" sheetId="5" r:id="rId9"/>
  </sheets>
  <definedNames>
    <definedName name="_xlnm._FilterDatabase" localSheetId="1" hidden="1">'Ex2'!$B$2:$G$20</definedName>
    <definedName name="_xlchart.v1.0" hidden="1">'Ex9'!$A$15:$A$24</definedName>
    <definedName name="_xlchart.v1.1" hidden="1">'Ex9'!$B$14</definedName>
    <definedName name="_xlchart.v1.2" hidden="1">'Ex9'!$B$15:$B$24</definedName>
    <definedName name="_xlchart.v1.3" hidden="1">'Ex9'!$C$14</definedName>
    <definedName name="_xlchart.v1.4" hidden="1">'Ex9'!$C$15:$C$24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7" i="5"/>
  <c r="C18" i="5"/>
  <c r="C19" i="5"/>
  <c r="C20" i="5"/>
  <c r="C21" i="5"/>
  <c r="C22" i="5"/>
  <c r="C23" i="5"/>
  <c r="C15" i="5"/>
  <c r="B24" i="5"/>
  <c r="L6" i="11"/>
  <c r="L5" i="11"/>
  <c r="L4" i="11"/>
  <c r="L3" i="11"/>
  <c r="K15" i="11"/>
  <c r="K14" i="11"/>
  <c r="J10" i="11"/>
  <c r="G22" i="10"/>
  <c r="F22" i="10"/>
  <c r="J13" i="10"/>
  <c r="J14" i="10"/>
  <c r="J15" i="10"/>
  <c r="K9" i="10"/>
  <c r="K8" i="10"/>
  <c r="K7" i="10"/>
  <c r="K6" i="10"/>
  <c r="K5" i="10"/>
  <c r="L6" i="8"/>
  <c r="L7" i="8"/>
  <c r="E23" i="8"/>
  <c r="F23" i="8"/>
  <c r="G23" i="8"/>
  <c r="D23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5" i="8"/>
  <c r="K13" i="2"/>
  <c r="K9" i="2"/>
  <c r="K11" i="2"/>
  <c r="K7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3" i="2"/>
  <c r="C22" i="2"/>
  <c r="D22" i="2"/>
  <c r="E6" i="2" s="1"/>
  <c r="G12" i="9"/>
  <c r="G10" i="9"/>
  <c r="G8" i="9"/>
  <c r="G6" i="9"/>
  <c r="B34" i="9"/>
  <c r="B33" i="9"/>
  <c r="F15" i="11"/>
  <c r="D15" i="11"/>
  <c r="F14" i="11"/>
  <c r="E14" i="11"/>
  <c r="G14" i="11" s="1"/>
  <c r="D14" i="11"/>
  <c r="F13" i="11"/>
  <c r="E13" i="11"/>
  <c r="G13" i="11" s="1"/>
  <c r="D13" i="11"/>
  <c r="F12" i="11"/>
  <c r="E12" i="11"/>
  <c r="G12" i="11" s="1"/>
  <c r="D12" i="11"/>
  <c r="F11" i="11"/>
  <c r="E11" i="11"/>
  <c r="G11" i="11" s="1"/>
  <c r="D11" i="11"/>
  <c r="F10" i="11"/>
  <c r="D10" i="11"/>
  <c r="F9" i="11"/>
  <c r="D9" i="11"/>
  <c r="F8" i="11"/>
  <c r="D8" i="11"/>
  <c r="F7" i="11"/>
  <c r="D7" i="11"/>
  <c r="F6" i="11"/>
  <c r="D6" i="11"/>
  <c r="F5" i="11"/>
  <c r="D5" i="11"/>
  <c r="F4" i="11"/>
  <c r="D4" i="11"/>
  <c r="F3" i="11"/>
  <c r="D3" i="11"/>
  <c r="E18" i="2" l="1"/>
  <c r="E14" i="2"/>
  <c r="E10" i="2"/>
  <c r="E3" i="2"/>
  <c r="E17" i="2"/>
  <c r="E13" i="2"/>
  <c r="E9" i="2"/>
  <c r="E5" i="2"/>
  <c r="E20" i="2"/>
  <c r="E16" i="2"/>
  <c r="E12" i="2"/>
  <c r="E8" i="2"/>
  <c r="E4" i="2"/>
  <c r="E19" i="2"/>
  <c r="E15" i="2"/>
  <c r="E11" i="2"/>
  <c r="E7" i="2"/>
  <c r="G3" i="11"/>
  <c r="G5" i="11"/>
  <c r="G7" i="11"/>
  <c r="G9" i="11"/>
  <c r="G15" i="11"/>
  <c r="E3" i="11"/>
  <c r="E4" i="11"/>
  <c r="G4" i="11" s="1"/>
  <c r="E5" i="11"/>
  <c r="E6" i="11"/>
  <c r="G6" i="11" s="1"/>
  <c r="E7" i="11"/>
  <c r="E8" i="11"/>
  <c r="G8" i="11" s="1"/>
  <c r="E9" i="11"/>
  <c r="E10" i="11"/>
  <c r="G10" i="11" s="1"/>
  <c r="E15" i="11"/>
</calcChain>
</file>

<file path=xl/sharedStrings.xml><?xml version="1.0" encoding="utf-8"?>
<sst xmlns="http://schemas.openxmlformats.org/spreadsheetml/2006/main" count="333" uniqueCount="269">
  <si>
    <t>Manager</t>
  </si>
  <si>
    <t>Sector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</si>
  <si>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</si>
  <si>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</si>
  <si>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</si>
  <si>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</si>
  <si>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</si>
  <si>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</si>
  <si>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</si>
  <si>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</si>
  <si>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</si>
  <si>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</si>
  <si>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</si>
  <si>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Nome Inicial</t>
  </si>
  <si>
    <t>Marketing</t>
  </si>
  <si>
    <t>MIGUEL AROUCA</t>
  </si>
  <si>
    <t>Jurídico</t>
  </si>
  <si>
    <t>CARLA PROENÇA</t>
  </si>
  <si>
    <t>Informática</t>
  </si>
  <si>
    <t>CARLOS FERNANDES</t>
  </si>
  <si>
    <t>Engenharia</t>
  </si>
  <si>
    <t>CONCEIÇÃO CARVALHO</t>
  </si>
  <si>
    <t>Financeiro</t>
  </si>
  <si>
    <t>CARLOS RAFAEL</t>
  </si>
  <si>
    <t>Recursos Humanos</t>
  </si>
  <si>
    <t>JOÃO FERNANDES</t>
  </si>
  <si>
    <t>FILOMENA CORREIA</t>
  </si>
  <si>
    <t>RUI GUERREIRO</t>
  </si>
  <si>
    <t>Logística</t>
  </si>
  <si>
    <t>LÍLIA CORREIA</t>
  </si>
  <si>
    <t>Produção</t>
  </si>
  <si>
    <t>MÁRIO AFONSO</t>
  </si>
  <si>
    <t>ANA MAGALHÃES</t>
  </si>
  <si>
    <t>ANA DINIS</t>
  </si>
  <si>
    <t>RUTE PIMENTA</t>
  </si>
  <si>
    <t>SÉRGIO LAMEIRAS</t>
  </si>
  <si>
    <t>SANDRA MENDES</t>
  </si>
  <si>
    <t>NOME DO TÍTULO</t>
  </si>
  <si>
    <t>PREÇO</t>
  </si>
  <si>
    <t>% Fecho</t>
  </si>
  <si>
    <t>Altri SGPS SA</t>
  </si>
  <si>
    <t>Banco Comercial Portugues SA (Nom)</t>
  </si>
  <si>
    <t>Corticeira Amorim SGPS SA</t>
  </si>
  <si>
    <t>1- Calcular a Percentagem de Fecho dos Títulos</t>
  </si>
  <si>
    <t>CTT Correios de Portugal SA</t>
  </si>
  <si>
    <t>EDP Energias de Portugal SA (Nom)</t>
  </si>
  <si>
    <t>2- Qual o Maior Valor do Preço Fecho</t>
  </si>
  <si>
    <t>EDP Renováveis SA</t>
  </si>
  <si>
    <t>Galp Energia (Nom)</t>
  </si>
  <si>
    <t>3- Qual o 2º Maior Valor do Preço Fecho</t>
  </si>
  <si>
    <t>Ibersol - SGPS</t>
  </si>
  <si>
    <t>Jeronimo Martins SGPS SA</t>
  </si>
  <si>
    <t>4- Qual o Menor Valor de Fecho</t>
  </si>
  <si>
    <t>MotaEngil SGPS SA</t>
  </si>
  <si>
    <t>NOS SGPS SA</t>
  </si>
  <si>
    <t>3- Qual o 2º Menor Valor do Preço Fecho</t>
  </si>
  <si>
    <t>NovaBase SGPS SA (Nom)</t>
  </si>
  <si>
    <t>PHarol SGPS SA</t>
  </si>
  <si>
    <t>Redes Energéticas Nacionais</t>
  </si>
  <si>
    <t>SEMAPA Soc Inv Gestao SGPS</t>
  </si>
  <si>
    <t>Sonae Capital SGPS SA</t>
  </si>
  <si>
    <t>Sonae SGPS SA</t>
  </si>
  <si>
    <t>The Navigator Company SA</t>
  </si>
  <si>
    <t>Total</t>
  </si>
  <si>
    <t>Exercício - Gráfico 1</t>
  </si>
  <si>
    <t>Crie um Gráfico Circular destacada com Visual 3 D - com Percentagens</t>
  </si>
  <si>
    <t>Meses</t>
  </si>
  <si>
    <t>Jan</t>
  </si>
  <si>
    <t>Fev</t>
  </si>
  <si>
    <t>Mar</t>
  </si>
  <si>
    <t>Abr</t>
  </si>
  <si>
    <t>Mai</t>
  </si>
  <si>
    <t>Jun</t>
  </si>
  <si>
    <t>Ano 2023</t>
  </si>
  <si>
    <t>Gráfico - 2 Eixos</t>
  </si>
  <si>
    <t>Ano</t>
  </si>
  <si>
    <t>Nº Empresas</t>
  </si>
  <si>
    <t>Volume Facturação</t>
  </si>
  <si>
    <t xml:space="preserve">Criar um Gráfico Combinado </t>
  </si>
  <si>
    <t>Alterar um dos Eixos (Nº Empresas) em Linha e (Secundário)</t>
  </si>
  <si>
    <t>Ano 2022</t>
  </si>
  <si>
    <t>NOME</t>
  </si>
  <si>
    <t>Gráficos Sparklines</t>
  </si>
  <si>
    <t>País</t>
  </si>
  <si>
    <t>Trim1</t>
  </si>
  <si>
    <t>Trim2</t>
  </si>
  <si>
    <t>Trim3</t>
  </si>
  <si>
    <t>Trim4</t>
  </si>
  <si>
    <t xml:space="preserve">Sparkline </t>
  </si>
  <si>
    <t>Austria</t>
  </si>
  <si>
    <t>Belgium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</si>
  <si>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</si>
  <si>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</si>
  <si>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</si>
  <si>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</si>
  <si>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</si>
  <si>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</si>
  <si>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</si>
  <si>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</si>
  <si>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</si>
  <si>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Netherlands</t>
  </si>
  <si>
    <t>Norway</t>
  </si>
  <si>
    <t>Poland</t>
  </si>
  <si>
    <t>Portugal</t>
  </si>
  <si>
    <t>Russia</t>
  </si>
  <si>
    <t>Spain</t>
  </si>
  <si>
    <t>Sweden</t>
  </si>
  <si>
    <t>Switzerland</t>
  </si>
  <si>
    <t>United Kingdom</t>
  </si>
  <si>
    <t>Código</t>
  </si>
  <si>
    <t>Projecto 1</t>
  </si>
  <si>
    <t>Projecto 2</t>
  </si>
  <si>
    <t>Projecto 3</t>
  </si>
  <si>
    <t>Projecto 4</t>
  </si>
  <si>
    <t>MÉDIA</t>
  </si>
  <si>
    <t>Maria Clara</t>
  </si>
  <si>
    <t>Maria Fernanda</t>
  </si>
  <si>
    <t>Ana Maria Isabel</t>
  </si>
  <si>
    <t>Rafael Azevedo</t>
  </si>
  <si>
    <t>Renata Helena</t>
  </si>
  <si>
    <t>Rodrigo Antonio</t>
  </si>
  <si>
    <t>Quantos Gestores Foram avaliados</t>
  </si>
  <si>
    <t>Silvia Maria de Sousa</t>
  </si>
  <si>
    <t>Nº Projectos não finalizados</t>
  </si>
  <si>
    <t>Tania Cabrera</t>
  </si>
  <si>
    <t>Teresa Raquel</t>
  </si>
  <si>
    <t>Valéria Santos</t>
  </si>
  <si>
    <t>Vitor Hugo</t>
  </si>
  <si>
    <t>Fernando Antunes</t>
  </si>
  <si>
    <t>Ana Lúcia Mendes</t>
  </si>
  <si>
    <t>Ana Paula Sousa</t>
  </si>
  <si>
    <t>Andreia Gonçalves</t>
  </si>
  <si>
    <t>António Silva</t>
  </si>
  <si>
    <t>Clara Sousa</t>
  </si>
  <si>
    <t>Cecília Teresa</t>
  </si>
  <si>
    <r>
      <t>Ponderação (%)</t>
    </r>
    <r>
      <rPr>
        <b/>
        <sz val="12"/>
        <color indexed="8"/>
        <rFont val="Calibri"/>
        <family val="2"/>
        <scheme val="minor"/>
      </rPr>
      <t xml:space="preserve"> </t>
    </r>
  </si>
  <si>
    <t>AVALIAÇÃO DA ANÁLISE DE PROJECTOS em 2024</t>
  </si>
  <si>
    <t>Ano 2024</t>
  </si>
  <si>
    <t>Exercício - Gráfico combinado</t>
  </si>
  <si>
    <t>Dados Campanha</t>
  </si>
  <si>
    <t>Tipo</t>
  </si>
  <si>
    <t>SUBTOTAL PROJETADO</t>
  </si>
  <si>
    <t>%</t>
  </si>
  <si>
    <t>Local</t>
  </si>
  <si>
    <t>Viagens</t>
  </si>
  <si>
    <t>Relações Públicas</t>
  </si>
  <si>
    <t>Decoração</t>
  </si>
  <si>
    <t>Programação Evento</t>
  </si>
  <si>
    <t>Meios Publicitários</t>
  </si>
  <si>
    <t>Publicidade</t>
  </si>
  <si>
    <t>Serviço Bar</t>
  </si>
  <si>
    <t>Outros</t>
  </si>
  <si>
    <t>1- Calcular as Percentagens</t>
  </si>
  <si>
    <t>2- Criar um Gráfico Combinado</t>
  </si>
  <si>
    <t>Variação</t>
  </si>
  <si>
    <t>PREÇO.FECHO</t>
  </si>
  <si>
    <t>Registo de vendas do mês</t>
  </si>
  <si>
    <r>
      <rPr>
        <b/>
        <sz val="11"/>
        <rFont val="Arial"/>
        <family val="2"/>
      </rPr>
      <t>Nota:</t>
    </r>
    <r>
      <rPr>
        <sz val="10"/>
        <rFont val="Arial"/>
        <family val="2"/>
      </rPr>
      <t xml:space="preserve"> Formatar a Data, com o formato Data/Hora</t>
    </r>
  </si>
  <si>
    <t>Data</t>
  </si>
  <si>
    <t xml:space="preserve">Valor Venda </t>
  </si>
  <si>
    <t>Classificação</t>
  </si>
  <si>
    <t>Quadro Resumo:</t>
  </si>
  <si>
    <t>Estatística</t>
  </si>
  <si>
    <t>Mau</t>
  </si>
  <si>
    <t>Razoável</t>
  </si>
  <si>
    <t>Melhor valor de vendas</t>
  </si>
  <si>
    <t>Muito Bom</t>
  </si>
  <si>
    <t>Excelente</t>
  </si>
  <si>
    <t>Pior valor de vendas</t>
  </si>
  <si>
    <t>Bom</t>
  </si>
  <si>
    <t>Nº de dias com vendas</t>
  </si>
  <si>
    <t>Nº de dias sem vendas</t>
  </si>
  <si>
    <t>Média</t>
  </si>
  <si>
    <t>Tabela de Funções</t>
  </si>
  <si>
    <t>Nome</t>
  </si>
  <si>
    <t>Sexo</t>
  </si>
  <si>
    <t>Idade</t>
  </si>
  <si>
    <t>Peso
(Kg)</t>
  </si>
  <si>
    <t>Altura
(Cm)</t>
  </si>
  <si>
    <t>Número
Filhos</t>
  </si>
  <si>
    <t>Vencimento</t>
  </si>
  <si>
    <t>Quadro Resumo</t>
  </si>
  <si>
    <t>Quantos ?</t>
  </si>
  <si>
    <t>António Policarpo</t>
  </si>
  <si>
    <t>m</t>
  </si>
  <si>
    <t>Masculinos</t>
  </si>
  <si>
    <t>José Zéfiro</t>
  </si>
  <si>
    <t>Femininos</t>
  </si>
  <si>
    <t>Ana Antunes</t>
  </si>
  <si>
    <t>f</t>
  </si>
  <si>
    <t>Idade superior a 30</t>
  </si>
  <si>
    <t>Thelma Bento</t>
  </si>
  <si>
    <t>Peso mais que 70 Kg</t>
  </si>
  <si>
    <t>Renato Vinagre</t>
  </si>
  <si>
    <t>Filhos mais que 2</t>
  </si>
  <si>
    <t>Henedina Lelo</t>
  </si>
  <si>
    <t>Romão Silva</t>
  </si>
  <si>
    <t>Domingos Paciência</t>
  </si>
  <si>
    <t>Luísa Vieira</t>
  </si>
  <si>
    <t>Maria Julieta</t>
  </si>
  <si>
    <t>Constantino Sóbrio</t>
  </si>
  <si>
    <t>Valores:</t>
  </si>
  <si>
    <t>Médios</t>
  </si>
  <si>
    <t>Mais Altos</t>
  </si>
  <si>
    <t>Mais Baixos</t>
  </si>
  <si>
    <t>Totais</t>
  </si>
  <si>
    <t>STAND MERCAUTO</t>
  </si>
  <si>
    <t>MARCA</t>
  </si>
  <si>
    <t>P. BASE</t>
  </si>
  <si>
    <t>IVA</t>
  </si>
  <si>
    <t>I. AUTOMÓVEL</t>
  </si>
  <si>
    <t>I. SELO</t>
  </si>
  <si>
    <t>P. BASE + IMPOSTOS</t>
  </si>
  <si>
    <t>TIPO</t>
  </si>
  <si>
    <t>FIAT</t>
  </si>
  <si>
    <t>Gasolina</t>
  </si>
  <si>
    <t>FORD</t>
  </si>
  <si>
    <t>AUDI</t>
  </si>
  <si>
    <t>Gasóleo</t>
  </si>
  <si>
    <t>TESLA</t>
  </si>
  <si>
    <t xml:space="preserve">Conte quantos </t>
  </si>
  <si>
    <t>Fiats há na</t>
  </si>
  <si>
    <t>VOLVO</t>
  </si>
  <si>
    <t>Lista</t>
  </si>
  <si>
    <t>MERCEDES</t>
  </si>
  <si>
    <t>CITROEN</t>
  </si>
  <si>
    <t>Quantos Carros ?</t>
  </si>
  <si>
    <t>OPEL</t>
  </si>
  <si>
    <t>LANCIA</t>
  </si>
  <si>
    <t>TOTAL</t>
  </si>
  <si>
    <t>MÁXIMO</t>
  </si>
  <si>
    <t>MINIMO</t>
  </si>
  <si>
    <t>10 % do P. BASE + 7 % do IVA</t>
  </si>
  <si>
    <t>0,2 % do P. BASE</t>
  </si>
  <si>
    <t>Contar</t>
  </si>
  <si>
    <t>Contar.Vazio</t>
  </si>
  <si>
    <t>Fórmulas - Aritmética</t>
  </si>
  <si>
    <t xml:space="preserve">Introdução Formatação Condicional: </t>
  </si>
  <si>
    <r>
      <t xml:space="preserve">Função </t>
    </r>
    <r>
      <rPr>
        <b/>
        <sz val="11"/>
        <color theme="1"/>
        <rFont val="Calibri"/>
        <family val="2"/>
        <scheme val="minor"/>
      </rPr>
      <t xml:space="preserve">Maior </t>
    </r>
    <r>
      <rPr>
        <sz val="11"/>
        <color theme="1"/>
        <rFont val="Calibri"/>
        <family val="2"/>
        <scheme val="minor"/>
      </rPr>
      <t>- 2</t>
    </r>
  </si>
  <si>
    <r>
      <t xml:space="preserve">Função </t>
    </r>
    <r>
      <rPr>
        <b/>
        <sz val="11"/>
        <color theme="1"/>
        <rFont val="Calibri"/>
        <family val="2"/>
        <scheme val="minor"/>
      </rPr>
      <t>Menor</t>
    </r>
    <r>
      <rPr>
        <sz val="11"/>
        <color theme="1"/>
        <rFont val="Calibri"/>
        <family val="2"/>
        <scheme val="minor"/>
      </rPr>
      <t xml:space="preserve"> - 2</t>
    </r>
  </si>
  <si>
    <t>Base - Formatação Condicional - Gráfica</t>
  </si>
  <si>
    <t>Fórmulas - Máximo</t>
  </si>
  <si>
    <t>Fórmulas - Mínimo</t>
  </si>
  <si>
    <t>CONTAR.VAL</t>
  </si>
  <si>
    <t>CONTAR.VAZIO</t>
  </si>
  <si>
    <t>Maria Pinto</t>
  </si>
  <si>
    <t>Miguel Arouca</t>
  </si>
  <si>
    <t>Carla Proença</t>
  </si>
  <si>
    <t>Carlos Fernandes</t>
  </si>
  <si>
    <t>Conceição Carvalho</t>
  </si>
  <si>
    <t>Carlos Rafael</t>
  </si>
  <si>
    <t>João Fernandes</t>
  </si>
  <si>
    <t>Filomena Correia</t>
  </si>
  <si>
    <t>Rui Guerreiro</t>
  </si>
  <si>
    <t>Lília Correia</t>
  </si>
  <si>
    <t>Mário Afonso</t>
  </si>
  <si>
    <t>Ana Magalhães</t>
  </si>
  <si>
    <t>Ana Dinis</t>
  </si>
  <si>
    <t>Rute Pimenta</t>
  </si>
  <si>
    <t>Sérgio Lameiras</t>
  </si>
  <si>
    <t>Sandra Mendes</t>
  </si>
  <si>
    <t>MARIA PINTO</t>
  </si>
  <si>
    <t>Quantidade Ordenados maiores que 900</t>
  </si>
  <si>
    <t>Soma - Ordenados maiores que 900</t>
  </si>
  <si>
    <t>Soma - Ordenados menores que 700</t>
  </si>
  <si>
    <t>Fiat</t>
  </si>
  <si>
    <t>Audi</t>
  </si>
  <si>
    <t>Tesla</t>
  </si>
  <si>
    <t>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</si>
</sst>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[$€-816]_-;\-* #,##0.00\ [$€-816]_-;_-* &quot;-&quot;??\ [$€-816]_-;_-@_-"/>
    <numFmt numFmtId="166" formatCode="0.0%"/>
    <numFmt numFmtId="167" formatCode="_-* #,##0.0\ [$€-816]_-;\-* #,##0.0\ [$€-816]_-;_-* &quot;-&quot;?\ [$€-816]_-;_-@_-"/>
    <numFmt numFmtId="168" formatCode="0.0"/>
    <numFmt numFmtId="169" formatCode="#,##0.00\ &quot;€&quot;"/>
    <numFmt numFmtId="170" formatCode="#,##0.00\ &quot;€&quot;;[Red]#,##0.00\ &quot;€&quot;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indexed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6" tint="-0.249977111117893"/>
      <name val="Century Gothic"/>
      <family val="2"/>
    </font>
    <font>
      <sz val="9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2"/>
      <color theme="1"/>
      <name val="Century Gothic"/>
      <family val="2"/>
    </font>
    <font>
      <b/>
      <sz val="10"/>
      <color theme="1"/>
      <name val="Century Gothic"/>
      <family val="2"/>
    </font>
    <font>
      <b/>
      <sz val="14"/>
      <color theme="0" tint="-0.499984740745262"/>
      <name val="Century Gothic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20"/>
      <name val="Arial"/>
      <family val="2"/>
    </font>
    <font>
      <b/>
      <sz val="10"/>
      <color indexed="9"/>
      <name val="Arial"/>
      <family val="2"/>
    </font>
    <font>
      <sz val="11"/>
      <name val="Comic Sans MS"/>
      <family val="4"/>
    </font>
    <font>
      <b/>
      <sz val="11"/>
      <name val="Comic Sans MS"/>
      <family val="4"/>
    </font>
    <font>
      <sz val="10"/>
      <name val="Comic Sans MS"/>
      <family val="4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34" fillId="0" borderId="0" applyNumberFormat="0" applyFill="0" applyBorder="0" applyAlignment="0" applyProtection="0"/>
    <xf numFmtId="164" fontId="6" fillId="0" borderId="0" applyFont="0" applyFill="0" applyBorder="0" applyAlignment="0" applyProtection="0"/>
  </cellStyleXfs>
  <cellXfs count="16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1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0" fillId="4" borderId="1" xfId="0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5" fontId="7" fillId="0" borderId="1" xfId="0" applyNumberFormat="1" applyFont="1" applyBorder="1"/>
    <xf numFmtId="0" fontId="8" fillId="0" borderId="0" xfId="0" applyFont="1"/>
    <xf numFmtId="165" fontId="0" fillId="4" borderId="1" xfId="0" applyNumberForma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4" applyFont="1"/>
    <xf numFmtId="0" fontId="10" fillId="0" borderId="0" xfId="4" applyFont="1" applyAlignment="1">
      <alignment horizontal="center"/>
    </xf>
    <xf numFmtId="0" fontId="11" fillId="0" borderId="0" xfId="0" applyFont="1"/>
    <xf numFmtId="0" fontId="1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5" fontId="9" fillId="0" borderId="2" xfId="1" applyNumberFormat="1" applyFont="1" applyFill="1" applyBorder="1" applyAlignment="1">
      <alignment horizontal="center"/>
    </xf>
    <xf numFmtId="0" fontId="9" fillId="0" borderId="3" xfId="5" applyFont="1" applyBorder="1" applyAlignment="1">
      <alignment horizontal="center"/>
    </xf>
    <xf numFmtId="0" fontId="14" fillId="5" borderId="0" xfId="5" applyFont="1" applyFill="1" applyAlignment="1">
      <alignment horizontal="center"/>
    </xf>
    <xf numFmtId="0" fontId="14" fillId="5" borderId="4" xfId="5" applyFont="1" applyFill="1" applyBorder="1" applyAlignment="1">
      <alignment horizontal="center"/>
    </xf>
    <xf numFmtId="0" fontId="10" fillId="6" borderId="0" xfId="5" applyFont="1" applyFill="1"/>
    <xf numFmtId="167" fontId="10" fillId="6" borderId="5" xfId="5" applyNumberFormat="1" applyFont="1" applyFill="1" applyBorder="1"/>
    <xf numFmtId="0" fontId="10" fillId="6" borderId="6" xfId="5" applyFont="1" applyFill="1" applyBorder="1"/>
    <xf numFmtId="167" fontId="10" fillId="6" borderId="7" xfId="5" applyNumberFormat="1" applyFont="1" applyFill="1" applyBorder="1"/>
    <xf numFmtId="0" fontId="15" fillId="0" borderId="0" xfId="0" applyFont="1"/>
    <xf numFmtId="0" fontId="18" fillId="0" borderId="0" xfId="0" applyFont="1"/>
    <xf numFmtId="0" fontId="2" fillId="0" borderId="1" xfId="0" applyFont="1" applyBorder="1" applyAlignment="1">
      <alignment horizontal="center"/>
    </xf>
    <xf numFmtId="0" fontId="19" fillId="0" borderId="0" xfId="0" applyFont="1"/>
    <xf numFmtId="1" fontId="20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2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168" fontId="22" fillId="8" borderId="1" xfId="0" applyNumberFormat="1" applyFont="1" applyFill="1" applyBorder="1" applyAlignment="1">
      <alignment horizontal="center" vertical="center" wrapText="1" readingOrder="1"/>
    </xf>
    <xf numFmtId="0" fontId="17" fillId="2" borderId="1" xfId="0" applyFont="1" applyFill="1" applyBorder="1"/>
    <xf numFmtId="1" fontId="2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2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7" fillId="0" borderId="1" xfId="6" applyFont="1" applyBorder="1"/>
    <xf numFmtId="0" fontId="17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 wrapText="1"/>
    </xf>
    <xf numFmtId="164" fontId="26" fillId="0" borderId="0" xfId="6" applyFont="1" applyAlignment="1">
      <alignment horizontal="left" vertical="center" wrapText="1" indent="1"/>
    </xf>
    <xf numFmtId="0" fontId="27" fillId="5" borderId="11" xfId="0" applyFont="1" applyFill="1" applyBorder="1" applyAlignment="1">
      <alignment horizontal="center" vertical="center" wrapText="1"/>
    </xf>
    <xf numFmtId="0" fontId="27" fillId="9" borderId="11" xfId="0" applyFont="1" applyFill="1" applyBorder="1" applyAlignment="1">
      <alignment horizontal="center" vertical="center" wrapText="1"/>
    </xf>
    <xf numFmtId="0" fontId="27" fillId="10" borderId="11" xfId="0" applyFont="1" applyFill="1" applyBorder="1" applyAlignment="1">
      <alignment horizontal="center" vertical="center" wrapText="1"/>
    </xf>
    <xf numFmtId="0" fontId="28" fillId="0" borderId="0" xfId="0" applyFont="1"/>
    <xf numFmtId="165" fontId="29" fillId="2" borderId="11" xfId="6" applyNumberFormat="1" applyFont="1" applyFill="1" applyBorder="1" applyAlignment="1">
      <alignment horizontal="right" vertical="center" wrapText="1" indent="1"/>
    </xf>
    <xf numFmtId="9" fontId="29" fillId="8" borderId="11" xfId="2" applyFont="1" applyFill="1" applyBorder="1" applyAlignment="1">
      <alignment horizontal="center"/>
    </xf>
    <xf numFmtId="0" fontId="30" fillId="0" borderId="0" xfId="0" applyFont="1" applyAlignment="1">
      <alignment vertical="center"/>
    </xf>
    <xf numFmtId="0" fontId="29" fillId="8" borderId="11" xfId="0" applyFont="1" applyFill="1" applyBorder="1" applyAlignment="1">
      <alignment horizontal="left" vertical="center" wrapText="1" indent="1"/>
    </xf>
    <xf numFmtId="165" fontId="29" fillId="0" borderId="0" xfId="0" applyNumberFormat="1" applyFont="1" applyAlignment="1">
      <alignment vertical="center" wrapText="1"/>
    </xf>
    <xf numFmtId="0" fontId="29" fillId="0" borderId="0" xfId="0" applyFont="1" applyAlignment="1">
      <alignment vertical="center" wrapText="1"/>
    </xf>
    <xf numFmtId="165" fontId="0" fillId="0" borderId="0" xfId="0" applyNumberFormat="1"/>
    <xf numFmtId="166" fontId="0" fillId="0" borderId="1" xfId="2" applyNumberFormat="1" applyFont="1" applyBorder="1" applyAlignment="1">
      <alignment horizontal="center"/>
    </xf>
    <xf numFmtId="10" fontId="0" fillId="0" borderId="1" xfId="2" applyNumberFormat="1" applyFont="1" applyBorder="1"/>
    <xf numFmtId="168" fontId="13" fillId="0" borderId="0" xfId="0" applyNumberFormat="1" applyFont="1"/>
    <xf numFmtId="0" fontId="31" fillId="0" borderId="0" xfId="0" applyFont="1"/>
    <xf numFmtId="0" fontId="6" fillId="0" borderId="0" xfId="0" applyFont="1"/>
    <xf numFmtId="0" fontId="3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0" fillId="0" borderId="1" xfId="6" applyFont="1" applyBorder="1"/>
    <xf numFmtId="0" fontId="0" fillId="0" borderId="1" xfId="0" applyBorder="1" applyAlignment="1">
      <alignment horizontal="center"/>
    </xf>
    <xf numFmtId="165" fontId="15" fillId="0" borderId="1" xfId="0" applyNumberFormat="1" applyFont="1" applyBorder="1"/>
    <xf numFmtId="14" fontId="0" fillId="0" borderId="0" xfId="0" applyNumberFormat="1"/>
    <xf numFmtId="14" fontId="7" fillId="0" borderId="0" xfId="0" applyNumberFormat="1" applyFont="1"/>
    <xf numFmtId="0" fontId="33" fillId="0" borderId="1" xfId="0" applyFont="1" applyBorder="1" applyAlignment="1">
      <alignment horizontal="center"/>
    </xf>
    <xf numFmtId="0" fontId="34" fillId="0" borderId="0" xfId="8"/>
    <xf numFmtId="22" fontId="0" fillId="0" borderId="0" xfId="0" applyNumberFormat="1"/>
    <xf numFmtId="0" fontId="0" fillId="0" borderId="0" xfId="0" applyAlignment="1">
      <alignment horizontal="center"/>
    </xf>
    <xf numFmtId="0" fontId="36" fillId="12" borderId="16" xfId="0" applyFont="1" applyFill="1" applyBorder="1" applyAlignment="1">
      <alignment horizontal="center" vertical="center"/>
    </xf>
    <xf numFmtId="0" fontId="36" fillId="12" borderId="17" xfId="0" applyFont="1" applyFill="1" applyBorder="1" applyAlignment="1">
      <alignment horizontal="center" vertical="center"/>
    </xf>
    <xf numFmtId="0" fontId="36" fillId="12" borderId="17" xfId="0" applyFont="1" applyFill="1" applyBorder="1" applyAlignment="1">
      <alignment horizontal="center" vertical="center" wrapText="1"/>
    </xf>
    <xf numFmtId="0" fontId="36" fillId="12" borderId="18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164" fontId="0" fillId="0" borderId="19" xfId="9" applyFont="1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20" xfId="9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0" xfId="6" applyFont="1"/>
    <xf numFmtId="1" fontId="0" fillId="0" borderId="1" xfId="0" applyNumberFormat="1" applyBorder="1" applyAlignment="1">
      <alignment horizontal="center"/>
    </xf>
    <xf numFmtId="164" fontId="0" fillId="0" borderId="1" xfId="6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7" fillId="0" borderId="0" xfId="5" applyFont="1"/>
    <xf numFmtId="0" fontId="37" fillId="0" borderId="0" xfId="5" applyFont="1" applyAlignment="1">
      <alignment horizontal="center" vertical="center"/>
    </xf>
    <xf numFmtId="0" fontId="37" fillId="0" borderId="26" xfId="5" applyFont="1" applyBorder="1" applyAlignment="1">
      <alignment horizontal="center" vertical="center"/>
    </xf>
    <xf numFmtId="0" fontId="37" fillId="0" borderId="27" xfId="5" applyFont="1" applyBorder="1" applyAlignment="1">
      <alignment horizontal="center" vertical="center"/>
    </xf>
    <xf numFmtId="0" fontId="37" fillId="0" borderId="28" xfId="5" applyFont="1" applyBorder="1" applyAlignment="1">
      <alignment horizontal="center" vertical="center" wrapText="1"/>
    </xf>
    <xf numFmtId="0" fontId="37" fillId="0" borderId="29" xfId="5" applyFont="1" applyBorder="1" applyAlignment="1">
      <alignment horizontal="center" vertical="center"/>
    </xf>
    <xf numFmtId="0" fontId="37" fillId="0" borderId="30" xfId="5" applyFont="1" applyBorder="1"/>
    <xf numFmtId="169" fontId="37" fillId="0" borderId="1" xfId="5" applyNumberFormat="1" applyFont="1" applyBorder="1"/>
    <xf numFmtId="170" fontId="37" fillId="0" borderId="1" xfId="5" applyNumberFormat="1" applyFont="1" applyBorder="1" applyAlignment="1" applyProtection="1">
      <alignment horizontal="center"/>
      <protection hidden="1"/>
    </xf>
    <xf numFmtId="164" fontId="37" fillId="0" borderId="1" xfId="6" applyFont="1" applyBorder="1" applyAlignment="1" applyProtection="1">
      <alignment horizontal="center"/>
      <protection hidden="1"/>
    </xf>
    <xf numFmtId="170" fontId="37" fillId="0" borderId="31" xfId="5" applyNumberFormat="1" applyFont="1" applyBorder="1" applyAlignment="1" applyProtection="1">
      <alignment horizontal="center"/>
      <protection hidden="1"/>
    </xf>
    <xf numFmtId="0" fontId="37" fillId="0" borderId="32" xfId="5" applyFont="1" applyBorder="1" applyAlignment="1">
      <alignment horizontal="center"/>
    </xf>
    <xf numFmtId="169" fontId="37" fillId="13" borderId="1" xfId="5" applyNumberFormat="1" applyFont="1" applyFill="1" applyBorder="1"/>
    <xf numFmtId="0" fontId="37" fillId="14" borderId="33" xfId="5" applyFont="1" applyFill="1" applyBorder="1" applyAlignment="1">
      <alignment horizontal="center"/>
    </xf>
    <xf numFmtId="0" fontId="37" fillId="14" borderId="34" xfId="5" applyFont="1" applyFill="1" applyBorder="1" applyAlignment="1">
      <alignment horizontal="center"/>
    </xf>
    <xf numFmtId="0" fontId="37" fillId="14" borderId="35" xfId="5" applyFont="1" applyFill="1" applyBorder="1" applyAlignment="1">
      <alignment horizontal="center"/>
    </xf>
    <xf numFmtId="0" fontId="38" fillId="14" borderId="24" xfId="5" applyFont="1" applyFill="1" applyBorder="1" applyAlignment="1">
      <alignment horizontal="center"/>
    </xf>
    <xf numFmtId="0" fontId="37" fillId="0" borderId="1" xfId="5" applyFont="1" applyBorder="1" applyAlignment="1">
      <alignment horizontal="center"/>
    </xf>
    <xf numFmtId="0" fontId="1" fillId="0" borderId="1" xfId="5" applyBorder="1" applyAlignment="1">
      <alignment horizontal="center"/>
    </xf>
    <xf numFmtId="0" fontId="37" fillId="0" borderId="36" xfId="5" applyFont="1" applyBorder="1"/>
    <xf numFmtId="169" fontId="37" fillId="0" borderId="37" xfId="5" applyNumberFormat="1" applyFont="1" applyBorder="1"/>
    <xf numFmtId="0" fontId="37" fillId="0" borderId="38" xfId="5" applyFont="1" applyBorder="1" applyAlignment="1">
      <alignment horizontal="center"/>
    </xf>
    <xf numFmtId="0" fontId="1" fillId="0" borderId="0" xfId="5"/>
    <xf numFmtId="169" fontId="37" fillId="0" borderId="0" xfId="5" applyNumberFormat="1" applyFont="1"/>
    <xf numFmtId="170" fontId="37" fillId="0" borderId="5" xfId="5" applyNumberFormat="1" applyFont="1" applyBorder="1" applyAlignment="1">
      <alignment horizontal="center"/>
    </xf>
    <xf numFmtId="0" fontId="37" fillId="0" borderId="21" xfId="5" applyFont="1" applyBorder="1"/>
    <xf numFmtId="169" fontId="37" fillId="13" borderId="39" xfId="5" applyNumberFormat="1" applyFont="1" applyFill="1" applyBorder="1" applyAlignment="1">
      <alignment horizontal="center"/>
    </xf>
    <xf numFmtId="0" fontId="37" fillId="0" borderId="22" xfId="5" applyFont="1" applyBorder="1"/>
    <xf numFmtId="169" fontId="37" fillId="13" borderId="40" xfId="5" applyNumberFormat="1" applyFont="1" applyFill="1" applyBorder="1" applyAlignment="1">
      <alignment horizontal="center"/>
    </xf>
    <xf numFmtId="0" fontId="37" fillId="0" borderId="23" xfId="5" applyFont="1" applyBorder="1"/>
    <xf numFmtId="169" fontId="37" fillId="13" borderId="41" xfId="5" applyNumberFormat="1" applyFont="1" applyFill="1" applyBorder="1" applyAlignment="1">
      <alignment horizontal="center"/>
    </xf>
    <xf numFmtId="0" fontId="38" fillId="0" borderId="42" xfId="5" applyFont="1" applyBorder="1" applyAlignment="1">
      <alignment horizontal="center"/>
    </xf>
    <xf numFmtId="9" fontId="37" fillId="0" borderId="45" xfId="5" quotePrefix="1" applyNumberFormat="1" applyFont="1" applyBorder="1" applyAlignment="1">
      <alignment horizontal="center"/>
    </xf>
    <xf numFmtId="14" fontId="0" fillId="0" borderId="1" xfId="0" applyNumberFormat="1" applyBorder="1"/>
    <xf numFmtId="0" fontId="2" fillId="0" borderId="0" xfId="0" applyFont="1"/>
    <xf numFmtId="14" fontId="2" fillId="0" borderId="0" xfId="0" applyNumberFormat="1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2" fillId="4" borderId="12" xfId="0" applyFont="1" applyFill="1" applyBorder="1" applyAlignment="1">
      <alignment horizontal="center"/>
    </xf>
    <xf numFmtId="2" fontId="3" fillId="7" borderId="10" xfId="0" applyNumberFormat="1" applyFont="1" applyFill="1" applyBorder="1" applyAlignment="1" applyProtection="1">
      <alignment horizontal="center" vertical="center" wrapText="1" readingOrder="1"/>
      <protection locked="0"/>
    </xf>
    <xf numFmtId="1" fontId="0" fillId="0" borderId="1" xfId="6" applyNumberFormat="1" applyFont="1" applyBorder="1"/>
    <xf numFmtId="164" fontId="6" fillId="0" borderId="1" xfId="6" applyFont="1" applyBorder="1"/>
    <xf numFmtId="0" fontId="2" fillId="0" borderId="6" xfId="0" applyFont="1" applyBorder="1"/>
    <xf numFmtId="0" fontId="0" fillId="0" borderId="6" xfId="0" applyBorder="1"/>
    <xf numFmtId="0" fontId="2" fillId="0" borderId="0" xfId="0" applyFont="1"/>
    <xf numFmtId="0" fontId="0" fillId="0" borderId="0" xfId="0"/>
    <xf numFmtId="0" fontId="13" fillId="0" borderId="12" xfId="0" applyFont="1" applyBorder="1" applyAlignment="1">
      <alignment horizontal="center" wrapText="1"/>
    </xf>
    <xf numFmtId="0" fontId="20" fillId="7" borderId="1" xfId="0" applyFont="1" applyFill="1" applyBorder="1" applyAlignment="1" applyProtection="1">
      <alignment horizontal="center" vertical="center" wrapText="1" readingOrder="1"/>
      <protection locked="0"/>
    </xf>
    <xf numFmtId="0" fontId="21" fillId="2" borderId="8" xfId="0" applyFont="1" applyFill="1" applyBorder="1" applyAlignment="1" applyProtection="1">
      <alignment horizontal="right" vertical="center" wrapText="1" readingOrder="1"/>
      <protection hidden="1"/>
    </xf>
    <xf numFmtId="0" fontId="15" fillId="2" borderId="9" xfId="0" applyFont="1" applyFill="1" applyBorder="1" applyAlignment="1" applyProtection="1">
      <alignment horizontal="right" vertical="center" wrapText="1" readingOrder="1"/>
      <protection hidden="1"/>
    </xf>
    <xf numFmtId="0" fontId="20" fillId="7" borderId="1" xfId="0" applyFont="1" applyFill="1" applyBorder="1" applyAlignment="1" applyProtection="1">
      <alignment horizontal="center" vertical="center" wrapText="1" readingOrder="1"/>
      <protection hidden="1"/>
    </xf>
    <xf numFmtId="0" fontId="6" fillId="0" borderId="0" xfId="0" applyFont="1" applyAlignment="1">
      <alignment horizontal="right"/>
    </xf>
    <xf numFmtId="0" fontId="6" fillId="0" borderId="25" xfId="0" applyFont="1" applyBorder="1" applyAlignment="1">
      <alignment horizontal="right"/>
    </xf>
    <xf numFmtId="0" fontId="35" fillId="0" borderId="13" xfId="0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6" fillId="12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38" fillId="4" borderId="13" xfId="5" applyFont="1" applyFill="1" applyBorder="1" applyAlignment="1">
      <alignment horizontal="center"/>
    </xf>
    <xf numFmtId="0" fontId="38" fillId="4" borderId="14" xfId="5" applyFont="1" applyFill="1" applyBorder="1" applyAlignment="1">
      <alignment horizontal="center"/>
    </xf>
    <xf numFmtId="0" fontId="38" fillId="4" borderId="15" xfId="5" applyFont="1" applyFill="1" applyBorder="1" applyAlignment="1">
      <alignment horizontal="center"/>
    </xf>
    <xf numFmtId="0" fontId="37" fillId="14" borderId="1" xfId="5" applyFont="1" applyFill="1" applyBorder="1" applyAlignment="1">
      <alignment horizontal="center"/>
    </xf>
    <xf numFmtId="0" fontId="38" fillId="0" borderId="43" xfId="5" applyFont="1" applyBorder="1" applyAlignment="1">
      <alignment horizontal="center"/>
    </xf>
    <xf numFmtId="0" fontId="38" fillId="0" borderId="44" xfId="5" applyFont="1" applyBorder="1" applyAlignment="1">
      <alignment horizontal="center"/>
    </xf>
    <xf numFmtId="0" fontId="39" fillId="0" borderId="46" xfId="5" applyFont="1" applyBorder="1" applyAlignment="1">
      <alignment horizontal="center"/>
    </xf>
    <xf numFmtId="0" fontId="39" fillId="0" borderId="47" xfId="5" applyFont="1" applyBorder="1" applyAlignment="1">
      <alignment horizontal="center"/>
    </xf>
    <xf numFmtId="0" fontId="37" fillId="0" borderId="46" xfId="5" applyFont="1" applyBorder="1" applyAlignment="1">
      <alignment horizontal="center"/>
    </xf>
    <xf numFmtId="0" fontId="37" fillId="0" borderId="47" xfId="5" applyFont="1" applyBorder="1" applyAlignment="1">
      <alignment horizontal="center"/>
    </xf>
  </cellXfs>
  <cellStyles count="10">
    <cellStyle name="Euro" xfId="3" xr:uid="{9E9C3375-D8D4-4B7C-A2A0-046CA12E3E33}"/>
    <cellStyle name="Euro 2" xfId="9" xr:uid="{9A6558AC-0F3B-487E-9AF5-0E89BDC9871B}"/>
    <cellStyle name="Hiperligação" xfId="8" builtinId="8"/>
    <cellStyle name="Moeda" xfId="6" builtinId="4"/>
    <cellStyle name="Normal" xfId="0" builtinId="0"/>
    <cellStyle name="Normal 3" xfId="5" xr:uid="{2E3F454C-CB22-4CC6-B4D2-94F59678C26E}"/>
    <cellStyle name="Normal 4" xfId="7" xr:uid="{785A637F-CB5B-46B1-B41A-72EC837BF508}"/>
    <cellStyle name="Normal_Ex4" xfId="4" xr:uid="{654CBAF7-B388-4BCF-891B-8E4F9EF3FCC0}"/>
    <cellStyle name="Percentagem" xfId="2" builtinId="5"/>
    <cellStyle name="Vírgula" xfId="1" builtinId="3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'Ex3'!$C$5</c:f>
              <c:strCache>
                <c:ptCount val="1"/>
                <c:pt idx="0">
                  <c:v>Ano 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4C-48F8-AD99-53BFDC2E88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4C-48F8-AD99-53BFDC2E88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74C-48F8-AD99-53BFDC2E88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74C-48F8-AD99-53BFDC2E88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74C-48F8-AD99-53BFDC2E88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74C-48F8-AD99-53BFDC2E88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'Ex3'!$B$6:$B$11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'Ex3'!$C$6:$C$11</c:f>
              <c:numCache>
                <c:formatCode>_-* #,##0.00\ [$€-816]_-;\-* #,##0.00\ [$€-816]_-;_-* "-"??\ [$€-816]_-;_-@_-</c:formatCode>
                <c:ptCount val="6"/>
                <c:pt idx="0">
                  <c:v>50000</c:v>
                </c:pt>
                <c:pt idx="1">
                  <c:v>57000</c:v>
                </c:pt>
                <c:pt idx="2">
                  <c:v>60000</c:v>
                </c:pt>
                <c:pt idx="3">
                  <c:v>51000</c:v>
                </c:pt>
                <c:pt idx="4">
                  <c:v>47000</c:v>
                </c:pt>
                <c:pt idx="5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A-4393-9BF1-A4A43A0FB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Gráfico Combinado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'Ex9'!$B$4</c:f>
              <c:strCache>
                <c:ptCount val="1"/>
                <c:pt idx="0">
                  <c:v>Nº Empresas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'Ex9'!$A$5:$A$7</c:f>
              <c:strCache>
                <c:ptCount val="3"/>
                <c:pt idx="0">
                  <c:v>Ano 2022</c:v>
                </c:pt>
                <c:pt idx="1">
                  <c:v>Ano 2023</c:v>
                </c:pt>
                <c:pt idx="2">
                  <c:v>Ano 2024</c:v>
                </c:pt>
              </c:strCache>
            </c:strRef>
          </c:cat>
          <c:val>
            <c:numRef>
              <c:f>'Ex9'!$B$5:$B$7</c:f>
              <c:numCache>
                <c:formatCode>General</c:formatCode>
                <c:ptCount val="3"/>
                <c:pt idx="0">
                  <c:v>1562</c:v>
                </c:pt>
                <c:pt idx="1">
                  <c:v>1751</c:v>
                </c:pt>
                <c:pt idx="2">
                  <c:v>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3-4705-8CAB-0DF487DD9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462880"/>
        <c:axId val="670462400"/>
      </c:barChart>
      <c:lineChart>
        <c:grouping val="standard"/>
        <c:varyColors val="0"/>
        <c:ser>
          <c:idx val="1"/>
          <c:order val="1"/>
          <c:tx>
            <c:strRef>
              <c:f>'Ex9'!$C$4</c:f>
              <c:strCache>
                <c:ptCount val="1"/>
                <c:pt idx="0">
                  <c:v>Volume Facturação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'Ex9'!$A$5:$A$7</c:f>
              <c:strCache>
                <c:ptCount val="3"/>
                <c:pt idx="0">
                  <c:v>Ano 2022</c:v>
                </c:pt>
                <c:pt idx="1">
                  <c:v>Ano 2023</c:v>
                </c:pt>
                <c:pt idx="2">
                  <c:v>Ano 2024</c:v>
                </c:pt>
              </c:strCache>
            </c:strRef>
          </c:cat>
          <c:val>
            <c:numRef>
              <c:f>'Ex9'!$C$5:$C$7</c:f>
              <c:numCache>
                <c:formatCode>_-* #,##0.0\ [$€-816]_-;\-* #,##0.0\ [$€-816]_-;_-* "-"?\ [$€-816]_-;_-@_-</c:formatCode>
                <c:ptCount val="3"/>
                <c:pt idx="0">
                  <c:v>150323.23000000001</c:v>
                </c:pt>
                <c:pt idx="1">
                  <c:v>230151.1</c:v>
                </c:pt>
                <c:pt idx="2">
                  <c:v>542023.69999999995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3-4705-8CAB-0DF487DD9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472960"/>
        <c:axId val="670476320"/>
      </c:lineChart>
      <c:catAx>
        <c:axId val="67047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0476320"/>
        <c:auto val="1"/>
        <c:lblAlgn val="ctr"/>
        <c:lblOffset val="100"/>
        <c:noMultiLvlLbl val="0"/>
      </c:catAx>
      <c:valAx>
        <c:axId val="6704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\ [$€-816]_-;\-* #,##0.0\ [$€-816]_-;_-* &quot;-&quot;?\ [$€-816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0472960"/>
        <c:crossBetween val="between"/>
      </c:valAx>
      <c:valAx>
        <c:axId val="67046240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0462880"/>
        <c:crosses val="max"/>
        <c:crossBetween val="between"/>
      </c:valAx>
      <c:catAx>
        <c:axId val="670462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04624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Gráfico Combinado</a:t>
            </a:r>
          </a:p>
        </c:rich>
      </c:tx>
      <c:layout>
        <c:manualLayout>
          <c:xMode val="edge"/>
          <c:yMode val="edge"/>
          <c:x val="0.3212152230971129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'Ex9'!$B$14</c:f>
              <c:strCache>
                <c:ptCount val="1"/>
                <c:pt idx="0">
                  <c:v>SUBTOTAL PROJETADO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'Ex9'!$A$15:$A$24</c:f>
              <c:strCache>
                <c:ptCount val="10"/>
                <c:pt idx="0">
                  <c:v>Local</c:v>
                </c:pt>
                <c:pt idx="1">
                  <c:v>Viagens</c:v>
                </c:pt>
                <c:pt idx="2">
                  <c:v>Relações Públicas</c:v>
                </c:pt>
                <c:pt idx="3">
                  <c:v>Decoração</c:v>
                </c:pt>
                <c:pt idx="4">
                  <c:v>Programação Evento</c:v>
                </c:pt>
                <c:pt idx="5">
                  <c:v>Meios Publicitários</c:v>
                </c:pt>
                <c:pt idx="6">
                  <c:v>Publicidade</c:v>
                </c:pt>
                <c:pt idx="7">
                  <c:v>Serviço Bar</c:v>
                </c:pt>
                <c:pt idx="8">
                  <c:v>Outros</c:v>
                </c:pt>
                <c:pt idx="9">
                  <c:v>Total</c:v>
                </c:pt>
              </c:strCache>
            </c:strRef>
          </c:cat>
          <c:val>
            <c:numRef>
              <c:f>'Ex9'!$B$15:$B$24</c:f>
              <c:numCache>
                <c:formatCode>_-* #,##0.00\ [$€-816]_-;\-* #,##0.00\ [$€-816]_-;_-* "-"??\ [$€-816]_-;_-@_-</c:formatCode>
                <c:ptCount val="10"/>
                <c:pt idx="0">
                  <c:v>1500</c:v>
                </c:pt>
                <c:pt idx="1">
                  <c:v>1600</c:v>
                </c:pt>
                <c:pt idx="2">
                  <c:v>1250</c:v>
                </c:pt>
                <c:pt idx="3">
                  <c:v>300</c:v>
                </c:pt>
                <c:pt idx="4">
                  <c:v>2000</c:v>
                </c:pt>
                <c:pt idx="5">
                  <c:v>350</c:v>
                </c:pt>
                <c:pt idx="6">
                  <c:v>1400</c:v>
                </c:pt>
                <c:pt idx="7">
                  <c:v>500</c:v>
                </c:pt>
                <c:pt idx="8">
                  <c:v>600</c:v>
                </c:pt>
                <c:pt idx="9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4-479A-9627-7A8C554E2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526240"/>
        <c:axId val="670541600"/>
      </c:barChart>
      <c:lineChart>
        <c:grouping val="standard"/>
        <c:varyColors val="0"/>
        <c:ser>
          <c:idx val="1"/>
          <c:order val="1"/>
          <c:tx>
            <c:strRef>
              <c:f>'Ex9'!$C$14</c:f>
              <c:strCache>
                <c:ptCount val="1"/>
                <c:pt idx="0">
                  <c:v>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'Ex9'!$A$15:$A$24</c:f>
              <c:strCache>
                <c:ptCount val="10"/>
                <c:pt idx="0">
                  <c:v>Local</c:v>
                </c:pt>
                <c:pt idx="1">
                  <c:v>Viagens</c:v>
                </c:pt>
                <c:pt idx="2">
                  <c:v>Relações Públicas</c:v>
                </c:pt>
                <c:pt idx="3">
                  <c:v>Decoração</c:v>
                </c:pt>
                <c:pt idx="4">
                  <c:v>Programação Evento</c:v>
                </c:pt>
                <c:pt idx="5">
                  <c:v>Meios Publicitários</c:v>
                </c:pt>
                <c:pt idx="6">
                  <c:v>Publicidade</c:v>
                </c:pt>
                <c:pt idx="7">
                  <c:v>Serviço Bar</c:v>
                </c:pt>
                <c:pt idx="8">
                  <c:v>Outros</c:v>
                </c:pt>
                <c:pt idx="9">
                  <c:v>Total</c:v>
                </c:pt>
              </c:strCache>
            </c:strRef>
          </c:cat>
          <c:val>
            <c:numRef>
              <c:f>'Ex9'!$C$15:$C$24</c:f>
              <c:numCache>
                <c:formatCode>0%</c:formatCode>
                <c:ptCount val="10"/>
                <c:pt idx="0">
                  <c:v>0.15789473684210525</c:v>
                </c:pt>
                <c:pt idx="1">
                  <c:v>0.16842105263157894</c:v>
                </c:pt>
                <c:pt idx="2">
                  <c:v>0.13157894736842105</c:v>
                </c:pt>
                <c:pt idx="3">
                  <c:v>3.1578947368421054E-2</c:v>
                </c:pt>
                <c:pt idx="4">
                  <c:v>0.21052631578947367</c:v>
                </c:pt>
                <c:pt idx="5">
                  <c:v>3.6842105263157891E-2</c:v>
                </c:pt>
                <c:pt idx="6">
                  <c:v>0.14736842105263157</c:v>
                </c:pt>
                <c:pt idx="7">
                  <c:v>5.2631578947368418E-2</c:v>
                </c:pt>
                <c:pt idx="8">
                  <c:v>6.3157894736842107E-2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4-479A-9627-7A8C554E2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520480"/>
        <c:axId val="670525760"/>
      </c:lineChart>
      <c:catAx>
        <c:axId val="67052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0541600"/>
        <c:auto val="1"/>
        <c:lblAlgn val="ctr"/>
        <c:lblOffset val="100"/>
        <c:noMultiLvlLbl val="0"/>
      </c:catAx>
      <c:valAx>
        <c:axId val="6705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0\ [$€-816]_-;\-* #,##0.00\ [$€-816]_-;_-* &quot;-&quot;??\ [$€-816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0526240"/>
        <c:crossBetween val="between"/>
      </c:valAx>
      <c:valAx>
        <c:axId val="6705257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0520480"/>
        <c:crosses val="max"/>
        <c:crossBetween val="between"/>
      </c:valAx>
      <c:catAx>
        <c:axId val="670520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05257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509220</xdr:colOff>
      <xdr:row>3</xdr:row>
      <xdr:rowOff>101112</xdr:rowOff>
    </xdr:from>
    <xdr:to>
      <xdr:col>11</xdr:col>
      <xdr:colOff>18316</xdr:colOff>
      <xdr:row>14</xdr:row>
      <xdr:rowOff>126023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E56C8B-CF5C-9B52-7402-8342467BF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563218</xdr:colOff>
      <xdr:row>3</xdr:row>
      <xdr:rowOff>110987</xdr:rowOff>
    </xdr:from>
    <xdr:to>
      <xdr:col>11</xdr:col>
      <xdr:colOff>231914</xdr:colOff>
      <xdr:row>16</xdr:row>
      <xdr:rowOff>96078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884507-14F1-2EDF-173C-AF89FC80C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588065</xdr:colOff>
      <xdr:row>17</xdr:row>
      <xdr:rowOff>77856</xdr:rowOff>
    </xdr:from>
    <xdr:to>
      <xdr:col>11</xdr:col>
      <xdr:colOff>256761</xdr:colOff>
      <xdr:row>29</xdr:row>
      <xdr:rowOff>178904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B21446-D60C-FC17-BDF6-CF15A2D97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16FC-F9C0-4292-92ED-15BFBFBE04C4}">
  <dimension ref="A1:L34"/>
  <sheetViews>
    <sheetView zoomScale="110" zoomScaleNormal="110" workbookViewId="0">
      <selection activeCell="L12" sqref="L12"/>
    </sheetView>
  </sheetViews>
  <sheetFormatPr defaultRowHeight="15" x14ac:dyDescent="0.25"/>
  <cols>
    <col min="1" max="1" width="13.28515625" customWidth="1"/>
    <col min="2" max="2" width="17.28515625" customWidth="1"/>
    <col min="3" max="3" width="20.28515625" customWidth="1"/>
    <col min="4" max="4" width="2.42578125" customWidth="1"/>
    <col min="6" max="6" width="18.7109375" customWidth="1"/>
    <col min="7" max="7" width="20.42578125" customWidth="1"/>
    <col min="8" max="8" width="3" customWidth="1"/>
    <col min="9" max="9" width="2.7109375" customWidth="1"/>
    <col min="10" max="10" width="16.28515625" bestFit="1" customWidth="1"/>
    <col min="11" max="11" width="2.42578125" customWidth="1"/>
    <col min="12" max="12" width="30.140625" customWidth="1"/>
  </cols>
  <sheetData>
    <row r="1" spans="1:12" ht="6.75" customHeight="1" x14ac:dyDescent="0.25"/>
    <row r="2" spans="1:12" ht="15.75" x14ac:dyDescent="0.25">
      <c r="A2" s="64" t="s">
        <v>156</v>
      </c>
      <c r="F2" s="65" t="s">
        <v>157</v>
      </c>
    </row>
    <row r="3" spans="1:12" ht="4.5" customHeight="1" x14ac:dyDescent="0.25"/>
    <row r="4" spans="1:12" ht="18.75" x14ac:dyDescent="0.3">
      <c r="A4" s="66" t="s">
        <v>158</v>
      </c>
      <c r="B4" s="67" t="s">
        <v>159</v>
      </c>
      <c r="C4" s="67" t="s">
        <v>160</v>
      </c>
      <c r="E4" s="64" t="s">
        <v>161</v>
      </c>
      <c r="G4" s="68" t="s">
        <v>162</v>
      </c>
    </row>
    <row r="5" spans="1:12" x14ac:dyDescent="0.25">
      <c r="A5" s="126">
        <v>45778</v>
      </c>
      <c r="B5" s="69"/>
      <c r="C5" s="70" t="s">
        <v>163</v>
      </c>
    </row>
    <row r="6" spans="1:12" ht="15.75" x14ac:dyDescent="0.25">
      <c r="A6" s="126">
        <v>45779</v>
      </c>
      <c r="B6" s="69">
        <v>1250</v>
      </c>
      <c r="C6" s="70" t="s">
        <v>164</v>
      </c>
      <c r="E6" t="s">
        <v>165</v>
      </c>
      <c r="G6" s="71">
        <f>MAX(B5:B32)</f>
        <v>15000</v>
      </c>
      <c r="J6" s="72"/>
      <c r="L6" s="65"/>
    </row>
    <row r="7" spans="1:12" ht="15.75" x14ac:dyDescent="0.25">
      <c r="A7" s="126">
        <v>45780</v>
      </c>
      <c r="B7" s="69">
        <v>5420</v>
      </c>
      <c r="C7" s="70" t="s">
        <v>166</v>
      </c>
      <c r="G7" s="30"/>
      <c r="J7" s="73"/>
    </row>
    <row r="8" spans="1:12" ht="15.75" x14ac:dyDescent="0.25">
      <c r="A8" s="126">
        <v>45781</v>
      </c>
      <c r="B8" s="69">
        <v>12000</v>
      </c>
      <c r="C8" s="70" t="s">
        <v>167</v>
      </c>
      <c r="E8" t="s">
        <v>168</v>
      </c>
      <c r="G8" s="71">
        <f>MIN(B5:B32)</f>
        <v>789</v>
      </c>
      <c r="J8" s="72"/>
    </row>
    <row r="9" spans="1:12" ht="15.75" x14ac:dyDescent="0.25">
      <c r="A9" s="126">
        <v>45782</v>
      </c>
      <c r="B9" s="69">
        <v>7000</v>
      </c>
      <c r="C9" s="70" t="s">
        <v>167</v>
      </c>
      <c r="G9" s="30"/>
      <c r="J9" s="73"/>
      <c r="L9" s="65"/>
    </row>
    <row r="10" spans="1:12" ht="15.75" x14ac:dyDescent="0.25">
      <c r="A10" s="126">
        <v>45783</v>
      </c>
      <c r="B10" s="69"/>
      <c r="C10" s="70" t="s">
        <v>169</v>
      </c>
      <c r="E10" t="s">
        <v>170</v>
      </c>
      <c r="G10" s="74">
        <f>COUNT(B5:B32)</f>
        <v>24</v>
      </c>
      <c r="I10" s="65"/>
      <c r="J10" s="128" t="s">
        <v>234</v>
      </c>
    </row>
    <row r="11" spans="1:12" ht="15.75" x14ac:dyDescent="0.25">
      <c r="A11" s="126">
        <v>45784</v>
      </c>
      <c r="B11" s="69">
        <v>9800</v>
      </c>
      <c r="C11" s="70" t="s">
        <v>167</v>
      </c>
      <c r="G11" s="30"/>
      <c r="I11" s="65"/>
      <c r="J11" s="73"/>
    </row>
    <row r="12" spans="1:12" ht="15.75" x14ac:dyDescent="0.25">
      <c r="A12" s="126">
        <v>45785</v>
      </c>
      <c r="B12" s="69">
        <v>789</v>
      </c>
      <c r="C12" s="70" t="s">
        <v>163</v>
      </c>
      <c r="E12" t="s">
        <v>171</v>
      </c>
      <c r="G12" s="74">
        <f>COUNTBLANK(B5:B32)</f>
        <v>4</v>
      </c>
      <c r="J12" s="128" t="s">
        <v>235</v>
      </c>
      <c r="L12" t="s">
        <v>236</v>
      </c>
    </row>
    <row r="13" spans="1:12" ht="15.75" x14ac:dyDescent="0.25">
      <c r="A13" s="126">
        <v>45786</v>
      </c>
      <c r="B13" s="69">
        <v>6780</v>
      </c>
      <c r="C13" s="70" t="s">
        <v>166</v>
      </c>
      <c r="I13" s="65"/>
      <c r="J13" s="73"/>
    </row>
    <row r="14" spans="1:12" x14ac:dyDescent="0.25">
      <c r="A14" s="126">
        <v>45787</v>
      </c>
      <c r="B14" s="69">
        <v>2850</v>
      </c>
      <c r="C14" s="70" t="s">
        <v>164</v>
      </c>
      <c r="J14" s="72"/>
    </row>
    <row r="15" spans="1:12" ht="15.75" x14ac:dyDescent="0.25">
      <c r="A15" s="126">
        <v>45788</v>
      </c>
      <c r="B15" s="69">
        <v>1200</v>
      </c>
      <c r="C15" s="70" t="s">
        <v>164</v>
      </c>
      <c r="J15" s="73"/>
    </row>
    <row r="16" spans="1:12" x14ac:dyDescent="0.25">
      <c r="A16" s="126">
        <v>45789</v>
      </c>
      <c r="B16" s="69">
        <v>3000</v>
      </c>
      <c r="C16" s="70" t="s">
        <v>169</v>
      </c>
      <c r="F16" s="75"/>
      <c r="J16" s="72"/>
    </row>
    <row r="17" spans="1:10" ht="15.75" x14ac:dyDescent="0.25">
      <c r="A17" s="126">
        <v>45790</v>
      </c>
      <c r="B17" s="69">
        <v>15000</v>
      </c>
      <c r="C17" s="70" t="s">
        <v>166</v>
      </c>
      <c r="F17" s="75"/>
      <c r="J17" s="73"/>
    </row>
    <row r="18" spans="1:10" x14ac:dyDescent="0.25">
      <c r="A18" s="126">
        <v>45791</v>
      </c>
      <c r="B18" s="69">
        <v>2430</v>
      </c>
      <c r="C18" s="70" t="s">
        <v>164</v>
      </c>
      <c r="J18" s="72"/>
    </row>
    <row r="19" spans="1:10" ht="15.75" x14ac:dyDescent="0.25">
      <c r="A19" s="126">
        <v>45792</v>
      </c>
      <c r="B19" s="69">
        <v>4300</v>
      </c>
      <c r="C19" s="70" t="s">
        <v>169</v>
      </c>
      <c r="J19" s="73"/>
    </row>
    <row r="20" spans="1:10" x14ac:dyDescent="0.25">
      <c r="A20" s="126">
        <v>45793</v>
      </c>
      <c r="B20" s="69">
        <v>5900</v>
      </c>
      <c r="C20" s="70" t="s">
        <v>166</v>
      </c>
      <c r="J20" s="72"/>
    </row>
    <row r="21" spans="1:10" ht="15.75" x14ac:dyDescent="0.25">
      <c r="A21" s="126">
        <v>45794</v>
      </c>
      <c r="B21" s="69">
        <v>4576</v>
      </c>
      <c r="C21" s="70" t="s">
        <v>169</v>
      </c>
      <c r="J21" s="73"/>
    </row>
    <row r="22" spans="1:10" x14ac:dyDescent="0.25">
      <c r="A22" s="126">
        <v>45795</v>
      </c>
      <c r="B22" s="69">
        <v>989</v>
      </c>
      <c r="C22" s="70" t="s">
        <v>163</v>
      </c>
    </row>
    <row r="23" spans="1:10" x14ac:dyDescent="0.25">
      <c r="A23" s="126">
        <v>45796</v>
      </c>
      <c r="B23" s="11">
        <v>6430</v>
      </c>
      <c r="C23" s="70" t="s">
        <v>166</v>
      </c>
    </row>
    <row r="24" spans="1:10" x14ac:dyDescent="0.25">
      <c r="A24" s="126">
        <v>45797</v>
      </c>
      <c r="B24" s="11">
        <v>3200</v>
      </c>
      <c r="C24" s="70" t="s">
        <v>169</v>
      </c>
    </row>
    <row r="25" spans="1:10" x14ac:dyDescent="0.25">
      <c r="A25" s="126">
        <v>45798</v>
      </c>
      <c r="B25" s="11">
        <v>2390</v>
      </c>
      <c r="C25" s="70" t="s">
        <v>164</v>
      </c>
    </row>
    <row r="26" spans="1:10" x14ac:dyDescent="0.25">
      <c r="A26" s="126">
        <v>45799</v>
      </c>
      <c r="B26" s="11"/>
      <c r="C26" s="70" t="s">
        <v>163</v>
      </c>
      <c r="F26" s="72"/>
    </row>
    <row r="27" spans="1:10" x14ac:dyDescent="0.25">
      <c r="A27" s="126">
        <v>45800</v>
      </c>
      <c r="B27" s="11">
        <v>1270</v>
      </c>
      <c r="C27" s="70" t="s">
        <v>164</v>
      </c>
    </row>
    <row r="28" spans="1:10" x14ac:dyDescent="0.25">
      <c r="A28" s="126">
        <v>45801</v>
      </c>
      <c r="B28" s="11"/>
      <c r="C28" s="70" t="s">
        <v>163</v>
      </c>
    </row>
    <row r="29" spans="1:10" x14ac:dyDescent="0.25">
      <c r="A29" s="126">
        <v>45802</v>
      </c>
      <c r="B29" s="11">
        <v>2890</v>
      </c>
      <c r="C29" s="70" t="s">
        <v>164</v>
      </c>
      <c r="F29" s="76"/>
    </row>
    <row r="30" spans="1:10" x14ac:dyDescent="0.25">
      <c r="A30" s="126">
        <v>45803</v>
      </c>
      <c r="B30" s="11">
        <v>3400</v>
      </c>
      <c r="C30" s="70" t="s">
        <v>169</v>
      </c>
    </row>
    <row r="31" spans="1:10" x14ac:dyDescent="0.25">
      <c r="A31" s="126">
        <v>45804</v>
      </c>
      <c r="B31" s="11">
        <v>5000</v>
      </c>
      <c r="C31" s="70" t="s">
        <v>166</v>
      </c>
    </row>
    <row r="32" spans="1:10" x14ac:dyDescent="0.25">
      <c r="A32" s="126">
        <v>45805</v>
      </c>
      <c r="B32" s="11">
        <v>1250</v>
      </c>
      <c r="C32" s="70" t="s">
        <v>164</v>
      </c>
    </row>
    <row r="33" spans="1:2" x14ac:dyDescent="0.25">
      <c r="A33" s="127" t="s">
        <v>63</v>
      </c>
      <c r="B33" s="11">
        <f>SUM(B5:B32)</f>
        <v>109114</v>
      </c>
    </row>
    <row r="34" spans="1:2" x14ac:dyDescent="0.25">
      <c r="A34" s="127" t="s">
        <v>172</v>
      </c>
      <c r="B34" s="11">
        <f>AVERAGE(B5:B32)</f>
        <v>4546.416666666667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6732-87B7-4840-8DF3-4B5A0FD86A83}">
  <dimension ref="B1:P24"/>
  <sheetViews>
    <sheetView topLeftCell="B1" zoomScale="130" zoomScaleNormal="130" workbookViewId="0">
      <selection activeCell="M2" sqref="M2"/>
    </sheetView>
  </sheetViews>
  <sheetFormatPr defaultRowHeight="15.75" x14ac:dyDescent="0.25"/>
  <cols>
    <col min="1" max="1" width="2.42578125" customWidth="1"/>
    <col min="2" max="2" width="33.5703125" bestFit="1" customWidth="1"/>
    <col min="3" max="3" width="11.5703125" customWidth="1"/>
    <col min="4" max="4" width="14.85546875" customWidth="1"/>
    <col min="5" max="5" width="19" customWidth="1"/>
    <col min="6" max="6" width="18.140625" customWidth="1"/>
    <col min="10" max="10" width="11.140625" customWidth="1"/>
    <col min="11" max="11" width="9.5703125" style="8" bestFit="1" customWidth="1"/>
    <col min="12" max="12" width="4.42578125" customWidth="1"/>
    <col min="13" max="13" width="3.42578125" customWidth="1"/>
    <col min="15" max="15" width="4.7109375" customWidth="1"/>
  </cols>
  <sheetData>
    <row r="1" spans="2:16" x14ac:dyDescent="0.25">
      <c r="C1" s="136" t="s">
        <v>240</v>
      </c>
      <c r="D1" s="137"/>
      <c r="E1" s="137"/>
    </row>
    <row r="2" spans="2:16" ht="15" x14ac:dyDescent="0.25">
      <c r="B2" s="9" t="s">
        <v>37</v>
      </c>
      <c r="C2" s="9" t="s">
        <v>38</v>
      </c>
      <c r="D2" s="9" t="s">
        <v>155</v>
      </c>
      <c r="E2" s="9" t="s">
        <v>39</v>
      </c>
      <c r="F2" s="9" t="s">
        <v>154</v>
      </c>
      <c r="G2" s="130"/>
      <c r="H2" s="131"/>
      <c r="I2" s="132" t="s">
        <v>237</v>
      </c>
      <c r="J2" s="131"/>
      <c r="K2" s="129"/>
    </row>
    <row r="3" spans="2:16" x14ac:dyDescent="0.25">
      <c r="B3" s="10" t="s">
        <v>40</v>
      </c>
      <c r="C3" s="11">
        <v>4.66</v>
      </c>
      <c r="D3" s="11">
        <v>4.7300000000000004</v>
      </c>
      <c r="E3" s="62">
        <f>D3/$D$22</f>
        <v>4.3209013783949458E-2</v>
      </c>
      <c r="F3" s="61">
        <f>(D3-C3)/C3</f>
        <v>1.5021459227467872E-2</v>
      </c>
    </row>
    <row r="4" spans="2:16" x14ac:dyDescent="0.25">
      <c r="B4" s="10" t="s">
        <v>41</v>
      </c>
      <c r="C4" s="11">
        <v>0.28199999999999997</v>
      </c>
      <c r="D4" s="11">
        <v>0.28589999999999999</v>
      </c>
      <c r="E4" s="62">
        <f t="shared" ref="E4:E20" si="0">D4/$D$22</f>
        <v>2.6117245329452744E-3</v>
      </c>
      <c r="F4" s="61">
        <f t="shared" ref="F4:F20" si="1">(D4-C4)/C4</f>
        <v>1.3829787234042606E-2</v>
      </c>
    </row>
    <row r="5" spans="2:16" x14ac:dyDescent="0.25">
      <c r="B5" s="10" t="s">
        <v>42</v>
      </c>
      <c r="C5" s="11">
        <v>10.119999999999999</v>
      </c>
      <c r="D5" s="11">
        <v>8</v>
      </c>
      <c r="E5" s="62">
        <f t="shared" si="0"/>
        <v>7.3080784412599506E-2</v>
      </c>
      <c r="F5" s="61">
        <f t="shared" si="1"/>
        <v>-0.20948616600790507</v>
      </c>
      <c r="G5" t="s">
        <v>43</v>
      </c>
    </row>
    <row r="6" spans="2:16" x14ac:dyDescent="0.25">
      <c r="B6" s="10" t="s">
        <v>44</v>
      </c>
      <c r="C6" s="11">
        <v>3.3580000000000001</v>
      </c>
      <c r="D6" s="11">
        <v>3.3940000000000001</v>
      </c>
      <c r="E6" s="62">
        <f t="shared" si="0"/>
        <v>3.1004522787045338E-2</v>
      </c>
      <c r="F6" s="61">
        <f t="shared" si="1"/>
        <v>1.072066706372842E-2</v>
      </c>
    </row>
    <row r="7" spans="2:16" x14ac:dyDescent="0.25">
      <c r="B7" s="10" t="s">
        <v>45</v>
      </c>
      <c r="C7" s="11">
        <v>2.7610000000000001</v>
      </c>
      <c r="D7" s="11">
        <v>2.7989999999999999</v>
      </c>
      <c r="E7" s="62">
        <f t="shared" si="0"/>
        <v>2.556913944635825E-2</v>
      </c>
      <c r="F7" s="61">
        <f t="shared" si="1"/>
        <v>1.3763129300977837E-2</v>
      </c>
      <c r="G7" t="s">
        <v>46</v>
      </c>
      <c r="K7" s="12">
        <f>MAX(D3:D20)</f>
        <v>19.7</v>
      </c>
      <c r="M7" s="60"/>
      <c r="N7" s="138" t="s">
        <v>241</v>
      </c>
      <c r="O7" s="139"/>
      <c r="P7" s="139"/>
    </row>
    <row r="8" spans="2:16" x14ac:dyDescent="0.25">
      <c r="B8" s="10" t="s">
        <v>47</v>
      </c>
      <c r="C8" s="11">
        <v>7.23</v>
      </c>
      <c r="D8" s="11">
        <v>7.15</v>
      </c>
      <c r="E8" s="62">
        <f t="shared" si="0"/>
        <v>6.5315951068760814E-2</v>
      </c>
      <c r="F8" s="61">
        <f t="shared" si="1"/>
        <v>-1.1065006915629332E-2</v>
      </c>
    </row>
    <row r="9" spans="2:16" ht="18.75" x14ac:dyDescent="0.3">
      <c r="B9" s="10" t="s">
        <v>48</v>
      </c>
      <c r="C9" s="11">
        <v>14.97</v>
      </c>
      <c r="D9" s="11">
        <v>14.984999999999999</v>
      </c>
      <c r="E9" s="62">
        <f t="shared" si="0"/>
        <v>0.13688944430285044</v>
      </c>
      <c r="F9" s="61">
        <f t="shared" si="1"/>
        <v>1.0020040080159513E-3</v>
      </c>
      <c r="G9" t="s">
        <v>49</v>
      </c>
      <c r="K9" s="45">
        <f>LARGE(D3:D20,2)</f>
        <v>15</v>
      </c>
      <c r="M9" s="13"/>
      <c r="N9" t="s">
        <v>238</v>
      </c>
    </row>
    <row r="10" spans="2:16" x14ac:dyDescent="0.25">
      <c r="B10" s="10" t="s">
        <v>50</v>
      </c>
      <c r="C10" s="11">
        <v>11.8</v>
      </c>
      <c r="D10" s="11">
        <v>12</v>
      </c>
      <c r="E10" s="62">
        <f t="shared" si="0"/>
        <v>0.10962117661889925</v>
      </c>
      <c r="F10" s="61">
        <f t="shared" si="1"/>
        <v>1.6949152542372819E-2</v>
      </c>
    </row>
    <row r="11" spans="2:16" x14ac:dyDescent="0.25">
      <c r="B11" s="10" t="s">
        <v>51</v>
      </c>
      <c r="C11" s="11">
        <v>17.375</v>
      </c>
      <c r="D11" s="11">
        <v>15</v>
      </c>
      <c r="E11" s="62">
        <f t="shared" si="0"/>
        <v>0.13702647077362407</v>
      </c>
      <c r="F11" s="61">
        <f t="shared" si="1"/>
        <v>-0.1366906474820144</v>
      </c>
      <c r="G11" t="s">
        <v>52</v>
      </c>
      <c r="K11" s="12">
        <f>MIN(D3:D20)</f>
        <v>0.23200000000000001</v>
      </c>
      <c r="M11" s="60"/>
      <c r="N11" s="127" t="s">
        <v>242</v>
      </c>
    </row>
    <row r="12" spans="2:16" x14ac:dyDescent="0.25">
      <c r="B12" s="10" t="s">
        <v>53</v>
      </c>
      <c r="C12" s="11">
        <v>3.9950000000000001</v>
      </c>
      <c r="D12" s="11">
        <v>4.0149999999999997</v>
      </c>
      <c r="E12" s="62">
        <f t="shared" si="0"/>
        <v>3.6677418677073373E-2</v>
      </c>
      <c r="F12" s="61">
        <f t="shared" si="1"/>
        <v>5.0062578222777408E-3</v>
      </c>
    </row>
    <row r="13" spans="2:16" ht="18.75" x14ac:dyDescent="0.3">
      <c r="B13" s="10" t="s">
        <v>54</v>
      </c>
      <c r="C13" s="11">
        <v>4.9619999999999997</v>
      </c>
      <c r="D13" s="11">
        <v>5.03</v>
      </c>
      <c r="E13" s="62">
        <f t="shared" si="0"/>
        <v>4.594954319942194E-2</v>
      </c>
      <c r="F13" s="61">
        <f t="shared" si="1"/>
        <v>1.3704151551793733E-2</v>
      </c>
      <c r="G13" t="s">
        <v>55</v>
      </c>
      <c r="K13" s="45">
        <f>SMALL(D3:D20,2)</f>
        <v>0.28589999999999999</v>
      </c>
      <c r="M13" s="13"/>
      <c r="N13" t="s">
        <v>239</v>
      </c>
    </row>
    <row r="14" spans="2:16" x14ac:dyDescent="0.25">
      <c r="B14" s="10" t="s">
        <v>56</v>
      </c>
      <c r="C14" s="11">
        <v>2.98</v>
      </c>
      <c r="D14" s="11">
        <v>2.96</v>
      </c>
      <c r="E14" s="62">
        <f t="shared" si="0"/>
        <v>2.7039890232661814E-2</v>
      </c>
      <c r="F14" s="61">
        <f t="shared" si="1"/>
        <v>-6.7114093959731603E-3</v>
      </c>
    </row>
    <row r="15" spans="2:16" x14ac:dyDescent="0.25">
      <c r="B15" s="10" t="s">
        <v>57</v>
      </c>
      <c r="C15" s="11">
        <v>0.22850000000000001</v>
      </c>
      <c r="D15" s="11">
        <v>0.23200000000000001</v>
      </c>
      <c r="E15" s="62">
        <f t="shared" si="0"/>
        <v>2.1193427479653856E-3</v>
      </c>
      <c r="F15" s="61">
        <f t="shared" si="1"/>
        <v>1.5317286652078788E-2</v>
      </c>
    </row>
    <row r="16" spans="2:16" x14ac:dyDescent="0.25">
      <c r="B16" s="10" t="s">
        <v>58</v>
      </c>
      <c r="C16" s="11">
        <v>2.492</v>
      </c>
      <c r="D16" s="11">
        <v>2.4500000000000002</v>
      </c>
      <c r="E16" s="62">
        <f t="shared" si="0"/>
        <v>2.2380990226358598E-2</v>
      </c>
      <c r="F16" s="61">
        <f t="shared" si="1"/>
        <v>-1.685393258426959E-2</v>
      </c>
    </row>
    <row r="17" spans="2:6" x14ac:dyDescent="0.25">
      <c r="B17" s="10" t="s">
        <v>59</v>
      </c>
      <c r="C17" s="11">
        <v>19.38</v>
      </c>
      <c r="D17" s="11">
        <v>19.7</v>
      </c>
      <c r="E17" s="62">
        <f t="shared" si="0"/>
        <v>0.17996143161602626</v>
      </c>
      <c r="F17" s="61">
        <f t="shared" si="1"/>
        <v>1.6511867905056776E-2</v>
      </c>
    </row>
    <row r="18" spans="2:6" x14ac:dyDescent="0.25">
      <c r="B18" s="10" t="s">
        <v>60</v>
      </c>
      <c r="C18" s="11">
        <v>1.0660000000000001</v>
      </c>
      <c r="D18" s="11">
        <v>1.05</v>
      </c>
      <c r="E18" s="62">
        <f t="shared" si="0"/>
        <v>9.5918529541536846E-3</v>
      </c>
      <c r="F18" s="61">
        <f t="shared" si="1"/>
        <v>-1.5009380863039412E-2</v>
      </c>
    </row>
    <row r="19" spans="2:6" x14ac:dyDescent="0.25">
      <c r="B19" s="10" t="s">
        <v>61</v>
      </c>
      <c r="C19" s="11">
        <v>1.1950000000000001</v>
      </c>
      <c r="D19" s="11">
        <v>1.2110000000000001</v>
      </c>
      <c r="E19" s="62">
        <f t="shared" si="0"/>
        <v>1.106260374045725E-2</v>
      </c>
      <c r="F19" s="61">
        <f t="shared" si="1"/>
        <v>1.3389121338912145E-2</v>
      </c>
    </row>
    <row r="20" spans="2:6" x14ac:dyDescent="0.25">
      <c r="B20" s="10" t="s">
        <v>62</v>
      </c>
      <c r="C20" s="11">
        <v>4.41</v>
      </c>
      <c r="D20" s="11">
        <v>4.476</v>
      </c>
      <c r="E20" s="62">
        <f t="shared" si="0"/>
        <v>4.0888698878849418E-2</v>
      </c>
      <c r="F20" s="61">
        <f t="shared" si="1"/>
        <v>1.4965986394557786E-2</v>
      </c>
    </row>
    <row r="22" spans="2:6" x14ac:dyDescent="0.25">
      <c r="B22" s="10" t="s">
        <v>63</v>
      </c>
      <c r="C22" s="14">
        <f t="shared" ref="C22:D22" si="2">SUM(C3:C21)</f>
        <v>113.2645</v>
      </c>
      <c r="D22" s="14">
        <f t="shared" si="2"/>
        <v>109.46789999999999</v>
      </c>
      <c r="E22" s="10"/>
    </row>
    <row r="24" spans="2:6" x14ac:dyDescent="0.25">
      <c r="C24" s="60"/>
    </row>
  </sheetData>
  <mergeCells count="2">
    <mergeCell ref="C1:E1"/>
    <mergeCell ref="N7:P7"/>
  </mergeCells>
  <conditionalFormatting sqref="C3:C20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3:D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{EC7E403A-4E5C-4987-8B79-99B0C8A2B046}</x14:id>
        </ext>
      </extLst>
    </cfRule>
  </conditionalFormatting>
  <conditionalFormatting sqref="F3:F20">
    <cfRule type="cellIs" dxfId="0" priority="3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E403A-4E5C-4987-8B79-99B0C8A2B0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3BC0-A638-47CE-8C70-C7D7C7830986}">
  <dimension ref="A1:F11"/>
  <sheetViews>
    <sheetView topLeftCell="A6" zoomScale="130" zoomScaleNormal="130" workbookViewId="0">
      <selection activeCell="D8" sqref="D8"/>
    </sheetView>
  </sheetViews>
  <sheetFormatPr defaultRowHeight="18.75" x14ac:dyDescent="0.3"/>
  <cols>
    <col min="1" max="1" width="9.140625" style="15"/>
    <col min="2" max="2" width="17.140625" style="15" customWidth="1"/>
    <col min="3" max="3" width="16.42578125" style="16" bestFit="1" customWidth="1"/>
    <col min="4" max="4" width="12.28515625" style="16" customWidth="1"/>
    <col min="5" max="5" width="13.28515625" style="16" customWidth="1"/>
    <col min="6" max="6" width="17" style="15" customWidth="1"/>
    <col min="7" max="16384" width="9.140625" style="15"/>
  </cols>
  <sheetData>
    <row r="1" spans="1:6" x14ac:dyDescent="0.3">
      <c r="A1" s="13" t="s">
        <v>64</v>
      </c>
    </row>
    <row r="2" spans="1:6" x14ac:dyDescent="0.3">
      <c r="B2" s="17"/>
      <c r="C2" s="18"/>
      <c r="D2" s="18"/>
      <c r="E2" s="18"/>
      <c r="F2" s="17"/>
    </row>
    <row r="3" spans="1:6" x14ac:dyDescent="0.3">
      <c r="B3" s="13" t="s">
        <v>65</v>
      </c>
      <c r="C3" s="19"/>
      <c r="D3" s="15"/>
      <c r="E3" s="18"/>
      <c r="F3" s="17"/>
    </row>
    <row r="4" spans="1:6" ht="19.5" thickBot="1" x14ac:dyDescent="0.35">
      <c r="B4" s="13"/>
      <c r="C4" s="19"/>
      <c r="D4" s="15"/>
      <c r="E4" s="18"/>
      <c r="F4" s="17"/>
    </row>
    <row r="5" spans="1:6" ht="19.5" thickBot="1" x14ac:dyDescent="0.35">
      <c r="B5" s="20" t="s">
        <v>66</v>
      </c>
      <c r="C5" s="20" t="s">
        <v>137</v>
      </c>
      <c r="D5" s="15"/>
    </row>
    <row r="6" spans="1:6" ht="19.5" thickBot="1" x14ac:dyDescent="0.35">
      <c r="B6" s="21" t="s">
        <v>67</v>
      </c>
      <c r="C6" s="22">
        <v>50000</v>
      </c>
      <c r="D6" s="15"/>
    </row>
    <row r="7" spans="1:6" ht="19.5" thickBot="1" x14ac:dyDescent="0.35">
      <c r="B7" s="21" t="s">
        <v>68</v>
      </c>
      <c r="C7" s="22">
        <v>57000</v>
      </c>
      <c r="D7" s="15"/>
    </row>
    <row r="8" spans="1:6" ht="19.5" thickBot="1" x14ac:dyDescent="0.35">
      <c r="B8" s="21" t="s">
        <v>69</v>
      </c>
      <c r="C8" s="22">
        <v>60000</v>
      </c>
      <c r="D8" s="15"/>
    </row>
    <row r="9" spans="1:6" ht="19.5" thickBot="1" x14ac:dyDescent="0.35">
      <c r="B9" s="21" t="s">
        <v>70</v>
      </c>
      <c r="C9" s="22">
        <v>51000</v>
      </c>
      <c r="D9" s="15"/>
    </row>
    <row r="10" spans="1:6" ht="19.5" thickBot="1" x14ac:dyDescent="0.35">
      <c r="B10" s="21" t="s">
        <v>71</v>
      </c>
      <c r="C10" s="22">
        <v>47000</v>
      </c>
      <c r="D10" s="15"/>
    </row>
    <row r="11" spans="1:6" ht="19.5" thickBot="1" x14ac:dyDescent="0.35">
      <c r="B11" s="21" t="s">
        <v>72</v>
      </c>
      <c r="C11" s="22">
        <v>46000</v>
      </c>
      <c r="D11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8A0B-DAA2-4D1C-8945-9AF22E26C0C5}">
  <dimension ref="A1:F22"/>
  <sheetViews>
    <sheetView zoomScaleNormal="100" workbookViewId="0">
      <selection activeCell="J5" sqref="J5"/>
    </sheetView>
  </sheetViews>
  <sheetFormatPr defaultRowHeight="15" x14ac:dyDescent="0.25"/>
  <cols>
    <col min="1" max="1" width="15.42578125" bestFit="1" customWidth="1"/>
    <col min="2" max="5" width="12.5703125" bestFit="1" customWidth="1"/>
    <col min="6" max="6" width="43.140625" customWidth="1"/>
  </cols>
  <sheetData>
    <row r="1" spans="1:6" x14ac:dyDescent="0.25">
      <c r="A1" s="31" t="s">
        <v>82</v>
      </c>
    </row>
    <row r="2" spans="1:6" x14ac:dyDescent="0.25">
      <c r="A2" s="32" t="s">
        <v>83</v>
      </c>
      <c r="B2" s="32" t="s">
        <v>84</v>
      </c>
      <c r="C2" s="32" t="s">
        <v>85</v>
      </c>
      <c r="D2" s="32" t="s">
        <v>86</v>
      </c>
      <c r="E2" s="32" t="s">
        <v>87</v>
      </c>
      <c r="F2" s="32" t="s">
        <v>88</v>
      </c>
    </row>
    <row r="3" spans="1:6" ht="21" customHeight="1" x14ac:dyDescent="0.25">
      <c r="A3" s="10" t="s">
        <v>89</v>
      </c>
      <c r="B3" s="11">
        <v>14726</v>
      </c>
      <c r="C3" s="11">
        <v>7298</v>
      </c>
      <c r="D3" s="11">
        <v>13977</v>
      </c>
      <c r="E3" s="11">
        <v>8056</v>
      </c>
      <c r="F3" s="10"/>
    </row>
    <row r="4" spans="1:6" ht="21" customHeight="1" x14ac:dyDescent="0.25">
      <c r="A4" s="10" t="s">
        <v>90</v>
      </c>
      <c r="B4" s="11">
        <v>11628</v>
      </c>
      <c r="C4" s="11">
        <v>9212</v>
      </c>
      <c r="D4" s="11">
        <v>7591</v>
      </c>
      <c r="E4" s="11">
        <v>8879</v>
      </c>
      <c r="F4" s="10"/>
    </row>
    <row r="5" spans="1:6" ht="21" customHeight="1" x14ac:dyDescent="0.25">
      <c r="A5" s="10" t="s">
        <v>91</v>
      </c>
      <c r="B5" s="11">
        <v>13224</v>
      </c>
      <c r="C5" s="11">
        <v>11049</v>
      </c>
      <c r="D5" s="11">
        <v>12959</v>
      </c>
      <c r="E5" s="11">
        <v>6252</v>
      </c>
      <c r="F5" s="10"/>
    </row>
    <row r="6" spans="1:6" ht="21" customHeight="1" x14ac:dyDescent="0.25">
      <c r="A6" s="10" t="s">
        <v>92</v>
      </c>
      <c r="B6" s="11">
        <v>6633</v>
      </c>
      <c r="C6" s="11">
        <v>7719</v>
      </c>
      <c r="D6" s="11">
        <v>8291</v>
      </c>
      <c r="E6" s="11">
        <v>8113</v>
      </c>
      <c r="F6" s="10"/>
    </row>
    <row r="7" spans="1:6" ht="21" customHeight="1" x14ac:dyDescent="0.25">
      <c r="A7" s="10" t="s">
        <v>93</v>
      </c>
      <c r="B7" s="11">
        <v>6425</v>
      </c>
      <c r="C7" s="11">
        <v>12721</v>
      </c>
      <c r="D7" s="11">
        <v>11098</v>
      </c>
      <c r="E7" s="11">
        <v>11852</v>
      </c>
      <c r="F7" s="10"/>
    </row>
    <row r="8" spans="1:6" ht="21" customHeight="1" x14ac:dyDescent="0.25">
      <c r="A8" s="10" t="s">
        <v>94</v>
      </c>
      <c r="B8" s="11">
        <v>12330</v>
      </c>
      <c r="C8" s="11">
        <v>12924</v>
      </c>
      <c r="D8" s="11">
        <v>13979</v>
      </c>
      <c r="E8" s="11">
        <v>6973</v>
      </c>
      <c r="F8" s="10"/>
    </row>
    <row r="9" spans="1:6" ht="21" customHeight="1" x14ac:dyDescent="0.25">
      <c r="A9" s="10" t="s">
        <v>95</v>
      </c>
      <c r="B9" s="11">
        <v>11228</v>
      </c>
      <c r="C9" s="11">
        <v>9491</v>
      </c>
      <c r="D9" s="11">
        <v>8570</v>
      </c>
      <c r="E9" s="11">
        <v>7704</v>
      </c>
      <c r="F9" s="10"/>
    </row>
    <row r="10" spans="1:6" ht="21" customHeight="1" x14ac:dyDescent="0.25">
      <c r="A10" s="10" t="s">
        <v>96</v>
      </c>
      <c r="B10" s="11">
        <v>14127</v>
      </c>
      <c r="C10" s="11">
        <v>7665</v>
      </c>
      <c r="D10" s="11">
        <v>8671</v>
      </c>
      <c r="E10" s="11">
        <v>7322</v>
      </c>
      <c r="F10" s="10"/>
    </row>
    <row r="11" spans="1:6" ht="21" customHeight="1" x14ac:dyDescent="0.25">
      <c r="A11" s="10" t="s">
        <v>97</v>
      </c>
      <c r="B11" s="11">
        <v>14898</v>
      </c>
      <c r="C11" s="11">
        <v>7702</v>
      </c>
      <c r="D11" s="11">
        <v>11067</v>
      </c>
      <c r="E11" s="11">
        <v>8478</v>
      </c>
      <c r="F11" s="10"/>
    </row>
    <row r="12" spans="1:6" ht="21" customHeight="1" x14ac:dyDescent="0.25">
      <c r="A12" s="10" t="s">
        <v>98</v>
      </c>
      <c r="B12" s="11">
        <v>6668</v>
      </c>
      <c r="C12" s="11">
        <v>12893</v>
      </c>
      <c r="D12" s="11">
        <v>11093</v>
      </c>
      <c r="E12" s="11">
        <v>13900</v>
      </c>
      <c r="F12" s="10"/>
    </row>
    <row r="13" spans="1:6" ht="21" customHeight="1" x14ac:dyDescent="0.25">
      <c r="A13" s="10" t="s">
        <v>99</v>
      </c>
      <c r="B13" s="11">
        <v>8648</v>
      </c>
      <c r="C13" s="11">
        <v>11443</v>
      </c>
      <c r="D13" s="11">
        <v>10367</v>
      </c>
      <c r="E13" s="11">
        <v>8446</v>
      </c>
      <c r="F13" s="10"/>
    </row>
    <row r="14" spans="1:6" ht="21" customHeight="1" x14ac:dyDescent="0.25">
      <c r="A14" s="10" t="s">
        <v>100</v>
      </c>
      <c r="B14" s="11">
        <v>10033</v>
      </c>
      <c r="C14" s="11">
        <v>8510</v>
      </c>
      <c r="D14" s="11">
        <v>10430</v>
      </c>
      <c r="E14" s="11">
        <v>9799</v>
      </c>
      <c r="F14" s="10"/>
    </row>
    <row r="15" spans="1:6" ht="21" customHeight="1" x14ac:dyDescent="0.25">
      <c r="A15" s="10" t="s">
        <v>101</v>
      </c>
      <c r="B15" s="11">
        <v>12001</v>
      </c>
      <c r="C15" s="11">
        <v>9170</v>
      </c>
      <c r="D15" s="11">
        <v>6862</v>
      </c>
      <c r="E15" s="11">
        <v>8503</v>
      </c>
      <c r="F15" s="10"/>
    </row>
    <row r="16" spans="1:6" ht="21" customHeight="1" x14ac:dyDescent="0.25">
      <c r="A16" s="10" t="s">
        <v>102</v>
      </c>
      <c r="B16" s="11">
        <v>13486</v>
      </c>
      <c r="C16" s="11">
        <v>14483</v>
      </c>
      <c r="D16" s="11">
        <v>10195</v>
      </c>
      <c r="E16" s="11">
        <v>9846</v>
      </c>
      <c r="F16" s="10"/>
    </row>
    <row r="17" spans="1:6" ht="21" customHeight="1" x14ac:dyDescent="0.25">
      <c r="A17" s="10" t="s">
        <v>103</v>
      </c>
      <c r="B17" s="11">
        <v>8041</v>
      </c>
      <c r="C17" s="11">
        <v>12138</v>
      </c>
      <c r="D17" s="11">
        <v>8409</v>
      </c>
      <c r="E17" s="11">
        <v>7804</v>
      </c>
      <c r="F17" s="10"/>
    </row>
    <row r="18" spans="1:6" ht="21" customHeight="1" x14ac:dyDescent="0.25">
      <c r="A18" s="10" t="s">
        <v>104</v>
      </c>
      <c r="B18" s="11">
        <v>9810</v>
      </c>
      <c r="C18" s="11">
        <v>9366</v>
      </c>
      <c r="D18" s="11">
        <v>7517</v>
      </c>
      <c r="E18" s="11">
        <v>12707</v>
      </c>
      <c r="F18" s="10"/>
    </row>
    <row r="19" spans="1:6" ht="21" customHeight="1" x14ac:dyDescent="0.25">
      <c r="A19" s="10" t="s">
        <v>105</v>
      </c>
      <c r="B19" s="11">
        <v>9827</v>
      </c>
      <c r="C19" s="11">
        <v>12904</v>
      </c>
      <c r="D19" s="11">
        <v>8345</v>
      </c>
      <c r="E19" s="11">
        <v>10471</v>
      </c>
      <c r="F19" s="10"/>
    </row>
    <row r="20" spans="1:6" ht="21" customHeight="1" x14ac:dyDescent="0.25">
      <c r="A20" s="10" t="s">
        <v>106</v>
      </c>
      <c r="B20" s="11">
        <v>11475</v>
      </c>
      <c r="C20" s="11">
        <v>14667</v>
      </c>
      <c r="D20" s="11">
        <v>13843</v>
      </c>
      <c r="E20" s="11">
        <v>12005</v>
      </c>
      <c r="F20" s="10"/>
    </row>
    <row r="21" spans="1:6" ht="21" customHeight="1" x14ac:dyDescent="0.25">
      <c r="A21" s="10" t="s">
        <v>107</v>
      </c>
      <c r="B21" s="11">
        <v>11262</v>
      </c>
      <c r="C21" s="11">
        <v>10479</v>
      </c>
      <c r="D21" s="11">
        <v>12780</v>
      </c>
      <c r="E21" s="11">
        <v>11003</v>
      </c>
      <c r="F21" s="10"/>
    </row>
    <row r="22" spans="1:6" ht="21" customHeight="1" x14ac:dyDescent="0.25">
      <c r="A22" s="10" t="s">
        <v>108</v>
      </c>
      <c r="B22" s="11">
        <v>12166</v>
      </c>
      <c r="C22" s="11">
        <v>11049</v>
      </c>
      <c r="D22" s="11">
        <v>9974</v>
      </c>
      <c r="E22" s="11">
        <v>8485</v>
      </c>
      <c r="F22" s="10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A6810BA4-0929-43BE-A87A-419A7A2C8A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0070C0"/>
          <x14:sparklines>
            <x14:sparkline>
              <xm:f>'Ex4'!B3:E3</xm:f>
              <xm:sqref>F3</xm:sqref>
            </x14:sparkline>
            <x14:sparkline>
              <xm:f>'Ex4'!B4:E4</xm:f>
              <xm:sqref>F4</xm:sqref>
            </x14:sparkline>
            <x14:sparkline>
              <xm:f>'Ex4'!B5:E5</xm:f>
              <xm:sqref>F5</xm:sqref>
            </x14:sparkline>
            <x14:sparkline>
              <xm:f>'Ex4'!B6:E6</xm:f>
              <xm:sqref>F6</xm:sqref>
            </x14:sparkline>
            <x14:sparkline>
              <xm:f>'Ex4'!B7:E7</xm:f>
              <xm:sqref>F7</xm:sqref>
            </x14:sparkline>
            <x14:sparkline>
              <xm:f>'Ex4'!B8:E8</xm:f>
              <xm:sqref>F8</xm:sqref>
            </x14:sparkline>
            <x14:sparkline>
              <xm:f>'Ex4'!B9:E9</xm:f>
              <xm:sqref>F9</xm:sqref>
            </x14:sparkline>
            <x14:sparkline>
              <xm:f>'Ex4'!B10:E10</xm:f>
              <xm:sqref>F10</xm:sqref>
            </x14:sparkline>
            <x14:sparkline>
              <xm:f>'Ex4'!B11:E11</xm:f>
              <xm:sqref>F11</xm:sqref>
            </x14:sparkline>
            <x14:sparkline>
              <xm:f>'Ex4'!B12:E12</xm:f>
              <xm:sqref>F12</xm:sqref>
            </x14:sparkline>
            <x14:sparkline>
              <xm:f>'Ex4'!B13:E13</xm:f>
              <xm:sqref>F13</xm:sqref>
            </x14:sparkline>
            <x14:sparkline>
              <xm:f>'Ex4'!B14:E14</xm:f>
              <xm:sqref>F14</xm:sqref>
            </x14:sparkline>
            <x14:sparkline>
              <xm:f>'Ex4'!B15:E15</xm:f>
              <xm:sqref>F15</xm:sqref>
            </x14:sparkline>
            <x14:sparkline>
              <xm:f>'Ex4'!B16:E16</xm:f>
              <xm:sqref>F16</xm:sqref>
            </x14:sparkline>
            <x14:sparkline>
              <xm:f>'Ex4'!B17:E17</xm:f>
              <xm:sqref>F17</xm:sqref>
            </x14:sparkline>
            <x14:sparkline>
              <xm:f>'Ex4'!B18:E18</xm:f>
              <xm:sqref>F18</xm:sqref>
            </x14:sparkline>
            <x14:sparkline>
              <xm:f>'Ex4'!B19:E19</xm:f>
              <xm:sqref>F19</xm:sqref>
            </x14:sparkline>
            <x14:sparkline>
              <xm:f>'Ex4'!B20:E20</xm:f>
              <xm:sqref>F20</xm:sqref>
            </x14:sparkline>
            <x14:sparkline>
              <xm:f>'Ex4'!B21:E21</xm:f>
              <xm:sqref>F21</xm:sqref>
            </x14:sparkline>
            <x14:sparkline>
              <xm:f>'Ex4'!B22:E22</xm:f>
              <xm:sqref>F22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E61D-FCE5-4816-A3A2-2E0F6FB115A2}">
  <dimension ref="B1:N23"/>
  <sheetViews>
    <sheetView topLeftCell="A4" zoomScale="120" zoomScaleNormal="120" workbookViewId="0">
      <selection activeCell="L6" sqref="L6"/>
    </sheetView>
  </sheetViews>
  <sheetFormatPr defaultRowHeight="15.75" x14ac:dyDescent="0.25"/>
  <cols>
    <col min="1" max="1" width="1.28515625" style="36" customWidth="1"/>
    <col min="2" max="2" width="12.85546875" style="36" customWidth="1"/>
    <col min="3" max="3" width="23.42578125" style="36" customWidth="1"/>
    <col min="4" max="4" width="14.7109375" style="37" customWidth="1"/>
    <col min="5" max="7" width="14.7109375" style="36" customWidth="1"/>
    <col min="8" max="8" width="21.42578125" style="36" customWidth="1"/>
    <col min="9" max="9" width="15.7109375" style="36" customWidth="1"/>
    <col min="10" max="10" width="2.42578125" style="36" customWidth="1"/>
    <col min="11" max="11" width="31.5703125" style="36" customWidth="1"/>
    <col min="12" max="12" width="8.42578125" style="36" customWidth="1"/>
    <col min="13" max="13" width="5.7109375" style="36" customWidth="1"/>
    <col min="14" max="14" width="13.7109375" style="36" customWidth="1"/>
    <col min="15" max="16384" width="9.140625" style="36"/>
  </cols>
  <sheetData>
    <row r="1" spans="2:14" x14ac:dyDescent="0.25">
      <c r="B1" s="35" t="s">
        <v>136</v>
      </c>
    </row>
    <row r="2" spans="2:14" ht="5.25" customHeight="1" x14ac:dyDescent="0.25"/>
    <row r="3" spans="2:14" ht="15" customHeight="1" x14ac:dyDescent="0.25">
      <c r="B3" s="144" t="s">
        <v>109</v>
      </c>
      <c r="C3" s="144" t="s">
        <v>81</v>
      </c>
      <c r="D3" s="144" t="s">
        <v>110</v>
      </c>
      <c r="E3" s="144" t="s">
        <v>111</v>
      </c>
      <c r="F3" s="144" t="s">
        <v>112</v>
      </c>
      <c r="G3" s="144" t="s">
        <v>113</v>
      </c>
      <c r="H3" s="141" t="s">
        <v>114</v>
      </c>
      <c r="I3" s="140"/>
    </row>
    <row r="4" spans="2:14" x14ac:dyDescent="0.25">
      <c r="B4" s="144"/>
      <c r="C4" s="144"/>
      <c r="D4" s="144"/>
      <c r="E4" s="144"/>
      <c r="F4" s="144"/>
      <c r="G4" s="144"/>
      <c r="H4" s="141"/>
      <c r="I4" s="140"/>
    </row>
    <row r="5" spans="2:14" x14ac:dyDescent="0.25">
      <c r="B5" s="38">
        <v>1025</v>
      </c>
      <c r="C5" s="39" t="s">
        <v>115</v>
      </c>
      <c r="D5" s="34">
        <v>15</v>
      </c>
      <c r="E5" s="34">
        <v>16</v>
      </c>
      <c r="F5" s="34">
        <v>15</v>
      </c>
      <c r="G5" s="34">
        <v>17</v>
      </c>
      <c r="H5" s="40">
        <f>AVERAGE(D5:G5)</f>
        <v>15.75</v>
      </c>
      <c r="I5" s="63"/>
    </row>
    <row r="6" spans="2:14" x14ac:dyDescent="0.25">
      <c r="B6" s="38">
        <v>1125</v>
      </c>
      <c r="C6" s="39" t="s">
        <v>116</v>
      </c>
      <c r="D6" s="34">
        <v>14</v>
      </c>
      <c r="E6" s="34">
        <v>12</v>
      </c>
      <c r="F6" s="34">
        <v>16</v>
      </c>
      <c r="G6" s="34">
        <v>15</v>
      </c>
      <c r="H6" s="40">
        <f t="shared" ref="H6:H22" si="0">AVERAGE(D6:G6)</f>
        <v>14.25</v>
      </c>
      <c r="I6" s="63"/>
      <c r="K6" s="33" t="s">
        <v>121</v>
      </c>
      <c r="L6" s="41">
        <f>COUNTA(D5:G22)</f>
        <v>66</v>
      </c>
      <c r="N6" s="36" t="s">
        <v>243</v>
      </c>
    </row>
    <row r="7" spans="2:14" x14ac:dyDescent="0.25">
      <c r="B7" s="38">
        <v>1452</v>
      </c>
      <c r="C7" s="39" t="s">
        <v>117</v>
      </c>
      <c r="D7" s="34">
        <v>17</v>
      </c>
      <c r="E7" s="34">
        <v>15</v>
      </c>
      <c r="F7" s="34">
        <v>13</v>
      </c>
      <c r="G7" s="34">
        <v>16</v>
      </c>
      <c r="H7" s="40">
        <f t="shared" si="0"/>
        <v>15.25</v>
      </c>
      <c r="I7" s="63"/>
      <c r="K7" s="33" t="s">
        <v>123</v>
      </c>
      <c r="L7" s="41">
        <f>COUNTBLANK(D5:G22)</f>
        <v>6</v>
      </c>
      <c r="N7" s="36" t="s">
        <v>244</v>
      </c>
    </row>
    <row r="8" spans="2:14" x14ac:dyDescent="0.25">
      <c r="B8" s="38">
        <v>1024</v>
      </c>
      <c r="C8" s="39" t="s">
        <v>118</v>
      </c>
      <c r="D8" s="34">
        <v>16</v>
      </c>
      <c r="E8" s="34">
        <v>14</v>
      </c>
      <c r="F8" s="34">
        <v>15</v>
      </c>
      <c r="G8" s="34"/>
      <c r="H8" s="40">
        <f t="shared" si="0"/>
        <v>15</v>
      </c>
      <c r="I8" s="63"/>
    </row>
    <row r="9" spans="2:14" x14ac:dyDescent="0.25">
      <c r="B9" s="38">
        <v>1065</v>
      </c>
      <c r="C9" s="39" t="s">
        <v>119</v>
      </c>
      <c r="D9" s="34">
        <v>15</v>
      </c>
      <c r="E9" s="34">
        <v>15</v>
      </c>
      <c r="F9" s="34">
        <v>16</v>
      </c>
      <c r="G9" s="34">
        <v>15</v>
      </c>
      <c r="H9" s="40">
        <f t="shared" si="0"/>
        <v>15.25</v>
      </c>
      <c r="I9" s="63"/>
    </row>
    <row r="10" spans="2:14" x14ac:dyDescent="0.25">
      <c r="B10" s="38">
        <v>1250</v>
      </c>
      <c r="C10" s="39" t="s">
        <v>120</v>
      </c>
      <c r="D10" s="34">
        <v>14</v>
      </c>
      <c r="E10" s="34">
        <v>14</v>
      </c>
      <c r="F10" s="34"/>
      <c r="G10" s="34">
        <v>14</v>
      </c>
      <c r="H10" s="40">
        <f t="shared" si="0"/>
        <v>14</v>
      </c>
      <c r="I10" s="63"/>
    </row>
    <row r="11" spans="2:14" x14ac:dyDescent="0.25">
      <c r="B11" s="38">
        <v>1780</v>
      </c>
      <c r="C11" s="39" t="s">
        <v>122</v>
      </c>
      <c r="D11" s="34">
        <v>17</v>
      </c>
      <c r="E11" s="34">
        <v>15</v>
      </c>
      <c r="F11" s="34">
        <v>16</v>
      </c>
      <c r="G11" s="34">
        <v>15</v>
      </c>
      <c r="H11" s="40">
        <f t="shared" si="0"/>
        <v>15.75</v>
      </c>
      <c r="I11" s="63"/>
    </row>
    <row r="12" spans="2:14" x14ac:dyDescent="0.25">
      <c r="B12" s="38">
        <v>2150</v>
      </c>
      <c r="C12" s="39" t="s">
        <v>124</v>
      </c>
      <c r="D12" s="34">
        <v>15</v>
      </c>
      <c r="E12" s="34">
        <v>14</v>
      </c>
      <c r="F12" s="34"/>
      <c r="G12" s="34">
        <v>15</v>
      </c>
      <c r="H12" s="40">
        <f t="shared" si="0"/>
        <v>14.666666666666666</v>
      </c>
      <c r="I12" s="63"/>
      <c r="K12" s="46"/>
    </row>
    <row r="13" spans="2:14" x14ac:dyDescent="0.25">
      <c r="B13" s="38">
        <v>2140</v>
      </c>
      <c r="C13" s="39" t="s">
        <v>125</v>
      </c>
      <c r="D13" s="34">
        <v>15</v>
      </c>
      <c r="E13" s="34">
        <v>16</v>
      </c>
      <c r="F13" s="34">
        <v>18</v>
      </c>
      <c r="G13" s="34"/>
      <c r="H13" s="40">
        <f t="shared" si="0"/>
        <v>16.333333333333332</v>
      </c>
      <c r="I13" s="63"/>
    </row>
    <row r="14" spans="2:14" x14ac:dyDescent="0.25">
      <c r="B14" s="38">
        <v>1365</v>
      </c>
      <c r="C14" s="39" t="s">
        <v>126</v>
      </c>
      <c r="D14" s="34">
        <v>17</v>
      </c>
      <c r="E14" s="34">
        <v>14</v>
      </c>
      <c r="F14" s="34">
        <v>16</v>
      </c>
      <c r="G14" s="34">
        <v>14</v>
      </c>
      <c r="H14" s="40">
        <f t="shared" si="0"/>
        <v>15.25</v>
      </c>
      <c r="I14" s="63"/>
    </row>
    <row r="15" spans="2:14" x14ac:dyDescent="0.25">
      <c r="B15" s="38">
        <v>1478</v>
      </c>
      <c r="C15" s="39" t="s">
        <v>127</v>
      </c>
      <c r="D15" s="34">
        <v>15</v>
      </c>
      <c r="E15" s="34">
        <v>14</v>
      </c>
      <c r="F15" s="34">
        <v>15</v>
      </c>
      <c r="G15" s="34">
        <v>15</v>
      </c>
      <c r="H15" s="40">
        <f t="shared" si="0"/>
        <v>14.75</v>
      </c>
      <c r="I15" s="63"/>
    </row>
    <row r="16" spans="2:14" x14ac:dyDescent="0.25">
      <c r="B16" s="38">
        <v>2165</v>
      </c>
      <c r="C16" s="39" t="s">
        <v>128</v>
      </c>
      <c r="D16" s="34">
        <v>16</v>
      </c>
      <c r="E16" s="34">
        <v>17</v>
      </c>
      <c r="F16" s="34">
        <v>18</v>
      </c>
      <c r="G16" s="34">
        <v>16</v>
      </c>
      <c r="H16" s="40">
        <f t="shared" si="0"/>
        <v>16.75</v>
      </c>
      <c r="I16" s="63"/>
    </row>
    <row r="17" spans="2:9" x14ac:dyDescent="0.25">
      <c r="B17" s="38">
        <v>1895</v>
      </c>
      <c r="C17" s="39" t="s">
        <v>129</v>
      </c>
      <c r="D17" s="34">
        <v>17</v>
      </c>
      <c r="E17" s="34">
        <v>15</v>
      </c>
      <c r="F17" s="34">
        <v>15</v>
      </c>
      <c r="G17" s="34">
        <v>15</v>
      </c>
      <c r="H17" s="40">
        <f t="shared" si="0"/>
        <v>15.5</v>
      </c>
      <c r="I17" s="63"/>
    </row>
    <row r="18" spans="2:9" x14ac:dyDescent="0.25">
      <c r="B18" s="38">
        <v>2200</v>
      </c>
      <c r="C18" s="39" t="s">
        <v>130</v>
      </c>
      <c r="D18" s="34">
        <v>19</v>
      </c>
      <c r="E18" s="34">
        <v>16</v>
      </c>
      <c r="F18" s="34">
        <v>16</v>
      </c>
      <c r="G18" s="34">
        <v>18</v>
      </c>
      <c r="H18" s="40">
        <f t="shared" si="0"/>
        <v>17.25</v>
      </c>
      <c r="I18" s="63"/>
    </row>
    <row r="19" spans="2:9" x14ac:dyDescent="0.25">
      <c r="B19" s="38">
        <v>2350</v>
      </c>
      <c r="C19" s="39" t="s">
        <v>131</v>
      </c>
      <c r="D19" s="34">
        <v>18</v>
      </c>
      <c r="E19" s="34">
        <v>17</v>
      </c>
      <c r="F19" s="34"/>
      <c r="G19" s="34">
        <v>18</v>
      </c>
      <c r="H19" s="40">
        <f t="shared" si="0"/>
        <v>17.666666666666668</v>
      </c>
      <c r="I19" s="63"/>
    </row>
    <row r="20" spans="2:9" x14ac:dyDescent="0.25">
      <c r="B20" s="38">
        <v>2425</v>
      </c>
      <c r="C20" s="39" t="s">
        <v>132</v>
      </c>
      <c r="D20" s="34">
        <v>19</v>
      </c>
      <c r="E20" s="34">
        <v>18</v>
      </c>
      <c r="F20" s="34">
        <v>19</v>
      </c>
      <c r="G20" s="34">
        <v>18</v>
      </c>
      <c r="H20" s="40">
        <f t="shared" si="0"/>
        <v>18.5</v>
      </c>
      <c r="I20" s="63"/>
    </row>
    <row r="21" spans="2:9" x14ac:dyDescent="0.25">
      <c r="B21" s="38">
        <v>2500</v>
      </c>
      <c r="C21" s="39" t="s">
        <v>133</v>
      </c>
      <c r="D21" s="42"/>
      <c r="E21" s="42">
        <v>15</v>
      </c>
      <c r="F21" s="42">
        <v>14</v>
      </c>
      <c r="G21" s="42">
        <v>15</v>
      </c>
      <c r="H21" s="40">
        <f t="shared" si="0"/>
        <v>14.666666666666666</v>
      </c>
      <c r="I21" s="63"/>
    </row>
    <row r="22" spans="2:9" x14ac:dyDescent="0.25">
      <c r="B22" s="38">
        <v>2575</v>
      </c>
      <c r="C22" s="39" t="s">
        <v>134</v>
      </c>
      <c r="D22" s="34">
        <v>12</v>
      </c>
      <c r="E22" s="34">
        <v>15</v>
      </c>
      <c r="F22" s="34">
        <v>15</v>
      </c>
      <c r="G22" s="34">
        <v>15</v>
      </c>
      <c r="H22" s="40">
        <f t="shared" si="0"/>
        <v>14.25</v>
      </c>
      <c r="I22" s="63"/>
    </row>
    <row r="23" spans="2:9" x14ac:dyDescent="0.25">
      <c r="B23" s="142" t="s">
        <v>135</v>
      </c>
      <c r="C23" s="143"/>
      <c r="D23" s="133">
        <f>AVERAGE(D5:D22)</f>
        <v>15.941176470588236</v>
      </c>
      <c r="E23" s="133">
        <f t="shared" ref="E23:G23" si="1">AVERAGE(E5:E22)</f>
        <v>15.111111111111111</v>
      </c>
      <c r="F23" s="133">
        <f t="shared" si="1"/>
        <v>15.8</v>
      </c>
      <c r="G23" s="133">
        <f t="shared" si="1"/>
        <v>15.6875</v>
      </c>
      <c r="H23" s="40"/>
      <c r="I23" s="63"/>
    </row>
  </sheetData>
  <mergeCells count="9">
    <mergeCell ref="I3:I4"/>
    <mergeCell ref="H3:H4"/>
    <mergeCell ref="B23:C23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80BB-FD5E-4FBD-95CB-DF3CFEC7B894}">
  <dimension ref="A1:R62"/>
  <sheetViews>
    <sheetView zoomScale="120" zoomScaleNormal="120" workbookViewId="0">
      <selection activeCell="N2" sqref="N2"/>
    </sheetView>
  </sheetViews>
  <sheetFormatPr defaultColWidth="9.140625" defaultRowHeight="12.75" x14ac:dyDescent="0.25"/>
  <cols>
    <col min="1" max="1" width="21.85546875" style="6" bestFit="1" customWidth="1"/>
    <col min="2" max="2" width="16.7109375" style="6" bestFit="1" customWidth="1"/>
    <col min="3" max="3" width="7.5703125" style="6" bestFit="1" customWidth="1"/>
    <col min="4" max="4" width="9.5703125" style="6" bestFit="1" customWidth="1"/>
    <col min="5" max="5" width="7.5703125" style="6" customWidth="1"/>
    <col min="6" max="6" width="6.42578125" style="6" customWidth="1"/>
    <col min="7" max="7" width="7.28515625" style="6" customWidth="1"/>
    <col min="8" max="8" width="6.42578125" style="6" customWidth="1"/>
    <col min="9" max="9" width="6" style="6" customWidth="1"/>
    <col min="10" max="10" width="7.42578125" style="6" bestFit="1" customWidth="1"/>
    <col min="11" max="11" width="9.85546875" style="6" bestFit="1" customWidth="1"/>
    <col min="12" max="12" width="8.28515625" style="6" bestFit="1" customWidth="1"/>
    <col min="13" max="13" width="10.140625" style="6" bestFit="1" customWidth="1"/>
    <col min="14" max="14" width="19.85546875" style="2" customWidth="1"/>
    <col min="15" max="17" width="9.140625" style="2"/>
    <col min="18" max="18" width="13.7109375" style="2" customWidth="1"/>
    <col min="19" max="16384" width="9.140625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R1" s="43"/>
    </row>
    <row r="2" spans="1:18" s="6" customFormat="1" ht="20.100000000000001" customHeight="1" x14ac:dyDescent="0.2">
      <c r="A2" s="3" t="s">
        <v>261</v>
      </c>
      <c r="B2" s="3" t="s">
        <v>14</v>
      </c>
      <c r="C2" s="4">
        <v>24</v>
      </c>
      <c r="D2" s="4">
        <v>26</v>
      </c>
      <c r="E2" s="4">
        <v>25</v>
      </c>
      <c r="F2" s="4">
        <v>30</v>
      </c>
      <c r="G2" s="4">
        <v>32</v>
      </c>
      <c r="H2" s="4">
        <v>18</v>
      </c>
      <c r="I2" s="4">
        <v>24</v>
      </c>
      <c r="J2" s="4">
        <v>28</v>
      </c>
      <c r="K2" s="4">
        <v>26</v>
      </c>
      <c r="L2" s="4">
        <v>30</v>
      </c>
      <c r="M2" s="4">
        <v>35</v>
      </c>
      <c r="N2" s="5" t="s">
        <v>245</v>
      </c>
    </row>
    <row r="3" spans="1:18" s="6" customFormat="1" ht="20.100000000000001" customHeight="1" x14ac:dyDescent="0.2">
      <c r="A3" s="3" t="s">
        <v>15</v>
      </c>
      <c r="B3" s="3" t="s">
        <v>16</v>
      </c>
      <c r="C3" s="4">
        <v>12</v>
      </c>
      <c r="D3" s="4">
        <v>17</v>
      </c>
      <c r="E3" s="4">
        <v>12</v>
      </c>
      <c r="F3" s="4">
        <v>16</v>
      </c>
      <c r="G3" s="4">
        <v>13</v>
      </c>
      <c r="H3" s="4">
        <v>20</v>
      </c>
      <c r="I3" s="4">
        <v>14</v>
      </c>
      <c r="J3" s="4">
        <v>16</v>
      </c>
      <c r="K3" s="4">
        <v>18</v>
      </c>
      <c r="L3" s="4">
        <v>15</v>
      </c>
      <c r="M3" s="4">
        <v>12</v>
      </c>
      <c r="N3" s="5" t="s">
        <v>246</v>
      </c>
    </row>
    <row r="4" spans="1:18" s="6" customFormat="1" ht="20.100000000000001" customHeight="1" x14ac:dyDescent="0.2">
      <c r="A4" s="3" t="s">
        <v>17</v>
      </c>
      <c r="B4" s="3" t="s">
        <v>18</v>
      </c>
      <c r="C4" s="4">
        <v>12</v>
      </c>
      <c r="D4" s="4">
        <v>10</v>
      </c>
      <c r="E4" s="4">
        <v>12</v>
      </c>
      <c r="F4" s="4">
        <v>10</v>
      </c>
      <c r="G4" s="4">
        <v>12</v>
      </c>
      <c r="H4" s="4">
        <v>10</v>
      </c>
      <c r="I4" s="4">
        <v>12</v>
      </c>
      <c r="J4" s="4">
        <v>10</v>
      </c>
      <c r="K4" s="4">
        <v>12</v>
      </c>
      <c r="L4" s="4">
        <v>10</v>
      </c>
      <c r="M4" s="4">
        <v>12</v>
      </c>
      <c r="N4" s="5" t="s">
        <v>247</v>
      </c>
    </row>
    <row r="5" spans="1:18" s="6" customFormat="1" ht="20.100000000000001" customHeight="1" x14ac:dyDescent="0.2">
      <c r="A5" s="3" t="s">
        <v>19</v>
      </c>
      <c r="B5" s="3" t="s">
        <v>20</v>
      </c>
      <c r="C5" s="4">
        <v>60</v>
      </c>
      <c r="D5" s="4">
        <v>72</v>
      </c>
      <c r="E5" s="4">
        <v>60</v>
      </c>
      <c r="F5" s="4">
        <v>72</v>
      </c>
      <c r="G5" s="4">
        <v>60</v>
      </c>
      <c r="H5" s="4">
        <v>72</v>
      </c>
      <c r="I5" s="4">
        <v>60</v>
      </c>
      <c r="J5" s="4">
        <v>72</v>
      </c>
      <c r="K5" s="4">
        <v>60</v>
      </c>
      <c r="L5" s="4">
        <v>72</v>
      </c>
      <c r="M5" s="4">
        <v>60</v>
      </c>
      <c r="N5" s="5" t="s">
        <v>248</v>
      </c>
    </row>
    <row r="6" spans="1:18" s="6" customFormat="1" ht="20.100000000000001" customHeight="1" x14ac:dyDescent="0.2">
      <c r="A6" s="3" t="s">
        <v>21</v>
      </c>
      <c r="B6" s="3" t="s">
        <v>22</v>
      </c>
      <c r="C6" s="4">
        <v>50</v>
      </c>
      <c r="D6" s="4">
        <v>45</v>
      </c>
      <c r="E6" s="4">
        <v>50</v>
      </c>
      <c r="F6" s="4">
        <v>45</v>
      </c>
      <c r="G6" s="4">
        <v>50</v>
      </c>
      <c r="H6" s="4">
        <v>45</v>
      </c>
      <c r="I6" s="4">
        <v>50</v>
      </c>
      <c r="J6" s="4">
        <v>45</v>
      </c>
      <c r="K6" s="4">
        <v>50</v>
      </c>
      <c r="L6" s="4">
        <v>45</v>
      </c>
      <c r="M6" s="4">
        <v>50</v>
      </c>
      <c r="N6" s="5" t="s">
        <v>249</v>
      </c>
    </row>
    <row r="7" spans="1:18" s="6" customFormat="1" ht="20.100000000000001" customHeight="1" x14ac:dyDescent="0.2">
      <c r="A7" s="3" t="s">
        <v>23</v>
      </c>
      <c r="B7" s="3" t="s">
        <v>24</v>
      </c>
      <c r="C7" s="4">
        <v>45</v>
      </c>
      <c r="D7" s="4">
        <v>40</v>
      </c>
      <c r="E7" s="4">
        <v>45</v>
      </c>
      <c r="F7" s="4">
        <v>40</v>
      </c>
      <c r="G7" s="4">
        <v>45</v>
      </c>
      <c r="H7" s="4">
        <v>40</v>
      </c>
      <c r="I7" s="4">
        <v>45</v>
      </c>
      <c r="J7" s="4">
        <v>40</v>
      </c>
      <c r="K7" s="4">
        <v>45</v>
      </c>
      <c r="L7" s="4">
        <v>40</v>
      </c>
      <c r="M7" s="4">
        <v>45</v>
      </c>
      <c r="N7" s="5" t="s">
        <v>250</v>
      </c>
    </row>
    <row r="8" spans="1:18" s="6" customFormat="1" ht="20.100000000000001" customHeight="1" x14ac:dyDescent="0.2">
      <c r="A8" s="3" t="s">
        <v>25</v>
      </c>
      <c r="B8" s="3" t="s">
        <v>14</v>
      </c>
      <c r="C8" s="7">
        <v>15</v>
      </c>
      <c r="D8" s="7">
        <v>18</v>
      </c>
      <c r="E8" s="7">
        <v>15</v>
      </c>
      <c r="F8" s="7">
        <v>18</v>
      </c>
      <c r="G8" s="7">
        <v>15</v>
      </c>
      <c r="H8" s="7">
        <v>18</v>
      </c>
      <c r="I8" s="7">
        <v>15</v>
      </c>
      <c r="J8" s="7">
        <v>18</v>
      </c>
      <c r="K8" s="7">
        <v>15</v>
      </c>
      <c r="L8" s="7">
        <v>18</v>
      </c>
      <c r="M8" s="7">
        <v>15</v>
      </c>
      <c r="N8" s="5" t="s">
        <v>251</v>
      </c>
    </row>
    <row r="9" spans="1:18" s="6" customFormat="1" ht="20.100000000000001" customHeight="1" x14ac:dyDescent="0.2">
      <c r="A9" s="3" t="s">
        <v>26</v>
      </c>
      <c r="B9" s="3" t="s">
        <v>18</v>
      </c>
      <c r="C9" s="7">
        <v>15</v>
      </c>
      <c r="D9" s="7">
        <v>18</v>
      </c>
      <c r="E9" s="7">
        <v>15</v>
      </c>
      <c r="F9" s="7">
        <v>18</v>
      </c>
      <c r="G9" s="7">
        <v>15</v>
      </c>
      <c r="H9" s="7">
        <v>18</v>
      </c>
      <c r="I9" s="7">
        <v>15</v>
      </c>
      <c r="J9" s="7">
        <v>18</v>
      </c>
      <c r="K9" s="7">
        <v>15</v>
      </c>
      <c r="L9" s="7">
        <v>18</v>
      </c>
      <c r="M9" s="7">
        <v>15</v>
      </c>
      <c r="N9" s="5" t="s">
        <v>252</v>
      </c>
    </row>
    <row r="10" spans="1:18" s="6" customFormat="1" ht="20.100000000000001" customHeight="1" x14ac:dyDescent="0.2">
      <c r="A10" s="3" t="s">
        <v>27</v>
      </c>
      <c r="B10" s="3" t="s">
        <v>28</v>
      </c>
      <c r="C10" s="7">
        <v>18</v>
      </c>
      <c r="D10" s="7">
        <v>20</v>
      </c>
      <c r="E10" s="7">
        <v>18</v>
      </c>
      <c r="F10" s="7">
        <v>20</v>
      </c>
      <c r="G10" s="7">
        <v>18</v>
      </c>
      <c r="H10" s="7">
        <v>20</v>
      </c>
      <c r="I10" s="7">
        <v>18</v>
      </c>
      <c r="J10" s="7">
        <v>20</v>
      </c>
      <c r="K10" s="7">
        <v>18</v>
      </c>
      <c r="L10" s="7">
        <v>20</v>
      </c>
      <c r="M10" s="7">
        <v>18</v>
      </c>
      <c r="N10" s="5" t="s">
        <v>253</v>
      </c>
    </row>
    <row r="11" spans="1:18" s="6" customFormat="1" ht="20.100000000000001" customHeight="1" x14ac:dyDescent="0.2">
      <c r="A11" s="3" t="s">
        <v>29</v>
      </c>
      <c r="B11" s="3" t="s">
        <v>30</v>
      </c>
      <c r="C11" s="7">
        <v>30</v>
      </c>
      <c r="D11" s="7">
        <v>32</v>
      </c>
      <c r="E11" s="7">
        <v>30</v>
      </c>
      <c r="F11" s="7">
        <v>32</v>
      </c>
      <c r="G11" s="7">
        <v>30</v>
      </c>
      <c r="H11" s="7">
        <v>32</v>
      </c>
      <c r="I11" s="7">
        <v>30</v>
      </c>
      <c r="J11" s="7">
        <v>32</v>
      </c>
      <c r="K11" s="7">
        <v>30</v>
      </c>
      <c r="L11" s="7">
        <v>32</v>
      </c>
      <c r="M11" s="7">
        <v>30</v>
      </c>
      <c r="N11" s="5" t="s">
        <v>254</v>
      </c>
    </row>
    <row r="12" spans="1:18" s="6" customFormat="1" ht="20.100000000000001" customHeight="1" x14ac:dyDescent="0.2">
      <c r="A12" s="3" t="s">
        <v>31</v>
      </c>
      <c r="B12" s="3" t="s">
        <v>20</v>
      </c>
      <c r="C12" s="7">
        <v>35</v>
      </c>
      <c r="D12" s="7">
        <v>38</v>
      </c>
      <c r="E12" s="7">
        <v>35</v>
      </c>
      <c r="F12" s="7">
        <v>38</v>
      </c>
      <c r="G12" s="7">
        <v>35</v>
      </c>
      <c r="H12" s="7">
        <v>38</v>
      </c>
      <c r="I12" s="7">
        <v>35</v>
      </c>
      <c r="J12" s="7">
        <v>38</v>
      </c>
      <c r="K12" s="7">
        <v>35</v>
      </c>
      <c r="L12" s="7">
        <v>38</v>
      </c>
      <c r="M12" s="7">
        <v>35</v>
      </c>
      <c r="N12" s="5" t="s">
        <v>255</v>
      </c>
    </row>
    <row r="13" spans="1:18" s="6" customFormat="1" ht="20.100000000000001" customHeight="1" x14ac:dyDescent="0.2">
      <c r="A13" s="3" t="s">
        <v>32</v>
      </c>
      <c r="B13" s="3" t="s">
        <v>14</v>
      </c>
      <c r="C13" s="7">
        <v>42</v>
      </c>
      <c r="D13" s="7">
        <v>40</v>
      </c>
      <c r="E13" s="7">
        <v>42</v>
      </c>
      <c r="F13" s="7">
        <v>40</v>
      </c>
      <c r="G13" s="7">
        <v>42</v>
      </c>
      <c r="H13" s="7">
        <v>40</v>
      </c>
      <c r="I13" s="7">
        <v>42</v>
      </c>
      <c r="J13" s="7">
        <v>40</v>
      </c>
      <c r="K13" s="7">
        <v>42</v>
      </c>
      <c r="L13" s="7">
        <v>40</v>
      </c>
      <c r="M13" s="7">
        <v>42</v>
      </c>
      <c r="N13" s="5" t="s">
        <v>256</v>
      </c>
    </row>
    <row r="14" spans="1:18" s="6" customFormat="1" ht="20.100000000000001" customHeight="1" x14ac:dyDescent="0.2">
      <c r="A14" s="3" t="s">
        <v>33</v>
      </c>
      <c r="B14" s="3" t="s">
        <v>14</v>
      </c>
      <c r="C14" s="7">
        <v>40</v>
      </c>
      <c r="D14" s="7">
        <v>38</v>
      </c>
      <c r="E14" s="7">
        <v>40</v>
      </c>
      <c r="F14" s="7">
        <v>38</v>
      </c>
      <c r="G14" s="7">
        <v>40</v>
      </c>
      <c r="H14" s="7">
        <v>38</v>
      </c>
      <c r="I14" s="7">
        <v>40</v>
      </c>
      <c r="J14" s="7">
        <v>38</v>
      </c>
      <c r="K14" s="7">
        <v>40</v>
      </c>
      <c r="L14" s="7">
        <v>38</v>
      </c>
      <c r="M14" s="7">
        <v>40</v>
      </c>
      <c r="N14" s="5" t="s">
        <v>257</v>
      </c>
    </row>
    <row r="15" spans="1:18" s="6" customFormat="1" ht="20.100000000000001" customHeight="1" x14ac:dyDescent="0.2">
      <c r="A15" s="3" t="s">
        <v>34</v>
      </c>
      <c r="B15" s="3" t="s">
        <v>18</v>
      </c>
      <c r="C15" s="4">
        <v>50</v>
      </c>
      <c r="D15" s="4">
        <v>55</v>
      </c>
      <c r="E15" s="4">
        <v>50</v>
      </c>
      <c r="F15" s="4">
        <v>55</v>
      </c>
      <c r="G15" s="4">
        <v>50</v>
      </c>
      <c r="H15" s="4">
        <v>55</v>
      </c>
      <c r="I15" s="4">
        <v>50</v>
      </c>
      <c r="J15" s="4">
        <v>55</v>
      </c>
      <c r="K15" s="4">
        <v>50</v>
      </c>
      <c r="L15" s="4">
        <v>55</v>
      </c>
      <c r="M15" s="4">
        <v>50</v>
      </c>
      <c r="N15" s="5" t="s">
        <v>258</v>
      </c>
    </row>
    <row r="16" spans="1:18" s="6" customFormat="1" ht="20.100000000000001" customHeight="1" x14ac:dyDescent="0.2">
      <c r="A16" s="3" t="s">
        <v>35</v>
      </c>
      <c r="B16" s="3" t="s">
        <v>30</v>
      </c>
      <c r="C16" s="4">
        <v>80</v>
      </c>
      <c r="D16" s="4">
        <v>75</v>
      </c>
      <c r="E16" s="4">
        <v>80</v>
      </c>
      <c r="F16" s="4">
        <v>75</v>
      </c>
      <c r="G16" s="4">
        <v>80</v>
      </c>
      <c r="H16" s="4">
        <v>75</v>
      </c>
      <c r="I16" s="4">
        <v>80</v>
      </c>
      <c r="J16" s="4">
        <v>75</v>
      </c>
      <c r="K16" s="4">
        <v>80</v>
      </c>
      <c r="L16" s="4">
        <v>75</v>
      </c>
      <c r="M16" s="4">
        <v>80</v>
      </c>
      <c r="N16" s="5" t="s">
        <v>259</v>
      </c>
    </row>
    <row r="17" spans="1:14" s="6" customFormat="1" ht="20.100000000000001" customHeight="1" x14ac:dyDescent="0.2">
      <c r="A17" s="3" t="s">
        <v>36</v>
      </c>
      <c r="B17" s="3" t="s">
        <v>20</v>
      </c>
      <c r="C17" s="4">
        <v>45</v>
      </c>
      <c r="D17" s="4">
        <v>40</v>
      </c>
      <c r="E17" s="4">
        <v>45</v>
      </c>
      <c r="F17" s="4">
        <v>40</v>
      </c>
      <c r="G17" s="4">
        <v>45</v>
      </c>
      <c r="H17" s="4">
        <v>40</v>
      </c>
      <c r="I17" s="4">
        <v>45</v>
      </c>
      <c r="J17" s="4">
        <v>40</v>
      </c>
      <c r="K17" s="4">
        <v>45</v>
      </c>
      <c r="L17" s="4">
        <v>40</v>
      </c>
      <c r="M17" s="4">
        <v>45</v>
      </c>
      <c r="N17" s="5" t="s">
        <v>260</v>
      </c>
    </row>
    <row r="18" spans="1:14" s="6" customFormat="1" ht="7.5" customHeight="1" x14ac:dyDescent="0.25"/>
    <row r="19" spans="1:14" ht="20.100000000000001" customHeight="1" x14ac:dyDescent="0.25">
      <c r="A19" s="2"/>
      <c r="B19" s="2"/>
    </row>
    <row r="20" spans="1:14" ht="20.100000000000001" customHeight="1" x14ac:dyDescent="0.25">
      <c r="A20" s="2"/>
      <c r="B20" s="2"/>
      <c r="N20" s="44"/>
    </row>
    <row r="21" spans="1:14" ht="20.100000000000001" customHeight="1" x14ac:dyDescent="0.25">
      <c r="A21" s="2"/>
      <c r="B21" s="2"/>
    </row>
    <row r="22" spans="1:14" ht="20.100000000000001" customHeight="1" x14ac:dyDescent="0.25">
      <c r="A22" s="2"/>
      <c r="B22" s="2"/>
    </row>
    <row r="23" spans="1:14" ht="20.100000000000001" customHeight="1" x14ac:dyDescent="0.25">
      <c r="A23" s="2"/>
      <c r="B23" s="2"/>
    </row>
    <row r="24" spans="1:14" ht="20.100000000000001" customHeight="1" x14ac:dyDescent="0.25">
      <c r="A24" s="2"/>
      <c r="B24" s="2"/>
    </row>
    <row r="25" spans="1:14" ht="20.100000000000001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4" ht="20.10000000000000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4" ht="20.10000000000000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4" ht="20.1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4" ht="20.10000000000000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4" ht="20.10000000000000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20.10000000000000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 ht="20.10000000000000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="2" customFormat="1" ht="20.100000000000001" customHeight="1" x14ac:dyDescent="0.25"/>
    <row r="34" s="2" customFormat="1" ht="20.100000000000001" customHeight="1" x14ac:dyDescent="0.25"/>
    <row r="35" s="2" customFormat="1" ht="20.100000000000001" customHeight="1" x14ac:dyDescent="0.25"/>
    <row r="36" s="2" customFormat="1" ht="20.100000000000001" customHeight="1" x14ac:dyDescent="0.25"/>
    <row r="37" s="2" customFormat="1" ht="20.100000000000001" customHeight="1" x14ac:dyDescent="0.25"/>
    <row r="38" s="2" customFormat="1" ht="20.100000000000001" customHeight="1" x14ac:dyDescent="0.25"/>
    <row r="39" s="2" customFormat="1" ht="20.100000000000001" customHeight="1" x14ac:dyDescent="0.25"/>
    <row r="40" s="2" customFormat="1" ht="20.100000000000001" customHeight="1" x14ac:dyDescent="0.25"/>
    <row r="41" s="2" customFormat="1" ht="20.100000000000001" customHeight="1" x14ac:dyDescent="0.25"/>
    <row r="42" s="2" customFormat="1" ht="20.100000000000001" customHeight="1" x14ac:dyDescent="0.25"/>
    <row r="43" s="2" customFormat="1" ht="20.100000000000001" customHeight="1" x14ac:dyDescent="0.25"/>
    <row r="44" s="2" customFormat="1" ht="20.100000000000001" customHeight="1" x14ac:dyDescent="0.25"/>
    <row r="45" s="2" customFormat="1" ht="20.100000000000001" customHeight="1" x14ac:dyDescent="0.25"/>
    <row r="46" s="2" customFormat="1" ht="20.100000000000001" customHeight="1" x14ac:dyDescent="0.25"/>
    <row r="47" s="2" customFormat="1" ht="20.100000000000001" customHeight="1" x14ac:dyDescent="0.25"/>
    <row r="48" s="2" customFormat="1" ht="20.100000000000001" customHeight="1" x14ac:dyDescent="0.25"/>
    <row r="49" s="2" customFormat="1" ht="20.100000000000001" customHeight="1" x14ac:dyDescent="0.25"/>
    <row r="50" s="2" customFormat="1" ht="20.100000000000001" customHeight="1" x14ac:dyDescent="0.25"/>
    <row r="51" s="2" customFormat="1" ht="20.100000000000001" customHeight="1" x14ac:dyDescent="0.25"/>
    <row r="52" s="2" customFormat="1" ht="20.100000000000001" customHeight="1" x14ac:dyDescent="0.25"/>
    <row r="53" s="2" customFormat="1" ht="20.100000000000001" customHeight="1" x14ac:dyDescent="0.25"/>
    <row r="54" s="2" customFormat="1" ht="20.100000000000001" customHeight="1" x14ac:dyDescent="0.25"/>
    <row r="55" s="2" customFormat="1" ht="20.100000000000001" customHeight="1" x14ac:dyDescent="0.25"/>
    <row r="56" s="2" customFormat="1" ht="20.100000000000001" customHeight="1" x14ac:dyDescent="0.25"/>
    <row r="57" s="2" customFormat="1" ht="20.100000000000001" customHeight="1" x14ac:dyDescent="0.25"/>
    <row r="58" s="2" customFormat="1" ht="20.100000000000001" customHeight="1" x14ac:dyDescent="0.25"/>
    <row r="59" s="2" customFormat="1" ht="20.100000000000001" customHeight="1" x14ac:dyDescent="0.25"/>
    <row r="60" s="2" customFormat="1" ht="20.100000000000001" customHeight="1" x14ac:dyDescent="0.25"/>
    <row r="61" s="2" customFormat="1" ht="20.100000000000001" customHeight="1" x14ac:dyDescent="0.25"/>
    <row r="62" s="2" customFormat="1" ht="20.100000000000001" customHeight="1" x14ac:dyDescent="0.25"/>
  </sheetData>
  <dataConsolidate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5C07-D409-416A-BE80-F5189E9CDC6D}">
  <dimension ref="A1:M22"/>
  <sheetViews>
    <sheetView topLeftCell="A8" zoomScale="110" zoomScaleNormal="110" workbookViewId="0">
      <selection activeCell="G23" sqref="G23"/>
    </sheetView>
  </sheetViews>
  <sheetFormatPr defaultRowHeight="15" x14ac:dyDescent="0.25"/>
  <cols>
    <col min="1" max="1" width="22.85546875" customWidth="1"/>
    <col min="3" max="4" width="10.5703125" bestFit="1" customWidth="1"/>
    <col min="5" max="5" width="11.5703125" bestFit="1" customWidth="1"/>
    <col min="6" max="6" width="9.5703125" bestFit="1" customWidth="1"/>
    <col min="7" max="7" width="13.140625" bestFit="1" customWidth="1"/>
    <col min="8" max="8" width="5.85546875" customWidth="1"/>
    <col min="9" max="9" width="4.85546875" customWidth="1"/>
    <col min="10" max="10" width="21.7109375" customWidth="1"/>
    <col min="11" max="11" width="15.140625" style="77" customWidth="1"/>
    <col min="12" max="12" width="8.5703125" customWidth="1"/>
    <col min="13" max="13" width="12" customWidth="1"/>
  </cols>
  <sheetData>
    <row r="1" spans="1:13" ht="27" thickBot="1" x14ac:dyDescent="0.45">
      <c r="A1" s="147" t="s">
        <v>173</v>
      </c>
      <c r="B1" s="148"/>
      <c r="C1" s="148"/>
      <c r="D1" s="148"/>
      <c r="E1" s="148"/>
      <c r="F1" s="148"/>
      <c r="G1" s="149"/>
    </row>
    <row r="2" spans="1:13" ht="15.75" thickBot="1" x14ac:dyDescent="0.3"/>
    <row r="3" spans="1:13" ht="27" thickTop="1" thickBot="1" x14ac:dyDescent="0.3">
      <c r="A3" s="78" t="s">
        <v>174</v>
      </c>
      <c r="B3" s="79" t="s">
        <v>175</v>
      </c>
      <c r="C3" s="79" t="s">
        <v>176</v>
      </c>
      <c r="D3" s="80" t="s">
        <v>177</v>
      </c>
      <c r="E3" s="80" t="s">
        <v>178</v>
      </c>
      <c r="F3" s="80" t="s">
        <v>179</v>
      </c>
      <c r="G3" s="81" t="s">
        <v>180</v>
      </c>
      <c r="J3" s="150" t="s">
        <v>181</v>
      </c>
      <c r="K3" s="150"/>
    </row>
    <row r="4" spans="1:13" ht="16.5" thickTop="1" thickBot="1" x14ac:dyDescent="0.3">
      <c r="A4" s="82"/>
      <c r="B4" s="82"/>
      <c r="C4" s="82"/>
      <c r="D4" s="82"/>
      <c r="E4" s="82"/>
      <c r="F4" s="82"/>
      <c r="G4" s="83"/>
      <c r="J4" s="151" t="s">
        <v>182</v>
      </c>
      <c r="K4" s="151"/>
    </row>
    <row r="5" spans="1:13" x14ac:dyDescent="0.25">
      <c r="A5" s="84" t="s">
        <v>183</v>
      </c>
      <c r="B5" s="84" t="s">
        <v>184</v>
      </c>
      <c r="C5" s="84">
        <v>25</v>
      </c>
      <c r="D5" s="84">
        <v>80</v>
      </c>
      <c r="E5" s="84">
        <v>179</v>
      </c>
      <c r="F5" s="84">
        <v>0</v>
      </c>
      <c r="G5" s="85">
        <v>750</v>
      </c>
      <c r="J5" s="65" t="s">
        <v>185</v>
      </c>
      <c r="K5" s="86">
        <f>COUNTIF(B5:B15,"m")</f>
        <v>6</v>
      </c>
    </row>
    <row r="6" spans="1:13" x14ac:dyDescent="0.25">
      <c r="A6" s="84" t="s">
        <v>186</v>
      </c>
      <c r="B6" s="84" t="s">
        <v>184</v>
      </c>
      <c r="C6" s="84">
        <v>32</v>
      </c>
      <c r="D6" s="84">
        <v>75</v>
      </c>
      <c r="E6" s="84">
        <v>150</v>
      </c>
      <c r="F6" s="84">
        <v>2</v>
      </c>
      <c r="G6" s="85">
        <v>850</v>
      </c>
      <c r="J6" s="65" t="s">
        <v>187</v>
      </c>
      <c r="K6" s="87">
        <f>COUNTIF(B5:B15,"f")</f>
        <v>5</v>
      </c>
    </row>
    <row r="7" spans="1:13" x14ac:dyDescent="0.25">
      <c r="A7" s="84" t="s">
        <v>188</v>
      </c>
      <c r="B7" s="84" t="s">
        <v>189</v>
      </c>
      <c r="C7" s="84">
        <v>40</v>
      </c>
      <c r="D7" s="84">
        <v>50</v>
      </c>
      <c r="E7" s="84">
        <v>165</v>
      </c>
      <c r="F7" s="84">
        <v>3</v>
      </c>
      <c r="G7" s="85">
        <v>1000</v>
      </c>
      <c r="J7" s="65" t="s">
        <v>190</v>
      </c>
      <c r="K7" s="87">
        <f>COUNTIF(C5:C15,"&gt;30")</f>
        <v>7</v>
      </c>
    </row>
    <row r="8" spans="1:13" x14ac:dyDescent="0.25">
      <c r="A8" s="84" t="s">
        <v>191</v>
      </c>
      <c r="B8" s="84" t="s">
        <v>189</v>
      </c>
      <c r="C8" s="84">
        <v>55</v>
      </c>
      <c r="D8" s="84">
        <v>55</v>
      </c>
      <c r="E8" s="84">
        <v>160</v>
      </c>
      <c r="F8" s="84">
        <v>1</v>
      </c>
      <c r="G8" s="85">
        <v>1100</v>
      </c>
      <c r="J8" s="65" t="s">
        <v>192</v>
      </c>
      <c r="K8" s="87">
        <f>COUNTIF(D5:D15,"&gt;70")</f>
        <v>5</v>
      </c>
    </row>
    <row r="9" spans="1:13" ht="15.75" thickBot="1" x14ac:dyDescent="0.3">
      <c r="A9" s="84" t="s">
        <v>193</v>
      </c>
      <c r="B9" s="84" t="s">
        <v>184</v>
      </c>
      <c r="C9" s="84">
        <v>21</v>
      </c>
      <c r="D9" s="84">
        <v>100</v>
      </c>
      <c r="E9" s="84">
        <v>180</v>
      </c>
      <c r="F9" s="84">
        <v>1</v>
      </c>
      <c r="G9" s="85">
        <v>990</v>
      </c>
      <c r="J9" s="65" t="s">
        <v>194</v>
      </c>
      <c r="K9" s="88">
        <f>COUNTIF(F5:F15,"&gt;2")</f>
        <v>4</v>
      </c>
    </row>
    <row r="10" spans="1:13" x14ac:dyDescent="0.25">
      <c r="A10" s="84" t="s">
        <v>195</v>
      </c>
      <c r="B10" s="84" t="s">
        <v>189</v>
      </c>
      <c r="C10" s="84">
        <v>25</v>
      </c>
      <c r="D10" s="84">
        <v>69</v>
      </c>
      <c r="E10" s="84">
        <v>140</v>
      </c>
      <c r="F10" s="84">
        <v>5</v>
      </c>
      <c r="G10" s="85">
        <v>750</v>
      </c>
    </row>
    <row r="11" spans="1:13" x14ac:dyDescent="0.25">
      <c r="A11" s="84" t="s">
        <v>196</v>
      </c>
      <c r="B11" s="84" t="s">
        <v>184</v>
      </c>
      <c r="C11" s="84">
        <v>36</v>
      </c>
      <c r="D11" s="84">
        <v>78</v>
      </c>
      <c r="E11" s="84">
        <v>169</v>
      </c>
      <c r="F11" s="84">
        <v>3</v>
      </c>
      <c r="G11" s="85">
        <v>500</v>
      </c>
    </row>
    <row r="12" spans="1:13" x14ac:dyDescent="0.25">
      <c r="A12" s="84" t="s">
        <v>197</v>
      </c>
      <c r="B12" s="84" t="s">
        <v>184</v>
      </c>
      <c r="C12" s="84">
        <v>45</v>
      </c>
      <c r="D12" s="84">
        <v>66</v>
      </c>
      <c r="E12" s="84">
        <v>172</v>
      </c>
      <c r="F12" s="84">
        <v>6</v>
      </c>
      <c r="G12" s="85">
        <v>498</v>
      </c>
    </row>
    <row r="13" spans="1:13" x14ac:dyDescent="0.25">
      <c r="A13" s="84" t="s">
        <v>198</v>
      </c>
      <c r="B13" s="84" t="s">
        <v>189</v>
      </c>
      <c r="C13" s="84">
        <v>21</v>
      </c>
      <c r="D13" s="84">
        <v>48</v>
      </c>
      <c r="E13" s="84">
        <v>150</v>
      </c>
      <c r="F13" s="84">
        <v>0</v>
      </c>
      <c r="G13" s="85">
        <v>600</v>
      </c>
      <c r="J13" s="134">
        <f>COUNTIF(G5:G15,"&gt;900")</f>
        <v>3</v>
      </c>
      <c r="K13" s="153" t="s">
        <v>262</v>
      </c>
      <c r="L13" s="139"/>
      <c r="M13" s="139"/>
    </row>
    <row r="14" spans="1:13" x14ac:dyDescent="0.25">
      <c r="A14" s="84" t="s">
        <v>199</v>
      </c>
      <c r="B14" s="84" t="s">
        <v>189</v>
      </c>
      <c r="C14" s="84">
        <v>32</v>
      </c>
      <c r="D14" s="84">
        <v>60</v>
      </c>
      <c r="E14" s="84">
        <v>155</v>
      </c>
      <c r="F14" s="84">
        <v>0</v>
      </c>
      <c r="G14" s="85">
        <v>750</v>
      </c>
      <c r="J14" s="135">
        <f>SUMIF(G5:G15,"&gt;900")</f>
        <v>3090</v>
      </c>
      <c r="K14" s="152" t="s">
        <v>263</v>
      </c>
      <c r="L14" s="139"/>
      <c r="M14" s="139"/>
    </row>
    <row r="15" spans="1:13" x14ac:dyDescent="0.25">
      <c r="A15" s="84" t="s">
        <v>200</v>
      </c>
      <c r="B15" s="84" t="s">
        <v>184</v>
      </c>
      <c r="C15" s="84">
        <v>41</v>
      </c>
      <c r="D15" s="84">
        <v>80</v>
      </c>
      <c r="E15" s="84">
        <v>175</v>
      </c>
      <c r="F15" s="84">
        <v>0</v>
      </c>
      <c r="G15" s="85">
        <v>755</v>
      </c>
      <c r="J15" s="69">
        <f>SUMIF(G5:G15,"&lt;700")</f>
        <v>1598</v>
      </c>
      <c r="K15" s="152" t="s">
        <v>264</v>
      </c>
      <c r="L15" s="139"/>
      <c r="M15" s="139"/>
    </row>
    <row r="17" spans="1:10" x14ac:dyDescent="0.25">
      <c r="J17" s="89"/>
    </row>
    <row r="18" spans="1:10" x14ac:dyDescent="0.25">
      <c r="A18" s="151" t="s">
        <v>201</v>
      </c>
      <c r="B18" s="151"/>
    </row>
    <row r="19" spans="1:10" x14ac:dyDescent="0.25">
      <c r="A19" s="145" t="s">
        <v>202</v>
      </c>
      <c r="B19" s="146"/>
      <c r="C19" s="90"/>
      <c r="D19" s="90"/>
      <c r="E19" s="90"/>
      <c r="F19" s="90"/>
      <c r="G19" s="91"/>
    </row>
    <row r="20" spans="1:10" x14ac:dyDescent="0.25">
      <c r="A20" s="145" t="s">
        <v>203</v>
      </c>
      <c r="B20" s="146"/>
      <c r="C20" s="70"/>
      <c r="D20" s="70"/>
      <c r="E20" s="70"/>
      <c r="F20" s="70"/>
      <c r="G20" s="91"/>
    </row>
    <row r="21" spans="1:10" x14ac:dyDescent="0.25">
      <c r="A21" s="145" t="s">
        <v>204</v>
      </c>
      <c r="B21" s="146"/>
      <c r="C21" s="70"/>
      <c r="D21" s="70"/>
      <c r="E21" s="70"/>
      <c r="F21" s="70"/>
      <c r="G21" s="91"/>
    </row>
    <row r="22" spans="1:10" x14ac:dyDescent="0.25">
      <c r="A22" s="145" t="s">
        <v>205</v>
      </c>
      <c r="B22" s="146"/>
      <c r="C22" s="92"/>
      <c r="D22" s="92"/>
      <c r="E22" s="77"/>
      <c r="F22" s="90">
        <f>SUM(F5:F15)</f>
        <v>21</v>
      </c>
      <c r="G22" s="91">
        <f>SUM(G5:G15)</f>
        <v>8543</v>
      </c>
    </row>
  </sheetData>
  <mergeCells count="11">
    <mergeCell ref="A21:B21"/>
    <mergeCell ref="A22:B22"/>
    <mergeCell ref="A1:G1"/>
    <mergeCell ref="J3:K3"/>
    <mergeCell ref="J4:K4"/>
    <mergeCell ref="A18:B18"/>
    <mergeCell ref="A19:B19"/>
    <mergeCell ref="A20:B20"/>
    <mergeCell ref="K14:M14"/>
    <mergeCell ref="K15:M15"/>
    <mergeCell ref="K13:M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EDDD-1AAB-4465-93E2-E466EFB4CAA1}">
  <dimension ref="A1:L24"/>
  <sheetViews>
    <sheetView workbookViewId="0">
      <selection activeCell="M10" sqref="M10"/>
    </sheetView>
  </sheetViews>
  <sheetFormatPr defaultRowHeight="15" x14ac:dyDescent="0.25"/>
  <cols>
    <col min="2" max="2" width="16.85546875" customWidth="1"/>
    <col min="3" max="3" width="17.7109375" customWidth="1"/>
    <col min="4" max="4" width="13" bestFit="1" customWidth="1"/>
    <col min="5" max="5" width="17.28515625" bestFit="1" customWidth="1"/>
    <col min="6" max="6" width="16.5703125" customWidth="1"/>
    <col min="7" max="7" width="23.5703125" bestFit="1" customWidth="1"/>
    <col min="8" max="8" width="17.28515625" customWidth="1"/>
    <col min="9" max="9" width="5.28515625" customWidth="1"/>
    <col min="10" max="10" width="18.42578125" customWidth="1"/>
    <col min="11" max="11" width="13.140625" customWidth="1"/>
  </cols>
  <sheetData>
    <row r="1" spans="1:12" ht="18.75" thickBot="1" x14ac:dyDescent="0.4">
      <c r="A1" s="93"/>
      <c r="B1" s="154" t="s">
        <v>206</v>
      </c>
      <c r="C1" s="155"/>
      <c r="D1" s="155"/>
      <c r="E1" s="155"/>
      <c r="F1" s="155"/>
      <c r="G1" s="155"/>
      <c r="H1" s="156"/>
    </row>
    <row r="2" spans="1:12" ht="16.5" x14ac:dyDescent="0.25">
      <c r="A2" s="94"/>
      <c r="B2" s="95" t="s">
        <v>207</v>
      </c>
      <c r="C2" s="96" t="s">
        <v>208</v>
      </c>
      <c r="D2" s="96" t="s">
        <v>209</v>
      </c>
      <c r="E2" s="96" t="s">
        <v>210</v>
      </c>
      <c r="F2" s="96" t="s">
        <v>211</v>
      </c>
      <c r="G2" s="97" t="s">
        <v>212</v>
      </c>
      <c r="H2" s="98" t="s">
        <v>213</v>
      </c>
    </row>
    <row r="3" spans="1:12" ht="16.5" x14ac:dyDescent="0.3">
      <c r="A3" s="93"/>
      <c r="B3" s="99" t="s">
        <v>214</v>
      </c>
      <c r="C3" s="100">
        <v>14400</v>
      </c>
      <c r="D3" s="101">
        <f>C3*$A$24</f>
        <v>3312</v>
      </c>
      <c r="E3" s="102">
        <f>(C3*10%)+(D3*7%)</f>
        <v>1671.8400000000001</v>
      </c>
      <c r="F3" s="101">
        <f>C3*0.2%</f>
        <v>28.8</v>
      </c>
      <c r="G3" s="103">
        <f t="shared" ref="G3:G15" si="0">SUM(C3:F3)</f>
        <v>19412.64</v>
      </c>
      <c r="H3" s="104" t="s">
        <v>215</v>
      </c>
      <c r="K3" s="10" t="s">
        <v>265</v>
      </c>
      <c r="L3" s="10">
        <f>COUNTIF($B$3:$B$15,"FIAT")</f>
        <v>3</v>
      </c>
    </row>
    <row r="4" spans="1:12" ht="16.5" x14ac:dyDescent="0.3">
      <c r="A4" s="93"/>
      <c r="B4" s="99" t="s">
        <v>216</v>
      </c>
      <c r="C4" s="100">
        <v>41000</v>
      </c>
      <c r="D4" s="101">
        <f t="shared" ref="D4:D15" si="1">C4*$A$24</f>
        <v>9430</v>
      </c>
      <c r="E4" s="102">
        <f t="shared" ref="E4:E15" si="2">(C4*10%)+(D4*7%)</f>
        <v>4760.1000000000004</v>
      </c>
      <c r="F4" s="101">
        <f t="shared" ref="F4:F15" si="3">C4*0.2%</f>
        <v>82</v>
      </c>
      <c r="G4" s="103">
        <f t="shared" si="0"/>
        <v>55272.1</v>
      </c>
      <c r="H4" s="104" t="s">
        <v>215</v>
      </c>
      <c r="K4" s="10" t="s">
        <v>266</v>
      </c>
      <c r="L4" s="10">
        <f>COUNTIF($B$3:$B$15,"Audi")</f>
        <v>2</v>
      </c>
    </row>
    <row r="5" spans="1:12" ht="16.5" x14ac:dyDescent="0.3">
      <c r="A5" s="93"/>
      <c r="B5" s="99" t="s">
        <v>217</v>
      </c>
      <c r="C5" s="100">
        <v>25000</v>
      </c>
      <c r="D5" s="101">
        <f t="shared" si="1"/>
        <v>5750</v>
      </c>
      <c r="E5" s="102">
        <f t="shared" si="2"/>
        <v>2902.5</v>
      </c>
      <c r="F5" s="101">
        <f t="shared" si="3"/>
        <v>50</v>
      </c>
      <c r="G5" s="103">
        <f t="shared" si="0"/>
        <v>33702.5</v>
      </c>
      <c r="H5" s="104" t="s">
        <v>215</v>
      </c>
      <c r="K5" s="10" t="s">
        <v>267</v>
      </c>
      <c r="L5" s="10">
        <f>COUNTIF($B$3:$B$15,"Tesla")</f>
        <v>1</v>
      </c>
    </row>
    <row r="6" spans="1:12" ht="17.25" thickBot="1" x14ac:dyDescent="0.35">
      <c r="A6" s="93"/>
      <c r="B6" s="99" t="s">
        <v>214</v>
      </c>
      <c r="C6" s="100">
        <v>16234.97</v>
      </c>
      <c r="D6" s="101">
        <f t="shared" si="1"/>
        <v>3734.0430999999999</v>
      </c>
      <c r="E6" s="102">
        <f t="shared" si="2"/>
        <v>1884.880017</v>
      </c>
      <c r="F6" s="101">
        <f t="shared" si="3"/>
        <v>32.469940000000001</v>
      </c>
      <c r="G6" s="103">
        <f t="shared" si="0"/>
        <v>21886.363056999999</v>
      </c>
      <c r="H6" s="104" t="s">
        <v>218</v>
      </c>
      <c r="K6" s="10" t="s">
        <v>268</v>
      </c>
      <c r="L6" s="10">
        <f>COUNTIF($B$3:$B$15,"Ford")</f>
        <v>2</v>
      </c>
    </row>
    <row r="7" spans="1:12" ht="16.5" x14ac:dyDescent="0.3">
      <c r="A7" s="93"/>
      <c r="B7" s="99" t="s">
        <v>219</v>
      </c>
      <c r="C7" s="105">
        <v>75000</v>
      </c>
      <c r="D7" s="101">
        <f t="shared" si="1"/>
        <v>17250</v>
      </c>
      <c r="E7" s="102">
        <f t="shared" si="2"/>
        <v>8707.5</v>
      </c>
      <c r="F7" s="101">
        <f t="shared" si="3"/>
        <v>150</v>
      </c>
      <c r="G7" s="103">
        <f t="shared" si="0"/>
        <v>101107.5</v>
      </c>
      <c r="H7" s="104" t="s">
        <v>218</v>
      </c>
      <c r="J7" s="106" t="s">
        <v>220</v>
      </c>
    </row>
    <row r="8" spans="1:12" ht="16.5" x14ac:dyDescent="0.3">
      <c r="A8" s="93"/>
      <c r="B8" s="99" t="s">
        <v>214</v>
      </c>
      <c r="C8" s="100">
        <v>12769.23</v>
      </c>
      <c r="D8" s="101">
        <f t="shared" si="1"/>
        <v>2936.9229</v>
      </c>
      <c r="E8" s="102">
        <f t="shared" si="2"/>
        <v>1482.507603</v>
      </c>
      <c r="F8" s="101">
        <f t="shared" si="3"/>
        <v>25.538460000000001</v>
      </c>
      <c r="G8" s="103">
        <f t="shared" si="0"/>
        <v>17214.198962999999</v>
      </c>
      <c r="H8" s="104" t="s">
        <v>218</v>
      </c>
      <c r="J8" s="107" t="s">
        <v>221</v>
      </c>
    </row>
    <row r="9" spans="1:12" ht="17.25" thickBot="1" x14ac:dyDescent="0.35">
      <c r="A9" s="93"/>
      <c r="B9" s="99" t="s">
        <v>222</v>
      </c>
      <c r="C9" s="100">
        <v>32636.35</v>
      </c>
      <c r="D9" s="101">
        <f t="shared" si="1"/>
        <v>7506.3604999999998</v>
      </c>
      <c r="E9" s="102">
        <f t="shared" si="2"/>
        <v>3789.0802350000004</v>
      </c>
      <c r="F9" s="101">
        <f t="shared" si="3"/>
        <v>65.2727</v>
      </c>
      <c r="G9" s="103">
        <f t="shared" si="0"/>
        <v>43997.063435000004</v>
      </c>
      <c r="H9" s="104" t="s">
        <v>215</v>
      </c>
      <c r="J9" s="108" t="s">
        <v>223</v>
      </c>
    </row>
    <row r="10" spans="1:12" ht="18.75" thickBot="1" x14ac:dyDescent="0.4">
      <c r="A10" s="93"/>
      <c r="B10" s="99" t="s">
        <v>224</v>
      </c>
      <c r="C10" s="100">
        <v>42800.05</v>
      </c>
      <c r="D10" s="101">
        <f t="shared" si="1"/>
        <v>9844.0115000000005</v>
      </c>
      <c r="E10" s="102">
        <f t="shared" si="2"/>
        <v>4969.0858050000006</v>
      </c>
      <c r="F10" s="101">
        <f t="shared" si="3"/>
        <v>85.600100000000012</v>
      </c>
      <c r="G10" s="103">
        <f t="shared" si="0"/>
        <v>57698.747405000009</v>
      </c>
      <c r="H10" s="104" t="s">
        <v>215</v>
      </c>
      <c r="J10" s="109">
        <f>COUNTIF(B3:B15,"FIAT")</f>
        <v>3</v>
      </c>
    </row>
    <row r="11" spans="1:12" ht="16.5" x14ac:dyDescent="0.3">
      <c r="A11" s="93"/>
      <c r="B11" s="99" t="s">
        <v>225</v>
      </c>
      <c r="C11" s="100">
        <v>16234.97</v>
      </c>
      <c r="D11" s="101">
        <f t="shared" si="1"/>
        <v>3734.0430999999999</v>
      </c>
      <c r="E11" s="102">
        <f t="shared" si="2"/>
        <v>1884.880017</v>
      </c>
      <c r="F11" s="101">
        <f t="shared" si="3"/>
        <v>32.469940000000001</v>
      </c>
      <c r="G11" s="103">
        <f t="shared" si="0"/>
        <v>21886.363056999999</v>
      </c>
      <c r="H11" s="104" t="s">
        <v>215</v>
      </c>
    </row>
    <row r="12" spans="1:12" ht="16.5" x14ac:dyDescent="0.3">
      <c r="A12" s="93"/>
      <c r="B12" s="99" t="s">
        <v>217</v>
      </c>
      <c r="C12" s="100">
        <v>22934.73</v>
      </c>
      <c r="D12" s="101">
        <f t="shared" si="1"/>
        <v>5274.9879000000001</v>
      </c>
      <c r="E12" s="102">
        <f t="shared" si="2"/>
        <v>2662.7221530000002</v>
      </c>
      <c r="F12" s="101">
        <f t="shared" si="3"/>
        <v>45.869459999999997</v>
      </c>
      <c r="G12" s="103">
        <f t="shared" si="0"/>
        <v>30918.309513</v>
      </c>
      <c r="H12" s="104" t="s">
        <v>215</v>
      </c>
    </row>
    <row r="13" spans="1:12" ht="16.5" x14ac:dyDescent="0.3">
      <c r="A13" s="93"/>
      <c r="B13" s="99" t="s">
        <v>216</v>
      </c>
      <c r="C13" s="100">
        <v>16011.41</v>
      </c>
      <c r="D13" s="101">
        <f t="shared" si="1"/>
        <v>3682.6242999999999</v>
      </c>
      <c r="E13" s="102">
        <f t="shared" si="2"/>
        <v>1858.9247010000001</v>
      </c>
      <c r="F13" s="101">
        <f t="shared" si="3"/>
        <v>32.022820000000003</v>
      </c>
      <c r="G13" s="103">
        <f t="shared" si="0"/>
        <v>21584.981820999998</v>
      </c>
      <c r="H13" s="104" t="s">
        <v>218</v>
      </c>
      <c r="J13" s="157" t="s">
        <v>226</v>
      </c>
      <c r="K13" s="157"/>
    </row>
    <row r="14" spans="1:12" ht="16.5" x14ac:dyDescent="0.3">
      <c r="A14" s="93"/>
      <c r="B14" s="99" t="s">
        <v>227</v>
      </c>
      <c r="C14" s="100">
        <v>14474.76</v>
      </c>
      <c r="D14" s="101">
        <f t="shared" si="1"/>
        <v>3329.1948000000002</v>
      </c>
      <c r="E14" s="102">
        <f t="shared" si="2"/>
        <v>1680.5196360000002</v>
      </c>
      <c r="F14" s="101">
        <f t="shared" si="3"/>
        <v>28.94952</v>
      </c>
      <c r="G14" s="103">
        <f t="shared" si="0"/>
        <v>19513.423955999999</v>
      </c>
      <c r="H14" s="104" t="s">
        <v>218</v>
      </c>
      <c r="J14" s="110" t="s">
        <v>218</v>
      </c>
      <c r="K14" s="111">
        <f>COUNTIF(H3:$H$15,H6)</f>
        <v>5</v>
      </c>
    </row>
    <row r="15" spans="1:12" ht="17.25" thickBot="1" x14ac:dyDescent="0.35">
      <c r="A15" s="93"/>
      <c r="B15" s="112" t="s">
        <v>228</v>
      </c>
      <c r="C15" s="113">
        <v>12320.31</v>
      </c>
      <c r="D15" s="101">
        <f t="shared" si="1"/>
        <v>2833.6713</v>
      </c>
      <c r="E15" s="102">
        <f t="shared" si="2"/>
        <v>1430.3879910000001</v>
      </c>
      <c r="F15" s="101">
        <f t="shared" si="3"/>
        <v>24.640619999999998</v>
      </c>
      <c r="G15" s="103">
        <f t="shared" si="0"/>
        <v>16609.009910999997</v>
      </c>
      <c r="H15" s="114" t="s">
        <v>215</v>
      </c>
      <c r="J15" s="110" t="s">
        <v>215</v>
      </c>
      <c r="K15" s="111">
        <f>COUNTIF(H3:$H$15,H3)</f>
        <v>8</v>
      </c>
    </row>
    <row r="16" spans="1:12" ht="17.25" thickBot="1" x14ac:dyDescent="0.35">
      <c r="A16" s="93"/>
      <c r="B16" s="115"/>
      <c r="C16" s="116"/>
      <c r="D16" s="117"/>
      <c r="E16" s="117"/>
      <c r="F16" s="117"/>
      <c r="G16" s="117"/>
    </row>
    <row r="17" spans="1:7" ht="17.25" thickBot="1" x14ac:dyDescent="0.35">
      <c r="B17" s="118" t="s">
        <v>229</v>
      </c>
      <c r="C17" s="119"/>
      <c r="D17" s="119"/>
      <c r="E17" s="119"/>
      <c r="F17" s="119"/>
      <c r="G17" s="119"/>
    </row>
    <row r="18" spans="1:7" ht="18" thickTop="1" thickBot="1" x14ac:dyDescent="0.35">
      <c r="B18" s="120" t="s">
        <v>114</v>
      </c>
      <c r="C18" s="121"/>
      <c r="D18" s="121"/>
      <c r="E18" s="121"/>
      <c r="F18" s="121"/>
      <c r="G18" s="121"/>
    </row>
    <row r="19" spans="1:7" ht="18" thickTop="1" thickBot="1" x14ac:dyDescent="0.35">
      <c r="B19" s="120" t="s">
        <v>230</v>
      </c>
      <c r="C19" s="121"/>
      <c r="D19" s="121"/>
      <c r="E19" s="121"/>
      <c r="F19" s="121"/>
      <c r="G19" s="121"/>
    </row>
    <row r="20" spans="1:7" ht="18" thickTop="1" thickBot="1" x14ac:dyDescent="0.35">
      <c r="B20" s="122" t="s">
        <v>231</v>
      </c>
      <c r="C20" s="123"/>
      <c r="D20" s="123"/>
      <c r="E20" s="123"/>
      <c r="F20" s="123"/>
      <c r="G20" s="123"/>
    </row>
    <row r="21" spans="1:7" ht="16.5" x14ac:dyDescent="0.3">
      <c r="A21" s="93"/>
      <c r="B21" s="93"/>
      <c r="C21" s="93"/>
      <c r="D21" s="93"/>
      <c r="E21" s="93"/>
      <c r="F21" s="93"/>
      <c r="G21" s="93"/>
    </row>
    <row r="22" spans="1:7" ht="17.25" thickBot="1" x14ac:dyDescent="0.35">
      <c r="A22" s="93"/>
      <c r="B22" s="93"/>
      <c r="C22" s="93"/>
      <c r="D22" s="93"/>
      <c r="E22" s="93"/>
      <c r="F22" s="93"/>
      <c r="G22" s="93"/>
    </row>
    <row r="23" spans="1:7" ht="18.75" thickTop="1" x14ac:dyDescent="0.35">
      <c r="A23" s="124" t="s">
        <v>209</v>
      </c>
      <c r="B23" s="93"/>
      <c r="C23" s="158" t="s">
        <v>210</v>
      </c>
      <c r="D23" s="159"/>
      <c r="E23" s="93"/>
      <c r="F23" s="158" t="s">
        <v>211</v>
      </c>
      <c r="G23" s="159"/>
    </row>
    <row r="24" spans="1:7" ht="17.25" thickBot="1" x14ac:dyDescent="0.35">
      <c r="A24" s="125">
        <v>0.23</v>
      </c>
      <c r="B24" s="93"/>
      <c r="C24" s="160" t="s">
        <v>232</v>
      </c>
      <c r="D24" s="161"/>
      <c r="E24" s="93"/>
      <c r="F24" s="162" t="s">
        <v>233</v>
      </c>
      <c r="G24" s="163"/>
    </row>
  </sheetData>
  <mergeCells count="6">
    <mergeCell ref="B1:H1"/>
    <mergeCell ref="J13:K13"/>
    <mergeCell ref="C23:D23"/>
    <mergeCell ref="F23:G23"/>
    <mergeCell ref="C24:D24"/>
    <mergeCell ref="F24:G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3908-1C85-4C92-987D-F99FAA24FEA0}">
  <dimension ref="A1:D27"/>
  <sheetViews>
    <sheetView tabSelected="1" topLeftCell="A9" zoomScale="115" zoomScaleNormal="115" workbookViewId="0">
      <selection activeCell="N19" sqref="N19"/>
    </sheetView>
  </sheetViews>
  <sheetFormatPr defaultRowHeight="15" x14ac:dyDescent="0.25"/>
  <cols>
    <col min="1" max="1" width="20.28515625" customWidth="1"/>
    <col min="2" max="2" width="19.140625" customWidth="1"/>
    <col min="3" max="3" width="22.85546875" bestFit="1" customWidth="1"/>
  </cols>
  <sheetData>
    <row r="1" spans="1:4" ht="15.75" x14ac:dyDescent="0.25">
      <c r="A1" s="8" t="s">
        <v>138</v>
      </c>
    </row>
    <row r="2" spans="1:4" ht="4.5" customHeight="1" x14ac:dyDescent="0.25"/>
    <row r="3" spans="1:4" ht="15.75" x14ac:dyDescent="0.25">
      <c r="A3" s="8" t="s">
        <v>74</v>
      </c>
    </row>
    <row r="4" spans="1:4" ht="18.75" x14ac:dyDescent="0.3">
      <c r="A4" s="23" t="s">
        <v>75</v>
      </c>
      <c r="B4" s="24" t="s">
        <v>76</v>
      </c>
      <c r="C4" s="24" t="s">
        <v>77</v>
      </c>
    </row>
    <row r="5" spans="1:4" ht="18.75" x14ac:dyDescent="0.3">
      <c r="A5" s="25" t="s">
        <v>80</v>
      </c>
      <c r="B5" s="26">
        <v>1562</v>
      </c>
      <c r="C5" s="27">
        <v>150323.23000000001</v>
      </c>
    </row>
    <row r="6" spans="1:4" ht="18.75" x14ac:dyDescent="0.3">
      <c r="A6" s="25" t="s">
        <v>73</v>
      </c>
      <c r="B6" s="26">
        <v>1751</v>
      </c>
      <c r="C6" s="27">
        <v>230151.1</v>
      </c>
    </row>
    <row r="7" spans="1:4" ht="18.75" x14ac:dyDescent="0.3">
      <c r="A7" s="25" t="s">
        <v>137</v>
      </c>
      <c r="B7" s="28">
        <v>2541</v>
      </c>
      <c r="C7" s="29">
        <v>542023.69999999995</v>
      </c>
    </row>
    <row r="8" spans="1:4" ht="8.25" customHeight="1" x14ac:dyDescent="0.25"/>
    <row r="9" spans="1:4" ht="15.75" x14ac:dyDescent="0.25">
      <c r="A9" s="30" t="s">
        <v>78</v>
      </c>
    </row>
    <row r="10" spans="1:4" ht="15.75" x14ac:dyDescent="0.25">
      <c r="A10" s="30" t="s">
        <v>79</v>
      </c>
    </row>
    <row r="11" spans="1:4" ht="4.5" customHeight="1" x14ac:dyDescent="0.25"/>
    <row r="12" spans="1:4" ht="28.5" x14ac:dyDescent="0.25">
      <c r="A12" s="56" t="s">
        <v>139</v>
      </c>
      <c r="B12" s="47"/>
      <c r="C12" s="47"/>
    </row>
    <row r="13" spans="1:4" ht="4.5" customHeight="1" x14ac:dyDescent="0.25">
      <c r="A13" s="48"/>
      <c r="B13" s="49"/>
      <c r="C13" s="49"/>
    </row>
    <row r="14" spans="1:4" ht="30" x14ac:dyDescent="0.3">
      <c r="A14" s="50" t="s">
        <v>140</v>
      </c>
      <c r="B14" s="51" t="s">
        <v>141</v>
      </c>
      <c r="C14" s="52" t="s">
        <v>142</v>
      </c>
      <c r="D14" s="53"/>
    </row>
    <row r="15" spans="1:4" ht="17.25" x14ac:dyDescent="0.3">
      <c r="A15" s="57" t="s">
        <v>143</v>
      </c>
      <c r="B15" s="54">
        <v>1500</v>
      </c>
      <c r="C15" s="55">
        <f>B15/$B$24</f>
        <v>0.15789473684210525</v>
      </c>
      <c r="D15" s="53"/>
    </row>
    <row r="16" spans="1:4" ht="17.25" x14ac:dyDescent="0.3">
      <c r="A16" s="57" t="s">
        <v>144</v>
      </c>
      <c r="B16" s="54">
        <v>1600</v>
      </c>
      <c r="C16" s="55">
        <f t="shared" ref="C16:C23" si="0">B16/$B$24</f>
        <v>0.16842105263157894</v>
      </c>
      <c r="D16" s="53"/>
    </row>
    <row r="17" spans="1:4" ht="17.25" x14ac:dyDescent="0.3">
      <c r="A17" s="57" t="s">
        <v>145</v>
      </c>
      <c r="B17" s="54">
        <v>1250</v>
      </c>
      <c r="C17" s="55">
        <f t="shared" si="0"/>
        <v>0.13157894736842105</v>
      </c>
      <c r="D17" s="53"/>
    </row>
    <row r="18" spans="1:4" ht="17.25" x14ac:dyDescent="0.3">
      <c r="A18" s="57" t="s">
        <v>146</v>
      </c>
      <c r="B18" s="54">
        <v>300</v>
      </c>
      <c r="C18" s="55">
        <f t="shared" si="0"/>
        <v>3.1578947368421054E-2</v>
      </c>
      <c r="D18" s="53"/>
    </row>
    <row r="19" spans="1:4" ht="25.5" x14ac:dyDescent="0.3">
      <c r="A19" s="57" t="s">
        <v>147</v>
      </c>
      <c r="B19" s="54">
        <v>2000</v>
      </c>
      <c r="C19" s="55">
        <f t="shared" si="0"/>
        <v>0.21052631578947367</v>
      </c>
      <c r="D19" s="53"/>
    </row>
    <row r="20" spans="1:4" ht="17.25" x14ac:dyDescent="0.3">
      <c r="A20" s="57" t="s">
        <v>148</v>
      </c>
      <c r="B20" s="54">
        <v>350</v>
      </c>
      <c r="C20" s="55">
        <f t="shared" si="0"/>
        <v>3.6842105263157891E-2</v>
      </c>
      <c r="D20" s="53"/>
    </row>
    <row r="21" spans="1:4" ht="17.25" x14ac:dyDescent="0.3">
      <c r="A21" s="57" t="s">
        <v>149</v>
      </c>
      <c r="B21" s="54">
        <v>1400</v>
      </c>
      <c r="C21" s="55">
        <f t="shared" si="0"/>
        <v>0.14736842105263157</v>
      </c>
      <c r="D21" s="53"/>
    </row>
    <row r="22" spans="1:4" ht="17.25" x14ac:dyDescent="0.3">
      <c r="A22" s="57" t="s">
        <v>150</v>
      </c>
      <c r="B22" s="54">
        <v>500</v>
      </c>
      <c r="C22" s="55">
        <f t="shared" si="0"/>
        <v>5.2631578947368418E-2</v>
      </c>
      <c r="D22" s="53"/>
    </row>
    <row r="23" spans="1:4" ht="17.25" x14ac:dyDescent="0.3">
      <c r="A23" s="57" t="s">
        <v>151</v>
      </c>
      <c r="B23" s="54">
        <v>600</v>
      </c>
      <c r="C23" s="55">
        <f t="shared" si="0"/>
        <v>6.3157894736842107E-2</v>
      </c>
      <c r="D23" s="53"/>
    </row>
    <row r="24" spans="1:4" ht="17.25" x14ac:dyDescent="0.3">
      <c r="A24" s="57" t="s">
        <v>63</v>
      </c>
      <c r="B24" s="58">
        <f>SUM(B15:B23)</f>
        <v>9500</v>
      </c>
      <c r="C24" s="59"/>
      <c r="D24" s="53"/>
    </row>
    <row r="25" spans="1:4" ht="17.25" x14ac:dyDescent="0.3">
      <c r="A25" s="53"/>
      <c r="B25" s="53"/>
      <c r="C25" s="53"/>
      <c r="D25" s="53"/>
    </row>
    <row r="26" spans="1:4" ht="17.25" x14ac:dyDescent="0.3">
      <c r="A26" s="30" t="s">
        <v>152</v>
      </c>
      <c r="B26" s="53"/>
      <c r="C26" s="53"/>
      <c r="D26" s="53"/>
    </row>
    <row r="27" spans="1:4" ht="17.25" x14ac:dyDescent="0.3">
      <c r="A27" s="30" t="s">
        <v>153</v>
      </c>
      <c r="B27" s="53"/>
      <c r="C27" s="53"/>
      <c r="D27" s="53"/>
    </row>
  </sheetData>
  <conditionalFormatting sqref="C5:C7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9D0EC-D645-4A2C-9CB8-A579EC568D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502E9F-D642-4AE1-A9AD-FE7F3A812B7B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3.xml><?xml version="1.0" encoding="utf-8"?>
<ds:datastoreItem xmlns:ds="http://schemas.openxmlformats.org/officeDocument/2006/customXml" ds:itemID="{7AE34486-C8C6-42AA-87BD-21ED8983A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Ex1</vt:lpstr>
      <vt:lpstr>Ex2</vt:lpstr>
      <vt:lpstr>Ex3</vt:lpstr>
      <vt:lpstr>Ex4</vt:lpstr>
      <vt:lpstr>Ex5</vt:lpstr>
      <vt:lpstr>Ex6</vt:lpstr>
      <vt:lpstr>Ex7</vt:lpstr>
      <vt:lpstr>Ex8</vt:lpstr>
      <vt:lpstr>Ex9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MANOEL BARATA</cp:lastModifiedBy>
  <dcterms:created xsi:type="dcterms:W3CDTF">2023-09-14T09:05:12Z</dcterms:created>
  <dcterms:modified xsi:type="dcterms:W3CDTF">2025-06-11T16:24:49Z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