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15B07000-D534-4943-A1A2-210DD70A0F6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Folha1" sheetId="8" r:id="rId1"/>
    <sheet name="TabDinIntro" sheetId="1" r:id="rId2"/>
    <sheet name="TabDin1" sheetId="7" r:id="rId3"/>
    <sheet name="TabDin2" sheetId="4" r:id="rId4"/>
    <sheet name="TabDin3" sheetId="5" r:id="rId5"/>
  </sheets>
  <definedNames>
    <definedName name="_xlnm._FilterDatabase" localSheetId="3" hidden="1">TabDin2!$A$1:$G$25</definedName>
    <definedName name="SegmentaçãoDeDados_Cliente">#N/A</definedName>
    <definedName name="SegmentaçãoDeDados_Cliente1">#N/A</definedName>
    <definedName name="SegmentaçãoDeDados_Distrito">#N/A</definedName>
    <definedName name="SegmentaçãoDeDados_Localidade">#N/A</definedName>
    <definedName name="SegmentaçãoDeDados_País">#N/A</definedName>
    <definedName name="SegmentaçãoDeDados_Vendas__euros">#N/A</definedName>
    <definedName name="SegmentaçãoDeDados_Vendedor">#N/A</definedName>
    <definedName name="SegmentaçãoDeDados_Vendedor1">#N/A</definedName>
  </definedNames>
  <calcPr calcId="191029"/>
  <pivotCaches>
    <pivotCache cacheId="35" r:id="rId6"/>
    <pivotCache cacheId="41" r:id="rId7"/>
    <pivotCache cacheId="48" r:id="rId8"/>
    <pivotCache cacheId="5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<sst xmlns="http://schemas.openxmlformats.org/spreadsheetml/2006/main" count="906" uniqueCount="96">
  <si>
    <t>Vendas a clientes</t>
  </si>
  <si>
    <t>Exercício:</t>
  </si>
  <si>
    <t>Cliente</t>
  </si>
  <si>
    <t>Localidade</t>
  </si>
  <si>
    <t>Produto</t>
  </si>
  <si>
    <t>1º Tri</t>
  </si>
  <si>
    <t>Abc LDA.</t>
  </si>
  <si>
    <t>Lisboa</t>
  </si>
  <si>
    <t>PC</t>
  </si>
  <si>
    <t>Osicom</t>
  </si>
  <si>
    <t>Porto</t>
  </si>
  <si>
    <t>Impressora</t>
  </si>
  <si>
    <t>At&amp;t</t>
  </si>
  <si>
    <t>Aveiro</t>
  </si>
  <si>
    <t>Goldstar</t>
  </si>
  <si>
    <t>Coimbra</t>
  </si>
  <si>
    <t>Criar Tabela e Gráfico Dinâmico</t>
  </si>
  <si>
    <t>Armando</t>
  </si>
  <si>
    <t>Factura</t>
  </si>
  <si>
    <t>Mês</t>
  </si>
  <si>
    <t>Día</t>
  </si>
  <si>
    <t>Valor</t>
  </si>
  <si>
    <t>Deportes García</t>
  </si>
  <si>
    <t>Junho</t>
  </si>
  <si>
    <t>Julho</t>
  </si>
  <si>
    <t>Agosto</t>
  </si>
  <si>
    <t>Setembro</t>
  </si>
  <si>
    <t>Esquí Alpino</t>
  </si>
  <si>
    <t>Ferretería Juanito</t>
  </si>
  <si>
    <t>La tienda de Windsurf</t>
  </si>
  <si>
    <t>La Vela de Oro</t>
  </si>
  <si>
    <t>Super Deportes</t>
  </si>
  <si>
    <t>Tarifa Deportes</t>
  </si>
  <si>
    <t>Scanner</t>
  </si>
  <si>
    <t>Jan</t>
  </si>
  <si>
    <t>Fev</t>
  </si>
  <si>
    <t>Mar</t>
  </si>
  <si>
    <t>Abr</t>
  </si>
  <si>
    <t>Mai</t>
  </si>
  <si>
    <t xml:space="preserve">Trimestre </t>
  </si>
  <si>
    <t>Região</t>
  </si>
  <si>
    <t>Distrito</t>
  </si>
  <si>
    <t>Representante</t>
  </si>
  <si>
    <t>Vendas</t>
  </si>
  <si>
    <t>Unidades</t>
  </si>
  <si>
    <t>1T</t>
  </si>
  <si>
    <t>Centro</t>
  </si>
  <si>
    <t>Viseu</t>
  </si>
  <si>
    <t>Repres. 3</t>
  </si>
  <si>
    <t>Repres. 1</t>
  </si>
  <si>
    <t>Norte</t>
  </si>
  <si>
    <t>Braga</t>
  </si>
  <si>
    <t>Repres. 2</t>
  </si>
  <si>
    <t>2T</t>
  </si>
  <si>
    <t>Crie uma Tabela Dinâmica a partir da Tabela Exemplo</t>
  </si>
  <si>
    <t>Vendedor</t>
  </si>
  <si>
    <t>Rui</t>
  </si>
  <si>
    <t>Luís</t>
  </si>
  <si>
    <t>Ana</t>
  </si>
  <si>
    <t>Vodafone</t>
  </si>
  <si>
    <t>Laptop</t>
  </si>
  <si>
    <t>França</t>
  </si>
  <si>
    <t>Itália</t>
  </si>
  <si>
    <t>Portugal</t>
  </si>
  <si>
    <t>Espanha</t>
  </si>
  <si>
    <t>País</t>
  </si>
  <si>
    <t>Trimestre/Ano</t>
  </si>
  <si>
    <t>Família</t>
  </si>
  <si>
    <t>Vendas (euros)</t>
  </si>
  <si>
    <t>Lucro_Bruto</t>
  </si>
  <si>
    <t>01/1T</t>
  </si>
  <si>
    <t>Arr</t>
  </si>
  <si>
    <t>V1</t>
  </si>
  <si>
    <t>Det</t>
  </si>
  <si>
    <t>V2</t>
  </si>
  <si>
    <t>Ac</t>
  </si>
  <si>
    <t>Guarda</t>
  </si>
  <si>
    <t>Mas</t>
  </si>
  <si>
    <t>V3</t>
  </si>
  <si>
    <t>01/2T</t>
  </si>
  <si>
    <t>Jun</t>
  </si>
  <si>
    <t>02/1T</t>
  </si>
  <si>
    <t>02/2T</t>
  </si>
  <si>
    <t>Rótulos de Linha</t>
  </si>
  <si>
    <t>Total Geral</t>
  </si>
  <si>
    <t>Rótulos de Coluna</t>
  </si>
  <si>
    <t>Soma de 1º Tri</t>
  </si>
  <si>
    <t>Soma de Vendas</t>
  </si>
  <si>
    <t>Soma de Unidades</t>
  </si>
  <si>
    <t>Soma de Valor</t>
  </si>
  <si>
    <t>Junho Total</t>
  </si>
  <si>
    <t>Julho Total</t>
  </si>
  <si>
    <t>Agosto Total</t>
  </si>
  <si>
    <t>Setembro Total</t>
  </si>
  <si>
    <t>Soma de Vendas (euros)</t>
  </si>
  <si>
    <t>Soma de Lucro_Bruto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</si>
</sst>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[$€-1]_-;\-* #,##0.00\ [$€-1]_-;_-* &quot;-&quot;??\ [$€-1]_-"/>
    <numFmt numFmtId="165" formatCode="#,##0.00\ &quot;€&quot;"/>
    <numFmt numFmtId="166" formatCode="_-* #,##0.00\ [$€-816]_-;\-* #,##0.00\ [$€-816]_-;_-* &quot;-&quot;??\ [$€-816]_-;_-@_-"/>
    <numFmt numFmtId="168" formatCode="_-[$€-2]\ * #,##0.00_-;\-[$€-2]\ * #,##0.00_-;_-[$€-2]\ * &quot;-&quot;??_-;_-@_-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4"/>
      <name val="Calibri"/>
      <family val="2"/>
      <scheme val="minor"/>
    </font>
    <font>
      <sz val="14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7">
    <xf numFmtId="0" fontId="0" fillId="0" borderId="0"/>
    <xf numFmtId="164" fontId="2" fillId="0" borderId="0" applyFon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17" borderId="9" applyNumberFormat="0" applyAlignment="0" applyProtection="0"/>
    <xf numFmtId="0" fontId="17" fillId="0" borderId="10" applyNumberFormat="0" applyFill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8" fillId="5" borderId="0" applyNumberFormat="0" applyBorder="0" applyAlignment="0" applyProtection="0"/>
    <xf numFmtId="0" fontId="19" fillId="8" borderId="9" applyNumberFormat="0" applyAlignment="0" applyProtection="0"/>
    <xf numFmtId="164" fontId="10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22" borderId="0" applyNumberFormat="0" applyBorder="0" applyAlignment="0" applyProtection="0"/>
    <xf numFmtId="0" fontId="2" fillId="23" borderId="11" applyNumberFormat="0" applyFont="0" applyAlignment="0" applyProtection="0"/>
    <xf numFmtId="0" fontId="22" fillId="17" borderId="12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3" applyNumberFormat="0" applyFill="0" applyAlignment="0" applyProtection="0"/>
    <xf numFmtId="0" fontId="27" fillId="24" borderId="14" applyNumberFormat="0" applyAlignment="0" applyProtection="0"/>
  </cellStyleXfs>
  <cellXfs count="33">
    <xf numFmtId="0" fontId="0" fillId="0" borderId="0" xfId="0"/>
    <xf numFmtId="0" fontId="0" fillId="0" borderId="4" xfId="0" applyBorder="1"/>
    <xf numFmtId="0" fontId="5" fillId="0" borderId="5" xfId="3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7" fillId="0" borderId="5" xfId="3" applyFont="1" applyBorder="1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0" fontId="2" fillId="0" borderId="0" xfId="3" quotePrefix="1" applyAlignment="1">
      <alignment horizontal="left"/>
    </xf>
    <xf numFmtId="0" fontId="2" fillId="0" borderId="0" xfId="3" applyAlignment="1">
      <alignment horizontal="left"/>
    </xf>
    <xf numFmtId="165" fontId="2" fillId="0" borderId="0" xfId="3" applyNumberFormat="1" applyAlignment="1">
      <alignment horizontal="right"/>
    </xf>
    <xf numFmtId="165" fontId="2" fillId="0" borderId="0" xfId="3" applyNumberFormat="1"/>
    <xf numFmtId="0" fontId="8" fillId="0" borderId="0" xfId="0" applyFont="1"/>
    <xf numFmtId="0" fontId="9" fillId="0" borderId="4" xfId="2" applyBorder="1"/>
    <xf numFmtId="0" fontId="0" fillId="0" borderId="0" xfId="3" applyFont="1" applyAlignment="1">
      <alignment horizontal="left"/>
    </xf>
    <xf numFmtId="166" fontId="0" fillId="0" borderId="0" xfId="0" applyNumberFormat="1"/>
    <xf numFmtId="0" fontId="28" fillId="0" borderId="0" xfId="0" applyFont="1" applyAlignment="1">
      <alignment horizontal="centerContinuous"/>
    </xf>
    <xf numFmtId="0" fontId="29" fillId="0" borderId="0" xfId="0" applyFont="1"/>
    <xf numFmtId="0" fontId="29" fillId="0" borderId="0" xfId="0" applyFont="1" applyAlignment="1">
      <alignment horizontal="centerContinuous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6" fontId="3" fillId="2" borderId="4" xfId="0" applyNumberFormat="1" applyFont="1" applyFill="1" applyBorder="1" applyAlignment="1">
      <alignment horizontal="center"/>
    </xf>
    <xf numFmtId="166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8" fontId="0" fillId="0" borderId="0" xfId="0" applyNumberFormat="1"/>
    <xf numFmtId="0" fontId="0" fillId="0" borderId="0" xfId="0" applyAlignment="1">
      <alignment horizontal="left" indent="2"/>
    </xf>
    <xf numFmtId="43" fontId="0" fillId="0" borderId="0" xfId="0" applyNumberFormat="1"/>
    <xf numFmtId="165" fontId="0" fillId="0" borderId="0" xfId="0" applyNumberFormat="1"/>
  </cellXfs>
  <cellStyles count="47">
    <cellStyle name="20% - Cor1 2" xfId="5" xr:uid="{00000000-0005-0000-0000-000000000000}"/>
    <cellStyle name="20% - Cor2 2" xfId="6" xr:uid="{00000000-0005-0000-0000-000001000000}"/>
    <cellStyle name="20% - Cor3 2" xfId="7" xr:uid="{00000000-0005-0000-0000-000002000000}"/>
    <cellStyle name="20% - Cor4 2" xfId="8" xr:uid="{00000000-0005-0000-0000-000003000000}"/>
    <cellStyle name="20% - Cor5 2" xfId="9" xr:uid="{00000000-0005-0000-0000-000004000000}"/>
    <cellStyle name="20% - Cor6 2" xfId="10" xr:uid="{00000000-0005-0000-0000-000005000000}"/>
    <cellStyle name="40% - Cor1 2" xfId="11" xr:uid="{00000000-0005-0000-0000-000006000000}"/>
    <cellStyle name="40% - Cor2 2" xfId="12" xr:uid="{00000000-0005-0000-0000-000007000000}"/>
    <cellStyle name="40% - Cor3 2" xfId="13" xr:uid="{00000000-0005-0000-0000-000008000000}"/>
    <cellStyle name="40% - Cor4 2" xfId="14" xr:uid="{00000000-0005-0000-0000-000009000000}"/>
    <cellStyle name="40% - Cor5 2" xfId="15" xr:uid="{00000000-0005-0000-0000-00000A000000}"/>
    <cellStyle name="40% - Cor6 2" xfId="16" xr:uid="{00000000-0005-0000-0000-00000B000000}"/>
    <cellStyle name="60% - Cor1 2" xfId="17" xr:uid="{00000000-0005-0000-0000-00000C000000}"/>
    <cellStyle name="60% - Cor2 2" xfId="18" xr:uid="{00000000-0005-0000-0000-00000D000000}"/>
    <cellStyle name="60% - Cor3 2" xfId="19" xr:uid="{00000000-0005-0000-0000-00000E000000}"/>
    <cellStyle name="60% - Cor4 2" xfId="20" xr:uid="{00000000-0005-0000-0000-00000F000000}"/>
    <cellStyle name="60% - Cor5 2" xfId="21" xr:uid="{00000000-0005-0000-0000-000010000000}"/>
    <cellStyle name="60% - Cor6 2" xfId="22" xr:uid="{00000000-0005-0000-0000-000011000000}"/>
    <cellStyle name="Cabeçalho 1 2" xfId="23" xr:uid="{00000000-0005-0000-0000-000012000000}"/>
    <cellStyle name="Cabeçalho 2 2" xfId="24" xr:uid="{00000000-0005-0000-0000-000013000000}"/>
    <cellStyle name="Cabeçalho 3 2" xfId="25" xr:uid="{00000000-0005-0000-0000-000014000000}"/>
    <cellStyle name="Cabeçalho 4 2" xfId="26" xr:uid="{00000000-0005-0000-0000-000015000000}"/>
    <cellStyle name="Cálculo 2" xfId="27" xr:uid="{00000000-0005-0000-0000-000016000000}"/>
    <cellStyle name="Célula Ligada 2" xfId="28" xr:uid="{00000000-0005-0000-0000-000017000000}"/>
    <cellStyle name="Cor1 2" xfId="29" xr:uid="{00000000-0005-0000-0000-000018000000}"/>
    <cellStyle name="Cor2 2" xfId="30" xr:uid="{00000000-0005-0000-0000-000019000000}"/>
    <cellStyle name="Cor3 2" xfId="31" xr:uid="{00000000-0005-0000-0000-00001A000000}"/>
    <cellStyle name="Cor4 2" xfId="32" xr:uid="{00000000-0005-0000-0000-00001B000000}"/>
    <cellStyle name="Cor5 2" xfId="33" xr:uid="{00000000-0005-0000-0000-00001C000000}"/>
    <cellStyle name="Cor6 2" xfId="34" xr:uid="{00000000-0005-0000-0000-00001D000000}"/>
    <cellStyle name="Correcto 2" xfId="35" xr:uid="{00000000-0005-0000-0000-00001E000000}"/>
    <cellStyle name="Entrada 2" xfId="36" xr:uid="{00000000-0005-0000-0000-00001F000000}"/>
    <cellStyle name="Euro" xfId="1" xr:uid="{00000000-0005-0000-0000-000020000000}"/>
    <cellStyle name="Euro 2" xfId="37" xr:uid="{00000000-0005-0000-0000-000021000000}"/>
    <cellStyle name="Incorrecto 2" xfId="38" xr:uid="{00000000-0005-0000-0000-000022000000}"/>
    <cellStyle name="Neutro 2" xfId="39" xr:uid="{00000000-0005-0000-0000-000023000000}"/>
    <cellStyle name="Normal" xfId="0" builtinId="0"/>
    <cellStyle name="Normal 2" xfId="2" xr:uid="{00000000-0005-0000-0000-000025000000}"/>
    <cellStyle name="Normal 3" xfId="4" xr:uid="{00000000-0005-0000-0000-000026000000}"/>
    <cellStyle name="Normal_excelinicial" xfId="3" xr:uid="{00000000-0005-0000-0000-000027000000}"/>
    <cellStyle name="Nota 2" xfId="40" xr:uid="{00000000-0005-0000-0000-000028000000}"/>
    <cellStyle name="Saída 2" xfId="41" xr:uid="{00000000-0005-0000-0000-000029000000}"/>
    <cellStyle name="Texto de Aviso 2" xfId="42" xr:uid="{00000000-0005-0000-0000-00002A000000}"/>
    <cellStyle name="Texto Explicativo 2" xfId="43" xr:uid="{00000000-0005-0000-0000-00002B000000}"/>
    <cellStyle name="Título 2" xfId="44" xr:uid="{00000000-0005-0000-0000-00002C000000}"/>
    <cellStyle name="Total 2" xfId="45" xr:uid="{00000000-0005-0000-0000-00002D000000}"/>
    <cellStyle name="Verificar Célula 2" xfId="46" xr:uid="{00000000-0005-0000-0000-00002E000000}"/>
  </cellStyles>
  <dxfs count="20"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8" formatCode="_-[$€-2]\ * #,##0.00_-;\-[$€-2]\ * #,##0.00_-;_-[$€-2]\ * &quot;-&quot;??_-;_-@_-"/>
    </dxf>
    <dxf>
      <numFmt numFmtId="168" formatCode="_-[$€-2]\ * #,##0.00_-;\-[$€-2]\ * #,##0.00_-;_-[$€-2]\ * &quot;-&quot;??_-;_-@_-"/>
    </dxf>
    <dxf>
      <numFmt numFmtId="168" formatCode="_-[$€-2]\ * #,##0.00_-;\-[$€-2]\ * #,##0.00_-;_-[$€-2]\ * &quot;-&quot;??_-;_-@_-"/>
    </dxf>
    <dxf>
      <numFmt numFmtId="168" formatCode="_-[$€-2]\ * #,##0.00_-;\-[$€-2]\ * #,##0.00_-;_-[$€-2]\ * &quot;-&quot;??_-;_-@_-"/>
    </dxf>
    <dxf>
      <numFmt numFmtId="34" formatCode="_-&quot;R$&quot;\ * #,##0.00_-;\-&quot;R$&quot;\ * #,##0.00_-;_-&quot;R$&quot;\ * &quot;-&quot;??_-;_-@_-"/>
    </dxf>
    <dxf>
      <numFmt numFmtId="168" formatCode="_-[$€-2]\ * #,##0.00_-;\-[$€-2]\ * #,##0.00_-;_-[$€-2]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customXml" Target="../customXml/item3.xml"/><Relationship Id="rId10" Type="http://schemas.microsoft.com/office/2007/relationships/slicerCache" Target="slicerCaches/slicerCache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5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[Ex1 Tabelas Dinâmicas.xlsx]Folha1!Tabela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11685441233721"/>
          <c:y val="0.15692775245199614"/>
          <c:w val="0.65384143967649977"/>
          <c:h val="0.603264953722889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Folha1!$B$3:$B$4</c:f>
              <c:strCache>
                <c:ptCount val="1"/>
                <c:pt idx="0">
                  <c:v>Impressora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Folha1!$A$5:$A$21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Fev</c:v>
                  </c:pt>
                  <c:pt idx="5">
                    <c:v>Abr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Jan</c:v>
                  </c:pt>
                  <c:pt idx="10">
                    <c:v>Fev</c:v>
                  </c:pt>
                  <c:pt idx="11">
                    <c:v>Mar</c:v>
                  </c:pt>
                </c:lvl>
                <c:lvl>
                  <c:pt idx="0">
                    <c:v>Aveiro</c:v>
                  </c:pt>
                  <c:pt idx="3">
                    <c:v>Coimbra</c:v>
                  </c:pt>
                  <c:pt idx="6">
                    <c:v>Lisboa</c:v>
                  </c:pt>
                  <c:pt idx="9">
                    <c:v>Porto</c:v>
                  </c:pt>
                </c:lvl>
              </c:multiLvlStrCache>
            </c:multiLvlStrRef>
          </c:cat>
          <c:val>
            <c:numRef>
              <c:f>Folha1!$B$5:$B$21</c:f>
              <c:numCache>
                <c:formatCode>General</c:formatCode>
                <c:ptCount val="12"/>
                <c:pt idx="3">
                  <c:v>140</c:v>
                </c:pt>
                <c:pt idx="7">
                  <c:v>2210</c:v>
                </c:pt>
                <c:pt idx="8">
                  <c:v>185</c:v>
                </c:pt>
                <c:pt idx="9">
                  <c:v>1450</c:v>
                </c:pt>
                <c:pt idx="10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5-4BF8-82BE-4B1DFE66D27E}"/>
            </c:ext>
          </c:extLst>
        </c:ser>
        <c:ser>
          <c:idx val="1"/>
          <c:order val="1"/>
          <c:tx>
            <c:strRef>
              <c:f>Folha1!$C$3:$C$4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Folha1!$A$5:$A$21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Fev</c:v>
                  </c:pt>
                  <c:pt idx="5">
                    <c:v>Abr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Jan</c:v>
                  </c:pt>
                  <c:pt idx="10">
                    <c:v>Fev</c:v>
                  </c:pt>
                  <c:pt idx="11">
                    <c:v>Mar</c:v>
                  </c:pt>
                </c:lvl>
                <c:lvl>
                  <c:pt idx="0">
                    <c:v>Aveiro</c:v>
                  </c:pt>
                  <c:pt idx="3">
                    <c:v>Coimbra</c:v>
                  </c:pt>
                  <c:pt idx="6">
                    <c:v>Lisboa</c:v>
                  </c:pt>
                  <c:pt idx="9">
                    <c:v>Porto</c:v>
                  </c:pt>
                </c:lvl>
              </c:multiLvlStrCache>
            </c:multiLvlStrRef>
          </c:cat>
          <c:val>
            <c:numRef>
              <c:f>Folha1!$C$5:$C$21</c:f>
              <c:numCache>
                <c:formatCode>General</c:formatCode>
                <c:ptCount val="12"/>
                <c:pt idx="1">
                  <c:v>3150</c:v>
                </c:pt>
                <c:pt idx="2">
                  <c:v>1850</c:v>
                </c:pt>
                <c:pt idx="6">
                  <c:v>1200</c:v>
                </c:pt>
                <c:pt idx="8">
                  <c:v>1750</c:v>
                </c:pt>
                <c:pt idx="1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5-4BF8-82BE-4B1DFE66D27E}"/>
            </c:ext>
          </c:extLst>
        </c:ser>
        <c:ser>
          <c:idx val="2"/>
          <c:order val="2"/>
          <c:tx>
            <c:strRef>
              <c:f>Folha1!$D$3:$D$4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Folha1!$A$5:$A$21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Fev</c:v>
                  </c:pt>
                  <c:pt idx="5">
                    <c:v>Abr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Jan</c:v>
                  </c:pt>
                  <c:pt idx="10">
                    <c:v>Fev</c:v>
                  </c:pt>
                  <c:pt idx="11">
                    <c:v>Mar</c:v>
                  </c:pt>
                </c:lvl>
                <c:lvl>
                  <c:pt idx="0">
                    <c:v>Aveiro</c:v>
                  </c:pt>
                  <c:pt idx="3">
                    <c:v>Coimbra</c:v>
                  </c:pt>
                  <c:pt idx="6">
                    <c:v>Lisboa</c:v>
                  </c:pt>
                  <c:pt idx="9">
                    <c:v>Porto</c:v>
                  </c:pt>
                </c:lvl>
              </c:multiLvlStrCache>
            </c:multiLvlStrRef>
          </c:cat>
          <c:val>
            <c:numRef>
              <c:f>Folha1!$D$5:$D$21</c:f>
              <c:numCache>
                <c:formatCode>General</c:formatCode>
                <c:ptCount val="12"/>
                <c:pt idx="0">
                  <c:v>2068</c:v>
                </c:pt>
                <c:pt idx="2">
                  <c:v>1629</c:v>
                </c:pt>
                <c:pt idx="4">
                  <c:v>560</c:v>
                </c:pt>
                <c:pt idx="5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5-4BF8-82BE-4B1DFE66D27E}"/>
            </c:ext>
          </c:extLst>
        </c:ser>
        <c:ser>
          <c:idx val="3"/>
          <c:order val="3"/>
          <c:tx>
            <c:strRef>
              <c:f>Folha1!$E$3:$E$4</c:f>
              <c:strCache>
                <c:ptCount val="1"/>
                <c:pt idx="0">
                  <c:v>Scanner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Folha1!$A$5:$A$21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Fev</c:v>
                  </c:pt>
                  <c:pt idx="5">
                    <c:v>Abr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Jan</c:v>
                  </c:pt>
                  <c:pt idx="10">
                    <c:v>Fev</c:v>
                  </c:pt>
                  <c:pt idx="11">
                    <c:v>Mar</c:v>
                  </c:pt>
                </c:lvl>
                <c:lvl>
                  <c:pt idx="0">
                    <c:v>Aveiro</c:v>
                  </c:pt>
                  <c:pt idx="3">
                    <c:v>Coimbra</c:v>
                  </c:pt>
                  <c:pt idx="6">
                    <c:v>Lisboa</c:v>
                  </c:pt>
                  <c:pt idx="9">
                    <c:v>Porto</c:v>
                  </c:pt>
                </c:lvl>
              </c:multiLvlStrCache>
            </c:multiLvlStrRef>
          </c:cat>
          <c:val>
            <c:numRef>
              <c:f>Folha1!$E$5:$E$21</c:f>
              <c:numCache>
                <c:formatCode>General</c:formatCode>
                <c:ptCount val="12"/>
                <c:pt idx="3">
                  <c:v>230</c:v>
                </c:pt>
                <c:pt idx="8">
                  <c:v>175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F5-4BF8-82BE-4B1DFE66D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654303"/>
        <c:axId val="361651903"/>
      </c:barChart>
      <c:catAx>
        <c:axId val="36165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1651903"/>
        <c:crosses val="autoZero"/>
        <c:auto val="1"/>
        <c:lblAlgn val="ctr"/>
        <c:lblOffset val="100"/>
        <c:noMultiLvlLbl val="0"/>
      </c:catAx>
      <c:valAx>
        <c:axId val="3616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165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[Ex1 Tabelas Dinâmicas.xlsx]TabDin1!Tabela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TabDin1!$O$4</c:f>
              <c:strCache>
                <c:ptCount val="1"/>
                <c:pt idx="0">
                  <c:v>Soma de 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TabDin1!$N$5:$N$31</c:f>
              <c:multiLvlStrCache>
                <c:ptCount val="17"/>
                <c:lvl>
                  <c:pt idx="0">
                    <c:v>Jan</c:v>
                  </c:pt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Mai</c:v>
                  </c:pt>
                  <c:pt idx="11">
                    <c:v>Mar</c:v>
                  </c:pt>
                  <c:pt idx="12">
                    <c:v>Fev</c:v>
                  </c:pt>
                  <c:pt idx="13">
                    <c:v>Abr</c:v>
                  </c:pt>
                  <c:pt idx="14">
                    <c:v>Mai</c:v>
                  </c:pt>
                  <c:pt idx="15">
                    <c:v>Jan</c:v>
                  </c:pt>
                  <c:pt idx="16">
                    <c:v>Mar</c:v>
                  </c:pt>
                </c:lvl>
                <c:lvl>
                  <c:pt idx="0">
                    <c:v>Porto</c:v>
                  </c:pt>
                  <c:pt idx="1">
                    <c:v>Viseu</c:v>
                  </c:pt>
                  <c:pt idx="6">
                    <c:v>Braga</c:v>
                  </c:pt>
                  <c:pt idx="11">
                    <c:v>Porto</c:v>
                  </c:pt>
                  <c:pt idx="12">
                    <c:v>Porto</c:v>
                  </c:pt>
                  <c:pt idx="15">
                    <c:v>Viseu</c:v>
                  </c:pt>
                </c:lvl>
                <c:lvl>
                  <c:pt idx="0">
                    <c:v>Repres. 1</c:v>
                  </c:pt>
                  <c:pt idx="6">
                    <c:v>Repres. 2</c:v>
                  </c:pt>
                  <c:pt idx="12">
                    <c:v>Repres. 3</c:v>
                  </c:pt>
                </c:lvl>
              </c:multiLvlStrCache>
            </c:multiLvlStrRef>
          </c:cat>
          <c:val>
            <c:numRef>
              <c:f>TabDin1!$O$5:$O$31</c:f>
              <c:numCache>
                <c:formatCode>_(* #,##0.00_);_(* \(#,##0.00\);_(* "-"??_);_(@_)</c:formatCode>
                <c:ptCount val="17"/>
                <c:pt idx="0">
                  <c:v>2900</c:v>
                </c:pt>
                <c:pt idx="1">
                  <c:v>1390</c:v>
                </c:pt>
                <c:pt idx="2">
                  <c:v>3875</c:v>
                </c:pt>
                <c:pt idx="3">
                  <c:v>2185</c:v>
                </c:pt>
                <c:pt idx="4">
                  <c:v>3900</c:v>
                </c:pt>
                <c:pt idx="5">
                  <c:v>4700</c:v>
                </c:pt>
                <c:pt idx="6">
                  <c:v>4270</c:v>
                </c:pt>
                <c:pt idx="7">
                  <c:v>2070</c:v>
                </c:pt>
                <c:pt idx="8">
                  <c:v>3850</c:v>
                </c:pt>
                <c:pt idx="9">
                  <c:v>1460</c:v>
                </c:pt>
                <c:pt idx="10">
                  <c:v>1270</c:v>
                </c:pt>
                <c:pt idx="11">
                  <c:v>5790</c:v>
                </c:pt>
                <c:pt idx="12">
                  <c:v>3910</c:v>
                </c:pt>
                <c:pt idx="13">
                  <c:v>6350</c:v>
                </c:pt>
                <c:pt idx="14">
                  <c:v>570</c:v>
                </c:pt>
                <c:pt idx="15">
                  <c:v>1460</c:v>
                </c:pt>
                <c:pt idx="16">
                  <c:v>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0-4452-BD9A-54DF34801784}"/>
            </c:ext>
          </c:extLst>
        </c:ser>
        <c:ser>
          <c:idx val="1"/>
          <c:order val="1"/>
          <c:tx>
            <c:strRef>
              <c:f>TabDin1!$P$4</c:f>
              <c:strCache>
                <c:ptCount val="1"/>
                <c:pt idx="0">
                  <c:v>Soma de Vendas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TabDin1!$N$5:$N$31</c:f>
              <c:multiLvlStrCache>
                <c:ptCount val="17"/>
                <c:lvl>
                  <c:pt idx="0">
                    <c:v>Jan</c:v>
                  </c:pt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Jan</c:v>
                  </c:pt>
                  <c:pt idx="7">
                    <c:v>Fev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Mai</c:v>
                  </c:pt>
                  <c:pt idx="11">
                    <c:v>Mar</c:v>
                  </c:pt>
                  <c:pt idx="12">
                    <c:v>Fev</c:v>
                  </c:pt>
                  <c:pt idx="13">
                    <c:v>Abr</c:v>
                  </c:pt>
                  <c:pt idx="14">
                    <c:v>Mai</c:v>
                  </c:pt>
                  <c:pt idx="15">
                    <c:v>Jan</c:v>
                  </c:pt>
                  <c:pt idx="16">
                    <c:v>Mar</c:v>
                  </c:pt>
                </c:lvl>
                <c:lvl>
                  <c:pt idx="0">
                    <c:v>Porto</c:v>
                  </c:pt>
                  <c:pt idx="1">
                    <c:v>Viseu</c:v>
                  </c:pt>
                  <c:pt idx="6">
                    <c:v>Braga</c:v>
                  </c:pt>
                  <c:pt idx="11">
                    <c:v>Porto</c:v>
                  </c:pt>
                  <c:pt idx="12">
                    <c:v>Porto</c:v>
                  </c:pt>
                  <c:pt idx="15">
                    <c:v>Viseu</c:v>
                  </c:pt>
                </c:lvl>
                <c:lvl>
                  <c:pt idx="0">
                    <c:v>Repres. 1</c:v>
                  </c:pt>
                  <c:pt idx="6">
                    <c:v>Repres. 2</c:v>
                  </c:pt>
                  <c:pt idx="12">
                    <c:v>Repres. 3</c:v>
                  </c:pt>
                </c:lvl>
              </c:multiLvlStrCache>
            </c:multiLvlStrRef>
          </c:cat>
          <c:val>
            <c:numRef>
              <c:f>TabDin1!$P$5:$P$31</c:f>
              <c:numCache>
                <c:formatCode>_-[$€-2]\ * #,##0.00_-;\-[$€-2]\ * #,##0.00_-;_-[$€-2]\ * "-"??_-;_-@_-</c:formatCode>
                <c:ptCount val="17"/>
                <c:pt idx="0">
                  <c:v>1740</c:v>
                </c:pt>
                <c:pt idx="1">
                  <c:v>834</c:v>
                </c:pt>
                <c:pt idx="2">
                  <c:v>2325</c:v>
                </c:pt>
                <c:pt idx="3">
                  <c:v>1311</c:v>
                </c:pt>
                <c:pt idx="4">
                  <c:v>2340</c:v>
                </c:pt>
                <c:pt idx="5">
                  <c:v>5940</c:v>
                </c:pt>
                <c:pt idx="6">
                  <c:v>2562</c:v>
                </c:pt>
                <c:pt idx="7">
                  <c:v>1242</c:v>
                </c:pt>
                <c:pt idx="8">
                  <c:v>2310</c:v>
                </c:pt>
                <c:pt idx="9">
                  <c:v>876</c:v>
                </c:pt>
                <c:pt idx="10">
                  <c:v>762</c:v>
                </c:pt>
                <c:pt idx="11">
                  <c:v>3474</c:v>
                </c:pt>
                <c:pt idx="12">
                  <c:v>2346</c:v>
                </c:pt>
                <c:pt idx="13">
                  <c:v>5000</c:v>
                </c:pt>
                <c:pt idx="14">
                  <c:v>4503</c:v>
                </c:pt>
                <c:pt idx="15">
                  <c:v>876</c:v>
                </c:pt>
                <c:pt idx="16">
                  <c:v>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0-4452-BD9A-54DF3480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908303"/>
        <c:axId val="617908783"/>
      </c:barChart>
      <c:catAx>
        <c:axId val="6179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7908783"/>
        <c:crosses val="autoZero"/>
        <c:auto val="1"/>
        <c:lblAlgn val="ctr"/>
        <c:lblOffset val="100"/>
        <c:noMultiLvlLbl val="0"/>
      </c:catAx>
      <c:valAx>
        <c:axId val="6179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79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[Ex1 Tabelas Dinâmicas.xlsx]TabDin2!Tabela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TabDin2!$M$2:$M$4</c:f>
              <c:strCache>
                <c:ptCount val="1"/>
                <c:pt idx="0">
                  <c:v>Junho - Armando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TabDin2!$M$5:$M$29</c:f>
              <c:numCache>
                <c:formatCode>#,##0.00\ "€"</c:formatCode>
                <c:ptCount val="17"/>
                <c:pt idx="11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D-4B4E-9A0D-030A61A7F1A1}"/>
            </c:ext>
          </c:extLst>
        </c:ser>
        <c:ser>
          <c:idx val="1"/>
          <c:order val="1"/>
          <c:tx>
            <c:strRef>
              <c:f>TabDin2!$N$2:$N$4</c:f>
              <c:strCache>
                <c:ptCount val="1"/>
                <c:pt idx="0">
                  <c:v>Junho - Luís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TabDin2!$N$5:$N$29</c:f>
              <c:numCache>
                <c:formatCode>#,##0.00\ "€"</c:formatCode>
                <c:ptCount val="17"/>
                <c:pt idx="2">
                  <c:v>246000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D-4B4E-9A0D-030A61A7F1A1}"/>
            </c:ext>
          </c:extLst>
        </c:ser>
        <c:ser>
          <c:idx val="2"/>
          <c:order val="2"/>
          <c:tx>
            <c:strRef>
              <c:f>TabDin2!$O$2:$O$4</c:f>
              <c:strCache>
                <c:ptCount val="1"/>
                <c:pt idx="0">
                  <c:v>Junho - Rui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TabDin2!$O$5:$O$29</c:f>
              <c:numCache>
                <c:formatCode>#,##0.00\ "€"</c:formatCode>
                <c:ptCount val="17"/>
                <c:pt idx="1">
                  <c:v>303200</c:v>
                </c:pt>
                <c:pt idx="12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D-4B4E-9A0D-030A61A7F1A1}"/>
            </c:ext>
          </c:extLst>
        </c:ser>
        <c:ser>
          <c:idx val="3"/>
          <c:order val="3"/>
          <c:tx>
            <c:strRef>
              <c:f>TabDin2!$Q$2:$Q$4</c:f>
              <c:strCache>
                <c:ptCount val="1"/>
                <c:pt idx="0">
                  <c:v>Julho - Ana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TabDin2!$Q$5:$Q$29</c:f>
              <c:numCache>
                <c:formatCode>#,##0.00\ "€"</c:formatCode>
                <c:ptCount val="17"/>
                <c:pt idx="0">
                  <c:v>264000</c:v>
                </c:pt>
                <c:pt idx="15">
                  <c:v>328000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7D-4B4E-9A0D-030A61A7F1A1}"/>
            </c:ext>
          </c:extLst>
        </c:ser>
        <c:ser>
          <c:idx val="4"/>
          <c:order val="4"/>
          <c:tx>
            <c:strRef>
              <c:f>TabDin2!$R$2:$R$4</c:f>
              <c:strCache>
                <c:ptCount val="1"/>
                <c:pt idx="0">
                  <c:v>Julho - Armando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TabDin2!$R$5:$R$29</c:f>
              <c:numCache>
                <c:formatCode>#,##0.00\ "€"</c:formatCode>
                <c:ptCount val="17"/>
                <c:pt idx="3">
                  <c:v>28000</c:v>
                </c:pt>
                <c:pt idx="5">
                  <c:v>652800</c:v>
                </c:pt>
                <c:pt idx="10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7D-4B4E-9A0D-030A61A7F1A1}"/>
            </c:ext>
          </c:extLst>
        </c:ser>
        <c:ser>
          <c:idx val="5"/>
          <c:order val="5"/>
          <c:tx>
            <c:strRef>
              <c:f>TabDin2!$S$2:$S$4</c:f>
              <c:strCache>
                <c:ptCount val="1"/>
                <c:pt idx="0">
                  <c:v>Julho - Luís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TabDin2!$S$5:$S$29</c:f>
              <c:numCache>
                <c:formatCode>#,##0.00\ "€"</c:formatCode>
                <c:ptCount val="17"/>
                <c:pt idx="12">
                  <c:v>428000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57D-4B4E-9A0D-030A61A7F1A1}"/>
            </c:ext>
          </c:extLst>
        </c:ser>
        <c:ser>
          <c:idx val="6"/>
          <c:order val="6"/>
          <c:tx>
            <c:strRef>
              <c:f>TabDin2!$U$2:$U$4</c:f>
              <c:strCache>
                <c:ptCount val="1"/>
                <c:pt idx="0">
                  <c:v>Agosto - Ana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TabDin2!$U$5:$U$29</c:f>
              <c:numCache>
                <c:formatCode>#,##0.00\ "€"</c:formatCode>
                <c:ptCount val="17"/>
                <c:pt idx="0">
                  <c:v>86400</c:v>
                </c:pt>
                <c:pt idx="13">
                  <c:v>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57D-4B4E-9A0D-030A61A7F1A1}"/>
            </c:ext>
          </c:extLst>
        </c:ser>
        <c:ser>
          <c:idx val="7"/>
          <c:order val="7"/>
          <c:tx>
            <c:strRef>
              <c:f>TabDin2!$V$2:$V$4</c:f>
              <c:strCache>
                <c:ptCount val="1"/>
                <c:pt idx="0">
                  <c:v>Agosto - Luís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TabDin2!$V$5:$V$29</c:f>
              <c:numCache>
                <c:formatCode>#,##0.00\ "€"</c:formatCode>
                <c:ptCount val="17"/>
                <c:pt idx="6">
                  <c:v>70000</c:v>
                </c:pt>
                <c:pt idx="8">
                  <c:v>265000</c:v>
                </c:pt>
                <c:pt idx="16">
                  <c:v>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7D-4B4E-9A0D-030A61A7F1A1}"/>
            </c:ext>
          </c:extLst>
        </c:ser>
        <c:ser>
          <c:idx val="8"/>
          <c:order val="8"/>
          <c:tx>
            <c:strRef>
              <c:f>TabDin2!$W$2:$W$4</c:f>
              <c:strCache>
                <c:ptCount val="1"/>
                <c:pt idx="0">
                  <c:v>Agosto - Rui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TabDin2!$W$5:$W$29</c:f>
              <c:numCache>
                <c:formatCode>#,##0.00\ "€"</c:formatCode>
                <c:ptCount val="17"/>
                <c:pt idx="3">
                  <c:v>507000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57D-4B4E-9A0D-030A61A7F1A1}"/>
            </c:ext>
          </c:extLst>
        </c:ser>
        <c:ser>
          <c:idx val="9"/>
          <c:order val="9"/>
          <c:tx>
            <c:strRef>
              <c:f>TabDin2!$Y$2:$Y$4</c:f>
              <c:strCache>
                <c:ptCount val="1"/>
                <c:pt idx="0">
                  <c:v>Setembro - Ana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TabDin2!$Y$5:$Y$29</c:f>
              <c:numCache>
                <c:formatCode>#,##0.00\ "€"</c:formatCode>
                <c:ptCount val="17"/>
                <c:pt idx="4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57D-4B4E-9A0D-030A61A7F1A1}"/>
            </c:ext>
          </c:extLst>
        </c:ser>
        <c:ser>
          <c:idx val="10"/>
          <c:order val="10"/>
          <c:tx>
            <c:strRef>
              <c:f>TabDin2!$Z$2:$Z$4</c:f>
              <c:strCache>
                <c:ptCount val="1"/>
                <c:pt idx="0">
                  <c:v>Setembro - Armando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TabDin2!$Z$5:$Z$29</c:f>
              <c:numCache>
                <c:formatCode>#,##0.00\ "€"</c:formatCode>
                <c:ptCount val="17"/>
                <c:pt idx="14">
                  <c:v>632000</c:v>
                </c:pt>
                <c:pt idx="16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57D-4B4E-9A0D-030A61A7F1A1}"/>
            </c:ext>
          </c:extLst>
        </c:ser>
        <c:ser>
          <c:idx val="11"/>
          <c:order val="11"/>
          <c:tx>
            <c:strRef>
              <c:f>TabDin2!$AA$2:$AA$4</c:f>
              <c:strCache>
                <c:ptCount val="1"/>
                <c:pt idx="0">
                  <c:v>Setembro - Luís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TabDin2!$AA$5:$AA$29</c:f>
              <c:numCache>
                <c:formatCode>#,##0.00\ "€"</c:formatCode>
                <c:ptCount val="17"/>
                <c:pt idx="11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57D-4B4E-9A0D-030A61A7F1A1}"/>
            </c:ext>
          </c:extLst>
        </c:ser>
        <c:ser>
          <c:idx val="12"/>
          <c:order val="12"/>
          <c:tx>
            <c:strRef>
              <c:f>TabDin2!$AB$2:$AB$4</c:f>
              <c:strCache>
                <c:ptCount val="1"/>
                <c:pt idx="0">
                  <c:v>Setembro - Rui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TabDin2!$L$5:$L$29</c:f>
              <c:multiLvlStrCache>
                <c:ptCount val="17"/>
                <c:lvl>
                  <c:pt idx="0">
                    <c:v>Espanha</c:v>
                  </c:pt>
                  <c:pt idx="1">
                    <c:v>França</c:v>
                  </c:pt>
                  <c:pt idx="2">
                    <c:v>Itália</c:v>
                  </c:pt>
                  <c:pt idx="3">
                    <c:v>Portugal</c:v>
                  </c:pt>
                  <c:pt idx="4">
                    <c:v>Portugal</c:v>
                  </c:pt>
                  <c:pt idx="5">
                    <c:v>França</c:v>
                  </c:pt>
                  <c:pt idx="6">
                    <c:v>Itália</c:v>
                  </c:pt>
                  <c:pt idx="7">
                    <c:v>Portugal</c:v>
                  </c:pt>
                  <c:pt idx="8">
                    <c:v>Espanha</c:v>
                  </c:pt>
                  <c:pt idx="9">
                    <c:v>Itália</c:v>
                  </c:pt>
                  <c:pt idx="10">
                    <c:v>Portugal</c:v>
                  </c:pt>
                  <c:pt idx="11">
                    <c:v>Espanha</c:v>
                  </c:pt>
                  <c:pt idx="12">
                    <c:v>Portugal</c:v>
                  </c:pt>
                  <c:pt idx="13">
                    <c:v>Espanha</c:v>
                  </c:pt>
                  <c:pt idx="14">
                    <c:v>Portugal</c:v>
                  </c:pt>
                  <c:pt idx="15">
                    <c:v>Espanha</c:v>
                  </c:pt>
                  <c:pt idx="16">
                    <c:v>Itália</c:v>
                  </c:pt>
                </c:lvl>
                <c:lvl>
                  <c:pt idx="0">
                    <c:v>Deportes García</c:v>
                  </c:pt>
                  <c:pt idx="4">
                    <c:v>Esquí Alpino</c:v>
                  </c:pt>
                  <c:pt idx="5">
                    <c:v>Ferretería Juanito</c:v>
                  </c:pt>
                  <c:pt idx="8">
                    <c:v>La tienda de Windsurf</c:v>
                  </c:pt>
                  <c:pt idx="11">
                    <c:v>La Vela de Oro</c:v>
                  </c:pt>
                  <c:pt idx="13">
                    <c:v>Super Deportes</c:v>
                  </c:pt>
                  <c:pt idx="15">
                    <c:v>Tarifa Deportes</c:v>
                  </c:pt>
                </c:lvl>
              </c:multiLvlStrCache>
            </c:multiLvlStrRef>
          </c:cat>
          <c:val>
            <c:numRef>
              <c:f>TabDin2!$AB$5:$AB$29</c:f>
              <c:numCache>
                <c:formatCode>#,##0.00\ "€"</c:formatCode>
                <c:ptCount val="17"/>
                <c:pt idx="2">
                  <c:v>110000</c:v>
                </c:pt>
                <c:pt idx="7">
                  <c:v>537000</c:v>
                </c:pt>
                <c:pt idx="9">
                  <c:v>247000</c:v>
                </c:pt>
                <c:pt idx="12">
                  <c:v>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57D-4B4E-9A0D-030A61A7F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811343"/>
        <c:axId val="617821903"/>
      </c:barChart>
      <c:catAx>
        <c:axId val="6178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7821903"/>
        <c:crosses val="autoZero"/>
        <c:auto val="1"/>
        <c:lblAlgn val="ctr"/>
        <c:lblOffset val="100"/>
        <c:noMultiLvlLbl val="0"/>
      </c:catAx>
      <c:valAx>
        <c:axId val="6178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78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[Ex1 Tabelas Dinâmicas.xlsx]TabDin3!Tabela Dinâmica5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TabDin3!$P$2</c:f>
              <c:strCache>
                <c:ptCount val="1"/>
                <c:pt idx="0">
                  <c:v>Soma de 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TabDin3!$O$3:$O$98</c:f>
              <c:multiLvlStrCache>
                <c:ptCount val="75"/>
                <c:lvl>
                  <c:pt idx="0">
                    <c:v>3476</c:v>
                  </c:pt>
                  <c:pt idx="1">
                    <c:v>3726</c:v>
                  </c:pt>
                  <c:pt idx="2">
                    <c:v>18318</c:v>
                  </c:pt>
                  <c:pt idx="3">
                    <c:v>23241</c:v>
                  </c:pt>
                  <c:pt idx="4">
                    <c:v>32662</c:v>
                  </c:pt>
                  <c:pt idx="5">
                    <c:v>4223</c:v>
                  </c:pt>
                  <c:pt idx="6">
                    <c:v>11576</c:v>
                  </c:pt>
                  <c:pt idx="7">
                    <c:v>32363</c:v>
                  </c:pt>
                  <c:pt idx="8">
                    <c:v>48273</c:v>
                  </c:pt>
                  <c:pt idx="9">
                    <c:v>4323</c:v>
                  </c:pt>
                  <c:pt idx="10">
                    <c:v>4444</c:v>
                  </c:pt>
                  <c:pt idx="11">
                    <c:v>23333</c:v>
                  </c:pt>
                  <c:pt idx="12">
                    <c:v>34223</c:v>
                  </c:pt>
                  <c:pt idx="13">
                    <c:v>4454</c:v>
                  </c:pt>
                  <c:pt idx="14">
                    <c:v>12122</c:v>
                  </c:pt>
                  <c:pt idx="15">
                    <c:v>34534</c:v>
                  </c:pt>
                  <c:pt idx="16">
                    <c:v>56755</c:v>
                  </c:pt>
                  <c:pt idx="17">
                    <c:v>16866</c:v>
                  </c:pt>
                  <c:pt idx="18">
                    <c:v>28847</c:v>
                  </c:pt>
                  <c:pt idx="19">
                    <c:v>42265</c:v>
                  </c:pt>
                  <c:pt idx="20">
                    <c:v>48235</c:v>
                  </c:pt>
                  <c:pt idx="21">
                    <c:v>48747</c:v>
                  </c:pt>
                  <c:pt idx="22">
                    <c:v>4115</c:v>
                  </c:pt>
                  <c:pt idx="23">
                    <c:v>32065</c:v>
                  </c:pt>
                  <c:pt idx="24">
                    <c:v>42579</c:v>
                  </c:pt>
                  <c:pt idx="25">
                    <c:v>12333</c:v>
                  </c:pt>
                  <c:pt idx="26">
                    <c:v>34534</c:v>
                  </c:pt>
                  <c:pt idx="27">
                    <c:v>45333</c:v>
                  </c:pt>
                  <c:pt idx="28">
                    <c:v>45455</c:v>
                  </c:pt>
                  <c:pt idx="29">
                    <c:v>46454</c:v>
                  </c:pt>
                  <c:pt idx="30">
                    <c:v>4564</c:v>
                  </c:pt>
                  <c:pt idx="31">
                    <c:v>34344</c:v>
                  </c:pt>
                  <c:pt idx="32">
                    <c:v>46454</c:v>
                  </c:pt>
                  <c:pt idx="33">
                    <c:v>3242</c:v>
                  </c:pt>
                  <c:pt idx="34">
                    <c:v>8529</c:v>
                  </c:pt>
                  <c:pt idx="35">
                    <c:v>10528</c:v>
                  </c:pt>
                  <c:pt idx="36">
                    <c:v>11286</c:v>
                  </c:pt>
                  <c:pt idx="37">
                    <c:v>17100</c:v>
                  </c:pt>
                  <c:pt idx="38">
                    <c:v>20438</c:v>
                  </c:pt>
                  <c:pt idx="39">
                    <c:v>4054</c:v>
                  </c:pt>
                  <c:pt idx="40">
                    <c:v>22831</c:v>
                  </c:pt>
                  <c:pt idx="41">
                    <c:v>32965</c:v>
                  </c:pt>
                  <c:pt idx="42">
                    <c:v>48351</c:v>
                  </c:pt>
                  <c:pt idx="43">
                    <c:v>3244</c:v>
                  </c:pt>
                  <c:pt idx="44">
                    <c:v>8766</c:v>
                  </c:pt>
                  <c:pt idx="45">
                    <c:v>12212</c:v>
                  </c:pt>
                  <c:pt idx="46">
                    <c:v>12322</c:v>
                  </c:pt>
                  <c:pt idx="47">
                    <c:v>12455</c:v>
                  </c:pt>
                  <c:pt idx="48">
                    <c:v>21222</c:v>
                  </c:pt>
                  <c:pt idx="49">
                    <c:v>4564</c:v>
                  </c:pt>
                  <c:pt idx="50">
                    <c:v>23233</c:v>
                  </c:pt>
                  <c:pt idx="51">
                    <c:v>34344</c:v>
                  </c:pt>
                  <c:pt idx="52">
                    <c:v>45645</c:v>
                  </c:pt>
                  <c:pt idx="53">
                    <c:v>6129</c:v>
                  </c:pt>
                  <c:pt idx="54">
                    <c:v>9883</c:v>
                  </c:pt>
                  <c:pt idx="55">
                    <c:v>11432</c:v>
                  </c:pt>
                  <c:pt idx="56">
                    <c:v>21741</c:v>
                  </c:pt>
                  <c:pt idx="57">
                    <c:v>32660</c:v>
                  </c:pt>
                  <c:pt idx="58">
                    <c:v>54823</c:v>
                  </c:pt>
                  <c:pt idx="59">
                    <c:v>4137</c:v>
                  </c:pt>
                  <c:pt idx="60">
                    <c:v>5274</c:v>
                  </c:pt>
                  <c:pt idx="61">
                    <c:v>21156</c:v>
                  </c:pt>
                  <c:pt idx="62">
                    <c:v>31716</c:v>
                  </c:pt>
                  <c:pt idx="63">
                    <c:v>42275</c:v>
                  </c:pt>
                  <c:pt idx="64">
                    <c:v>5444</c:v>
                  </c:pt>
                  <c:pt idx="65">
                    <c:v>12212</c:v>
                  </c:pt>
                  <c:pt idx="66">
                    <c:v>12333</c:v>
                  </c:pt>
                  <c:pt idx="67">
                    <c:v>23233</c:v>
                  </c:pt>
                  <c:pt idx="68">
                    <c:v>34344</c:v>
                  </c:pt>
                  <c:pt idx="69">
                    <c:v>56666</c:v>
                  </c:pt>
                  <c:pt idx="70">
                    <c:v>4564</c:v>
                  </c:pt>
                  <c:pt idx="71">
                    <c:v>5676</c:v>
                  </c:pt>
                  <c:pt idx="72">
                    <c:v>23455</c:v>
                  </c:pt>
                  <c:pt idx="73">
                    <c:v>32233</c:v>
                  </c:pt>
                  <c:pt idx="74">
                    <c:v>46456</c:v>
                  </c:pt>
                </c:lvl>
                <c:lvl>
                  <c:pt idx="0">
                    <c:v>01/1T</c:v>
                  </c:pt>
                  <c:pt idx="5">
                    <c:v>01/2T</c:v>
                  </c:pt>
                  <c:pt idx="9">
                    <c:v>02/1T</c:v>
                  </c:pt>
                  <c:pt idx="13">
                    <c:v>02/2T</c:v>
                  </c:pt>
                  <c:pt idx="17">
                    <c:v>01/1T</c:v>
                  </c:pt>
                  <c:pt idx="22">
                    <c:v>01/2T</c:v>
                  </c:pt>
                  <c:pt idx="25">
                    <c:v>02/1T</c:v>
                  </c:pt>
                  <c:pt idx="30">
                    <c:v>02/2T</c:v>
                  </c:pt>
                  <c:pt idx="33">
                    <c:v>01/1T</c:v>
                  </c:pt>
                  <c:pt idx="39">
                    <c:v>01/2T</c:v>
                  </c:pt>
                  <c:pt idx="43">
                    <c:v>02/1T</c:v>
                  </c:pt>
                  <c:pt idx="49">
                    <c:v>02/2T</c:v>
                  </c:pt>
                  <c:pt idx="53">
                    <c:v>01/1T</c:v>
                  </c:pt>
                  <c:pt idx="59">
                    <c:v>01/2T</c:v>
                  </c:pt>
                  <c:pt idx="64">
                    <c:v>02/1T</c:v>
                  </c:pt>
                  <c:pt idx="70">
                    <c:v>02/2T</c:v>
                  </c:pt>
                </c:lvl>
                <c:lvl>
                  <c:pt idx="0">
                    <c:v>Braga</c:v>
                  </c:pt>
                  <c:pt idx="17">
                    <c:v>Guarda</c:v>
                  </c:pt>
                  <c:pt idx="33">
                    <c:v>Porto</c:v>
                  </c:pt>
                  <c:pt idx="53">
                    <c:v>Viseu</c:v>
                  </c:pt>
                </c:lvl>
              </c:multiLvlStrCache>
            </c:multiLvlStrRef>
          </c:cat>
          <c:val>
            <c:numRef>
              <c:f>TabDin3!$P$3:$P$98</c:f>
              <c:numCache>
                <c:formatCode>General</c:formatCode>
                <c:ptCount val="75"/>
                <c:pt idx="0">
                  <c:v>3476</c:v>
                </c:pt>
                <c:pt idx="1">
                  <c:v>3726</c:v>
                </c:pt>
                <c:pt idx="2">
                  <c:v>18318</c:v>
                </c:pt>
                <c:pt idx="3">
                  <c:v>23241</c:v>
                </c:pt>
                <c:pt idx="4">
                  <c:v>32662</c:v>
                </c:pt>
                <c:pt idx="5">
                  <c:v>4223</c:v>
                </c:pt>
                <c:pt idx="6">
                  <c:v>11576</c:v>
                </c:pt>
                <c:pt idx="7">
                  <c:v>32363</c:v>
                </c:pt>
                <c:pt idx="8">
                  <c:v>48273</c:v>
                </c:pt>
                <c:pt idx="9">
                  <c:v>4323</c:v>
                </c:pt>
                <c:pt idx="10">
                  <c:v>4444</c:v>
                </c:pt>
                <c:pt idx="11">
                  <c:v>46666</c:v>
                </c:pt>
                <c:pt idx="12">
                  <c:v>34223</c:v>
                </c:pt>
                <c:pt idx="13">
                  <c:v>4454</c:v>
                </c:pt>
                <c:pt idx="14">
                  <c:v>12122</c:v>
                </c:pt>
                <c:pt idx="15">
                  <c:v>34534</c:v>
                </c:pt>
                <c:pt idx="16">
                  <c:v>56755</c:v>
                </c:pt>
                <c:pt idx="17">
                  <c:v>16866</c:v>
                </c:pt>
                <c:pt idx="18">
                  <c:v>28847</c:v>
                </c:pt>
                <c:pt idx="19">
                  <c:v>42265</c:v>
                </c:pt>
                <c:pt idx="20">
                  <c:v>48235</c:v>
                </c:pt>
                <c:pt idx="21">
                  <c:v>48747</c:v>
                </c:pt>
                <c:pt idx="22">
                  <c:v>4115</c:v>
                </c:pt>
                <c:pt idx="23">
                  <c:v>32065</c:v>
                </c:pt>
                <c:pt idx="24">
                  <c:v>42579</c:v>
                </c:pt>
                <c:pt idx="25">
                  <c:v>12333</c:v>
                </c:pt>
                <c:pt idx="26">
                  <c:v>34534</c:v>
                </c:pt>
                <c:pt idx="27">
                  <c:v>45333</c:v>
                </c:pt>
                <c:pt idx="28">
                  <c:v>45455</c:v>
                </c:pt>
                <c:pt idx="29">
                  <c:v>46454</c:v>
                </c:pt>
                <c:pt idx="30">
                  <c:v>4564</c:v>
                </c:pt>
                <c:pt idx="31">
                  <c:v>34344</c:v>
                </c:pt>
                <c:pt idx="32">
                  <c:v>46454</c:v>
                </c:pt>
                <c:pt idx="33">
                  <c:v>3242</c:v>
                </c:pt>
                <c:pt idx="34">
                  <c:v>8529</c:v>
                </c:pt>
                <c:pt idx="35">
                  <c:v>10528</c:v>
                </c:pt>
                <c:pt idx="36">
                  <c:v>11286</c:v>
                </c:pt>
                <c:pt idx="37">
                  <c:v>17100</c:v>
                </c:pt>
                <c:pt idx="38">
                  <c:v>20438</c:v>
                </c:pt>
                <c:pt idx="39">
                  <c:v>4054</c:v>
                </c:pt>
                <c:pt idx="40">
                  <c:v>22831</c:v>
                </c:pt>
                <c:pt idx="41">
                  <c:v>32965</c:v>
                </c:pt>
                <c:pt idx="42">
                  <c:v>48351</c:v>
                </c:pt>
                <c:pt idx="43">
                  <c:v>3244</c:v>
                </c:pt>
                <c:pt idx="44">
                  <c:v>8766</c:v>
                </c:pt>
                <c:pt idx="45">
                  <c:v>12212</c:v>
                </c:pt>
                <c:pt idx="46">
                  <c:v>12322</c:v>
                </c:pt>
                <c:pt idx="47">
                  <c:v>12455</c:v>
                </c:pt>
                <c:pt idx="48">
                  <c:v>21222</c:v>
                </c:pt>
                <c:pt idx="49">
                  <c:v>4564</c:v>
                </c:pt>
                <c:pt idx="50">
                  <c:v>23233</c:v>
                </c:pt>
                <c:pt idx="51">
                  <c:v>34344</c:v>
                </c:pt>
                <c:pt idx="52">
                  <c:v>45645</c:v>
                </c:pt>
                <c:pt idx="53">
                  <c:v>6129</c:v>
                </c:pt>
                <c:pt idx="54">
                  <c:v>9883</c:v>
                </c:pt>
                <c:pt idx="55">
                  <c:v>11432</c:v>
                </c:pt>
                <c:pt idx="56">
                  <c:v>21741</c:v>
                </c:pt>
                <c:pt idx="57">
                  <c:v>32660</c:v>
                </c:pt>
                <c:pt idx="58">
                  <c:v>54823</c:v>
                </c:pt>
                <c:pt idx="59">
                  <c:v>4137</c:v>
                </c:pt>
                <c:pt idx="60">
                  <c:v>5274</c:v>
                </c:pt>
                <c:pt idx="61">
                  <c:v>21156</c:v>
                </c:pt>
                <c:pt idx="62">
                  <c:v>31716</c:v>
                </c:pt>
                <c:pt idx="63">
                  <c:v>42275</c:v>
                </c:pt>
                <c:pt idx="64">
                  <c:v>5444</c:v>
                </c:pt>
                <c:pt idx="65">
                  <c:v>12212</c:v>
                </c:pt>
                <c:pt idx="66">
                  <c:v>12333</c:v>
                </c:pt>
                <c:pt idx="67">
                  <c:v>23233</c:v>
                </c:pt>
                <c:pt idx="68">
                  <c:v>34344</c:v>
                </c:pt>
                <c:pt idx="69">
                  <c:v>56666</c:v>
                </c:pt>
                <c:pt idx="70">
                  <c:v>4564</c:v>
                </c:pt>
                <c:pt idx="71">
                  <c:v>5676</c:v>
                </c:pt>
                <c:pt idx="72">
                  <c:v>23455</c:v>
                </c:pt>
                <c:pt idx="73">
                  <c:v>32233</c:v>
                </c:pt>
                <c:pt idx="74">
                  <c:v>46456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6-4947-BFE3-33139463D419}"/>
            </c:ext>
          </c:extLst>
        </c:ser>
        <c:ser>
          <c:idx val="1"/>
          <c:order val="1"/>
          <c:tx>
            <c:strRef>
              <c:f>TabDin3!$Q$2</c:f>
              <c:strCache>
                <c:ptCount val="1"/>
                <c:pt idx="0">
                  <c:v>Soma de Vendas (euros)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TabDin3!$O$3:$O$98</c:f>
              <c:multiLvlStrCache>
                <c:ptCount val="75"/>
                <c:lvl>
                  <c:pt idx="0">
                    <c:v>3476</c:v>
                  </c:pt>
                  <c:pt idx="1">
                    <c:v>3726</c:v>
                  </c:pt>
                  <c:pt idx="2">
                    <c:v>18318</c:v>
                  </c:pt>
                  <c:pt idx="3">
                    <c:v>23241</c:v>
                  </c:pt>
                  <c:pt idx="4">
                    <c:v>32662</c:v>
                  </c:pt>
                  <c:pt idx="5">
                    <c:v>4223</c:v>
                  </c:pt>
                  <c:pt idx="6">
                    <c:v>11576</c:v>
                  </c:pt>
                  <c:pt idx="7">
                    <c:v>32363</c:v>
                  </c:pt>
                  <c:pt idx="8">
                    <c:v>48273</c:v>
                  </c:pt>
                  <c:pt idx="9">
                    <c:v>4323</c:v>
                  </c:pt>
                  <c:pt idx="10">
                    <c:v>4444</c:v>
                  </c:pt>
                  <c:pt idx="11">
                    <c:v>23333</c:v>
                  </c:pt>
                  <c:pt idx="12">
                    <c:v>34223</c:v>
                  </c:pt>
                  <c:pt idx="13">
                    <c:v>4454</c:v>
                  </c:pt>
                  <c:pt idx="14">
                    <c:v>12122</c:v>
                  </c:pt>
                  <c:pt idx="15">
                    <c:v>34534</c:v>
                  </c:pt>
                  <c:pt idx="16">
                    <c:v>56755</c:v>
                  </c:pt>
                  <c:pt idx="17">
                    <c:v>16866</c:v>
                  </c:pt>
                  <c:pt idx="18">
                    <c:v>28847</c:v>
                  </c:pt>
                  <c:pt idx="19">
                    <c:v>42265</c:v>
                  </c:pt>
                  <c:pt idx="20">
                    <c:v>48235</c:v>
                  </c:pt>
                  <c:pt idx="21">
                    <c:v>48747</c:v>
                  </c:pt>
                  <c:pt idx="22">
                    <c:v>4115</c:v>
                  </c:pt>
                  <c:pt idx="23">
                    <c:v>32065</c:v>
                  </c:pt>
                  <c:pt idx="24">
                    <c:v>42579</c:v>
                  </c:pt>
                  <c:pt idx="25">
                    <c:v>12333</c:v>
                  </c:pt>
                  <c:pt idx="26">
                    <c:v>34534</c:v>
                  </c:pt>
                  <c:pt idx="27">
                    <c:v>45333</c:v>
                  </c:pt>
                  <c:pt idx="28">
                    <c:v>45455</c:v>
                  </c:pt>
                  <c:pt idx="29">
                    <c:v>46454</c:v>
                  </c:pt>
                  <c:pt idx="30">
                    <c:v>4564</c:v>
                  </c:pt>
                  <c:pt idx="31">
                    <c:v>34344</c:v>
                  </c:pt>
                  <c:pt idx="32">
                    <c:v>46454</c:v>
                  </c:pt>
                  <c:pt idx="33">
                    <c:v>3242</c:v>
                  </c:pt>
                  <c:pt idx="34">
                    <c:v>8529</c:v>
                  </c:pt>
                  <c:pt idx="35">
                    <c:v>10528</c:v>
                  </c:pt>
                  <c:pt idx="36">
                    <c:v>11286</c:v>
                  </c:pt>
                  <c:pt idx="37">
                    <c:v>17100</c:v>
                  </c:pt>
                  <c:pt idx="38">
                    <c:v>20438</c:v>
                  </c:pt>
                  <c:pt idx="39">
                    <c:v>4054</c:v>
                  </c:pt>
                  <c:pt idx="40">
                    <c:v>22831</c:v>
                  </c:pt>
                  <c:pt idx="41">
                    <c:v>32965</c:v>
                  </c:pt>
                  <c:pt idx="42">
                    <c:v>48351</c:v>
                  </c:pt>
                  <c:pt idx="43">
                    <c:v>3244</c:v>
                  </c:pt>
                  <c:pt idx="44">
                    <c:v>8766</c:v>
                  </c:pt>
                  <c:pt idx="45">
                    <c:v>12212</c:v>
                  </c:pt>
                  <c:pt idx="46">
                    <c:v>12322</c:v>
                  </c:pt>
                  <c:pt idx="47">
                    <c:v>12455</c:v>
                  </c:pt>
                  <c:pt idx="48">
                    <c:v>21222</c:v>
                  </c:pt>
                  <c:pt idx="49">
                    <c:v>4564</c:v>
                  </c:pt>
                  <c:pt idx="50">
                    <c:v>23233</c:v>
                  </c:pt>
                  <c:pt idx="51">
                    <c:v>34344</c:v>
                  </c:pt>
                  <c:pt idx="52">
                    <c:v>45645</c:v>
                  </c:pt>
                  <c:pt idx="53">
                    <c:v>6129</c:v>
                  </c:pt>
                  <c:pt idx="54">
                    <c:v>9883</c:v>
                  </c:pt>
                  <c:pt idx="55">
                    <c:v>11432</c:v>
                  </c:pt>
                  <c:pt idx="56">
                    <c:v>21741</c:v>
                  </c:pt>
                  <c:pt idx="57">
                    <c:v>32660</c:v>
                  </c:pt>
                  <c:pt idx="58">
                    <c:v>54823</c:v>
                  </c:pt>
                  <c:pt idx="59">
                    <c:v>4137</c:v>
                  </c:pt>
                  <c:pt idx="60">
                    <c:v>5274</c:v>
                  </c:pt>
                  <c:pt idx="61">
                    <c:v>21156</c:v>
                  </c:pt>
                  <c:pt idx="62">
                    <c:v>31716</c:v>
                  </c:pt>
                  <c:pt idx="63">
                    <c:v>42275</c:v>
                  </c:pt>
                  <c:pt idx="64">
                    <c:v>5444</c:v>
                  </c:pt>
                  <c:pt idx="65">
                    <c:v>12212</c:v>
                  </c:pt>
                  <c:pt idx="66">
                    <c:v>12333</c:v>
                  </c:pt>
                  <c:pt idx="67">
                    <c:v>23233</c:v>
                  </c:pt>
                  <c:pt idx="68">
                    <c:v>34344</c:v>
                  </c:pt>
                  <c:pt idx="69">
                    <c:v>56666</c:v>
                  </c:pt>
                  <c:pt idx="70">
                    <c:v>4564</c:v>
                  </c:pt>
                  <c:pt idx="71">
                    <c:v>5676</c:v>
                  </c:pt>
                  <c:pt idx="72">
                    <c:v>23455</c:v>
                  </c:pt>
                  <c:pt idx="73">
                    <c:v>32233</c:v>
                  </c:pt>
                  <c:pt idx="74">
                    <c:v>46456</c:v>
                  </c:pt>
                </c:lvl>
                <c:lvl>
                  <c:pt idx="0">
                    <c:v>01/1T</c:v>
                  </c:pt>
                  <c:pt idx="5">
                    <c:v>01/2T</c:v>
                  </c:pt>
                  <c:pt idx="9">
                    <c:v>02/1T</c:v>
                  </c:pt>
                  <c:pt idx="13">
                    <c:v>02/2T</c:v>
                  </c:pt>
                  <c:pt idx="17">
                    <c:v>01/1T</c:v>
                  </c:pt>
                  <c:pt idx="22">
                    <c:v>01/2T</c:v>
                  </c:pt>
                  <c:pt idx="25">
                    <c:v>02/1T</c:v>
                  </c:pt>
                  <c:pt idx="30">
                    <c:v>02/2T</c:v>
                  </c:pt>
                  <c:pt idx="33">
                    <c:v>01/1T</c:v>
                  </c:pt>
                  <c:pt idx="39">
                    <c:v>01/2T</c:v>
                  </c:pt>
                  <c:pt idx="43">
                    <c:v>02/1T</c:v>
                  </c:pt>
                  <c:pt idx="49">
                    <c:v>02/2T</c:v>
                  </c:pt>
                  <c:pt idx="53">
                    <c:v>01/1T</c:v>
                  </c:pt>
                  <c:pt idx="59">
                    <c:v>01/2T</c:v>
                  </c:pt>
                  <c:pt idx="64">
                    <c:v>02/1T</c:v>
                  </c:pt>
                  <c:pt idx="70">
                    <c:v>02/2T</c:v>
                  </c:pt>
                </c:lvl>
                <c:lvl>
                  <c:pt idx="0">
                    <c:v>Braga</c:v>
                  </c:pt>
                  <c:pt idx="17">
                    <c:v>Guarda</c:v>
                  </c:pt>
                  <c:pt idx="33">
                    <c:v>Porto</c:v>
                  </c:pt>
                  <c:pt idx="53">
                    <c:v>Viseu</c:v>
                  </c:pt>
                </c:lvl>
              </c:multiLvlStrCache>
            </c:multiLvlStrRef>
          </c:cat>
          <c:val>
            <c:numRef>
              <c:f>TabDin3!$Q$3:$Q$98</c:f>
              <c:numCache>
                <c:formatCode>_-* #,##0.00\ [$€-816]_-;\-* #,##0.00\ [$€-816]_-;_-* "-"??\ [$€-816]_-;_-@_-</c:formatCode>
                <c:ptCount val="75"/>
                <c:pt idx="0">
                  <c:v>2100</c:v>
                </c:pt>
                <c:pt idx="1">
                  <c:v>2300</c:v>
                </c:pt>
                <c:pt idx="2">
                  <c:v>4000</c:v>
                </c:pt>
                <c:pt idx="3">
                  <c:v>4532</c:v>
                </c:pt>
                <c:pt idx="4">
                  <c:v>6236</c:v>
                </c:pt>
                <c:pt idx="5">
                  <c:v>22111</c:v>
                </c:pt>
                <c:pt idx="6">
                  <c:v>7119</c:v>
                </c:pt>
                <c:pt idx="7">
                  <c:v>6321</c:v>
                </c:pt>
                <c:pt idx="8">
                  <c:v>12345</c:v>
                </c:pt>
                <c:pt idx="9">
                  <c:v>2612</c:v>
                </c:pt>
                <c:pt idx="10">
                  <c:v>2600</c:v>
                </c:pt>
                <c:pt idx="11">
                  <c:v>9150</c:v>
                </c:pt>
                <c:pt idx="12">
                  <c:v>6534</c:v>
                </c:pt>
                <c:pt idx="13">
                  <c:v>23322</c:v>
                </c:pt>
                <c:pt idx="14">
                  <c:v>7455</c:v>
                </c:pt>
                <c:pt idx="15">
                  <c:v>6745</c:v>
                </c:pt>
                <c:pt idx="16">
                  <c:v>14514</c:v>
                </c:pt>
                <c:pt idx="17">
                  <c:v>3200</c:v>
                </c:pt>
                <c:pt idx="18">
                  <c:v>5321</c:v>
                </c:pt>
                <c:pt idx="19">
                  <c:v>25322</c:v>
                </c:pt>
                <c:pt idx="20">
                  <c:v>12300</c:v>
                </c:pt>
                <c:pt idx="21">
                  <c:v>12435</c:v>
                </c:pt>
                <c:pt idx="22">
                  <c:v>211</c:v>
                </c:pt>
                <c:pt idx="23">
                  <c:v>19233</c:v>
                </c:pt>
                <c:pt idx="24">
                  <c:v>10988</c:v>
                </c:pt>
                <c:pt idx="25">
                  <c:v>2340</c:v>
                </c:pt>
                <c:pt idx="26">
                  <c:v>6370</c:v>
                </c:pt>
                <c:pt idx="27">
                  <c:v>11560</c:v>
                </c:pt>
                <c:pt idx="28">
                  <c:v>27233</c:v>
                </c:pt>
                <c:pt idx="29">
                  <c:v>11850</c:v>
                </c:pt>
                <c:pt idx="30">
                  <c:v>234</c:v>
                </c:pt>
                <c:pt idx="31">
                  <c:v>20600</c:v>
                </c:pt>
                <c:pt idx="32">
                  <c:v>11988</c:v>
                </c:pt>
                <c:pt idx="33">
                  <c:v>2122</c:v>
                </c:pt>
                <c:pt idx="34">
                  <c:v>1654</c:v>
                </c:pt>
                <c:pt idx="35">
                  <c:v>2000</c:v>
                </c:pt>
                <c:pt idx="36">
                  <c:v>2200</c:v>
                </c:pt>
                <c:pt idx="37">
                  <c:v>3000</c:v>
                </c:pt>
                <c:pt idx="38">
                  <c:v>5211</c:v>
                </c:pt>
                <c:pt idx="39">
                  <c:v>2432</c:v>
                </c:pt>
                <c:pt idx="40">
                  <c:v>13222</c:v>
                </c:pt>
                <c:pt idx="41">
                  <c:v>6432</c:v>
                </c:pt>
                <c:pt idx="42">
                  <c:v>12345</c:v>
                </c:pt>
                <c:pt idx="43">
                  <c:v>2123</c:v>
                </c:pt>
                <c:pt idx="44">
                  <c:v>1700</c:v>
                </c:pt>
                <c:pt idx="45">
                  <c:v>2320</c:v>
                </c:pt>
                <c:pt idx="46">
                  <c:v>2402</c:v>
                </c:pt>
                <c:pt idx="47">
                  <c:v>2360</c:v>
                </c:pt>
                <c:pt idx="48">
                  <c:v>5411</c:v>
                </c:pt>
                <c:pt idx="49">
                  <c:v>2738</c:v>
                </c:pt>
                <c:pt idx="50">
                  <c:v>13455</c:v>
                </c:pt>
                <c:pt idx="51">
                  <c:v>6701</c:v>
                </c:pt>
                <c:pt idx="52">
                  <c:v>11654</c:v>
                </c:pt>
                <c:pt idx="53">
                  <c:v>4000</c:v>
                </c:pt>
                <c:pt idx="54">
                  <c:v>7000</c:v>
                </c:pt>
                <c:pt idx="55">
                  <c:v>2300</c:v>
                </c:pt>
                <c:pt idx="56">
                  <c:v>4211</c:v>
                </c:pt>
                <c:pt idx="57">
                  <c:v>8321</c:v>
                </c:pt>
                <c:pt idx="58">
                  <c:v>13980</c:v>
                </c:pt>
                <c:pt idx="59">
                  <c:v>213</c:v>
                </c:pt>
                <c:pt idx="60">
                  <c:v>3211</c:v>
                </c:pt>
                <c:pt idx="61">
                  <c:v>11234</c:v>
                </c:pt>
                <c:pt idx="62">
                  <c:v>6200</c:v>
                </c:pt>
                <c:pt idx="63">
                  <c:v>11234</c:v>
                </c:pt>
                <c:pt idx="64">
                  <c:v>3553</c:v>
                </c:pt>
                <c:pt idx="65">
                  <c:v>7327</c:v>
                </c:pt>
                <c:pt idx="66">
                  <c:v>2400</c:v>
                </c:pt>
                <c:pt idx="67">
                  <c:v>4500</c:v>
                </c:pt>
                <c:pt idx="68">
                  <c:v>8750</c:v>
                </c:pt>
                <c:pt idx="69">
                  <c:v>14450</c:v>
                </c:pt>
                <c:pt idx="70">
                  <c:v>235</c:v>
                </c:pt>
                <c:pt idx="71">
                  <c:v>3456</c:v>
                </c:pt>
                <c:pt idx="72">
                  <c:v>12455</c:v>
                </c:pt>
                <c:pt idx="73">
                  <c:v>6301</c:v>
                </c:pt>
                <c:pt idx="74">
                  <c:v>12345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6-4947-BFE3-33139463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35855"/>
        <c:axId val="338049295"/>
      </c:barChart>
      <c:lineChart>
        <c:grouping val="standard"/>
        <c:varyColors val="0"/>
        <c:ser>
          <c:idx val="2"/>
          <c:order val="2"/>
          <c:tx>
            <c:strRef>
              <c:f>TabDin3!$R$2</c:f>
              <c:strCache>
                <c:ptCount val="1"/>
                <c:pt idx="0">
                  <c:v>Soma de Lucro_Bruto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TabDin3!$O$3:$O$98</c:f>
              <c:multiLvlStrCache>
                <c:ptCount val="75"/>
                <c:lvl>
                  <c:pt idx="0">
                    <c:v>3476</c:v>
                  </c:pt>
                  <c:pt idx="1">
                    <c:v>3726</c:v>
                  </c:pt>
                  <c:pt idx="2">
                    <c:v>18318</c:v>
                  </c:pt>
                  <c:pt idx="3">
                    <c:v>23241</c:v>
                  </c:pt>
                  <c:pt idx="4">
                    <c:v>32662</c:v>
                  </c:pt>
                  <c:pt idx="5">
                    <c:v>4223</c:v>
                  </c:pt>
                  <c:pt idx="6">
                    <c:v>11576</c:v>
                  </c:pt>
                  <c:pt idx="7">
                    <c:v>32363</c:v>
                  </c:pt>
                  <c:pt idx="8">
                    <c:v>48273</c:v>
                  </c:pt>
                  <c:pt idx="9">
                    <c:v>4323</c:v>
                  </c:pt>
                  <c:pt idx="10">
                    <c:v>4444</c:v>
                  </c:pt>
                  <c:pt idx="11">
                    <c:v>23333</c:v>
                  </c:pt>
                  <c:pt idx="12">
                    <c:v>34223</c:v>
                  </c:pt>
                  <c:pt idx="13">
                    <c:v>4454</c:v>
                  </c:pt>
                  <c:pt idx="14">
                    <c:v>12122</c:v>
                  </c:pt>
                  <c:pt idx="15">
                    <c:v>34534</c:v>
                  </c:pt>
                  <c:pt idx="16">
                    <c:v>56755</c:v>
                  </c:pt>
                  <c:pt idx="17">
                    <c:v>16866</c:v>
                  </c:pt>
                  <c:pt idx="18">
                    <c:v>28847</c:v>
                  </c:pt>
                  <c:pt idx="19">
                    <c:v>42265</c:v>
                  </c:pt>
                  <c:pt idx="20">
                    <c:v>48235</c:v>
                  </c:pt>
                  <c:pt idx="21">
                    <c:v>48747</c:v>
                  </c:pt>
                  <c:pt idx="22">
                    <c:v>4115</c:v>
                  </c:pt>
                  <c:pt idx="23">
                    <c:v>32065</c:v>
                  </c:pt>
                  <c:pt idx="24">
                    <c:v>42579</c:v>
                  </c:pt>
                  <c:pt idx="25">
                    <c:v>12333</c:v>
                  </c:pt>
                  <c:pt idx="26">
                    <c:v>34534</c:v>
                  </c:pt>
                  <c:pt idx="27">
                    <c:v>45333</c:v>
                  </c:pt>
                  <c:pt idx="28">
                    <c:v>45455</c:v>
                  </c:pt>
                  <c:pt idx="29">
                    <c:v>46454</c:v>
                  </c:pt>
                  <c:pt idx="30">
                    <c:v>4564</c:v>
                  </c:pt>
                  <c:pt idx="31">
                    <c:v>34344</c:v>
                  </c:pt>
                  <c:pt idx="32">
                    <c:v>46454</c:v>
                  </c:pt>
                  <c:pt idx="33">
                    <c:v>3242</c:v>
                  </c:pt>
                  <c:pt idx="34">
                    <c:v>8529</c:v>
                  </c:pt>
                  <c:pt idx="35">
                    <c:v>10528</c:v>
                  </c:pt>
                  <c:pt idx="36">
                    <c:v>11286</c:v>
                  </c:pt>
                  <c:pt idx="37">
                    <c:v>17100</c:v>
                  </c:pt>
                  <c:pt idx="38">
                    <c:v>20438</c:v>
                  </c:pt>
                  <c:pt idx="39">
                    <c:v>4054</c:v>
                  </c:pt>
                  <c:pt idx="40">
                    <c:v>22831</c:v>
                  </c:pt>
                  <c:pt idx="41">
                    <c:v>32965</c:v>
                  </c:pt>
                  <c:pt idx="42">
                    <c:v>48351</c:v>
                  </c:pt>
                  <c:pt idx="43">
                    <c:v>3244</c:v>
                  </c:pt>
                  <c:pt idx="44">
                    <c:v>8766</c:v>
                  </c:pt>
                  <c:pt idx="45">
                    <c:v>12212</c:v>
                  </c:pt>
                  <c:pt idx="46">
                    <c:v>12322</c:v>
                  </c:pt>
                  <c:pt idx="47">
                    <c:v>12455</c:v>
                  </c:pt>
                  <c:pt idx="48">
                    <c:v>21222</c:v>
                  </c:pt>
                  <c:pt idx="49">
                    <c:v>4564</c:v>
                  </c:pt>
                  <c:pt idx="50">
                    <c:v>23233</c:v>
                  </c:pt>
                  <c:pt idx="51">
                    <c:v>34344</c:v>
                  </c:pt>
                  <c:pt idx="52">
                    <c:v>45645</c:v>
                  </c:pt>
                  <c:pt idx="53">
                    <c:v>6129</c:v>
                  </c:pt>
                  <c:pt idx="54">
                    <c:v>9883</c:v>
                  </c:pt>
                  <c:pt idx="55">
                    <c:v>11432</c:v>
                  </c:pt>
                  <c:pt idx="56">
                    <c:v>21741</c:v>
                  </c:pt>
                  <c:pt idx="57">
                    <c:v>32660</c:v>
                  </c:pt>
                  <c:pt idx="58">
                    <c:v>54823</c:v>
                  </c:pt>
                  <c:pt idx="59">
                    <c:v>4137</c:v>
                  </c:pt>
                  <c:pt idx="60">
                    <c:v>5274</c:v>
                  </c:pt>
                  <c:pt idx="61">
                    <c:v>21156</c:v>
                  </c:pt>
                  <c:pt idx="62">
                    <c:v>31716</c:v>
                  </c:pt>
                  <c:pt idx="63">
                    <c:v>42275</c:v>
                  </c:pt>
                  <c:pt idx="64">
                    <c:v>5444</c:v>
                  </c:pt>
                  <c:pt idx="65">
                    <c:v>12212</c:v>
                  </c:pt>
                  <c:pt idx="66">
                    <c:v>12333</c:v>
                  </c:pt>
                  <c:pt idx="67">
                    <c:v>23233</c:v>
                  </c:pt>
                  <c:pt idx="68">
                    <c:v>34344</c:v>
                  </c:pt>
                  <c:pt idx="69">
                    <c:v>56666</c:v>
                  </c:pt>
                  <c:pt idx="70">
                    <c:v>4564</c:v>
                  </c:pt>
                  <c:pt idx="71">
                    <c:v>5676</c:v>
                  </c:pt>
                  <c:pt idx="72">
                    <c:v>23455</c:v>
                  </c:pt>
                  <c:pt idx="73">
                    <c:v>32233</c:v>
                  </c:pt>
                  <c:pt idx="74">
                    <c:v>46456</c:v>
                  </c:pt>
                </c:lvl>
                <c:lvl>
                  <c:pt idx="0">
                    <c:v>01/1T</c:v>
                  </c:pt>
                  <c:pt idx="5">
                    <c:v>01/2T</c:v>
                  </c:pt>
                  <c:pt idx="9">
                    <c:v>02/1T</c:v>
                  </c:pt>
                  <c:pt idx="13">
                    <c:v>02/2T</c:v>
                  </c:pt>
                  <c:pt idx="17">
                    <c:v>01/1T</c:v>
                  </c:pt>
                  <c:pt idx="22">
                    <c:v>01/2T</c:v>
                  </c:pt>
                  <c:pt idx="25">
                    <c:v>02/1T</c:v>
                  </c:pt>
                  <c:pt idx="30">
                    <c:v>02/2T</c:v>
                  </c:pt>
                  <c:pt idx="33">
                    <c:v>01/1T</c:v>
                  </c:pt>
                  <c:pt idx="39">
                    <c:v>01/2T</c:v>
                  </c:pt>
                  <c:pt idx="43">
                    <c:v>02/1T</c:v>
                  </c:pt>
                  <c:pt idx="49">
                    <c:v>02/2T</c:v>
                  </c:pt>
                  <c:pt idx="53">
                    <c:v>01/1T</c:v>
                  </c:pt>
                  <c:pt idx="59">
                    <c:v>01/2T</c:v>
                  </c:pt>
                  <c:pt idx="64">
                    <c:v>02/1T</c:v>
                  </c:pt>
                  <c:pt idx="70">
                    <c:v>02/2T</c:v>
                  </c:pt>
                </c:lvl>
                <c:lvl>
                  <c:pt idx="0">
                    <c:v>Braga</c:v>
                  </c:pt>
                  <c:pt idx="17">
                    <c:v>Guarda</c:v>
                  </c:pt>
                  <c:pt idx="33">
                    <c:v>Porto</c:v>
                  </c:pt>
                  <c:pt idx="53">
                    <c:v>Viseu</c:v>
                  </c:pt>
                </c:lvl>
              </c:multiLvlStrCache>
            </c:multiLvlStrRef>
          </c:cat>
          <c:val>
            <c:numRef>
              <c:f>TabDin3!$R$3:$R$98</c:f>
              <c:numCache>
                <c:formatCode>_-* #,##0.00\ [$€-816]_-;\-* #,##0.00\ [$€-816]_-;_-* "-"??\ [$€-816]_-;_-@_-</c:formatCode>
                <c:ptCount val="75"/>
                <c:pt idx="0">
                  <c:v>678</c:v>
                </c:pt>
                <c:pt idx="1">
                  <c:v>544</c:v>
                </c:pt>
                <c:pt idx="2">
                  <c:v>443</c:v>
                </c:pt>
                <c:pt idx="3">
                  <c:v>677</c:v>
                </c:pt>
                <c:pt idx="4">
                  <c:v>455</c:v>
                </c:pt>
                <c:pt idx="5">
                  <c:v>2333</c:v>
                </c:pt>
                <c:pt idx="6">
                  <c:v>1877</c:v>
                </c:pt>
                <c:pt idx="7">
                  <c:v>654</c:v>
                </c:pt>
                <c:pt idx="8">
                  <c:v>1544</c:v>
                </c:pt>
                <c:pt idx="9">
                  <c:v>765</c:v>
                </c:pt>
                <c:pt idx="10">
                  <c:v>577</c:v>
                </c:pt>
                <c:pt idx="11">
                  <c:v>1308</c:v>
                </c:pt>
                <c:pt idx="12">
                  <c:v>467</c:v>
                </c:pt>
                <c:pt idx="13">
                  <c:v>2100</c:v>
                </c:pt>
                <c:pt idx="14">
                  <c:v>1765</c:v>
                </c:pt>
                <c:pt idx="15">
                  <c:v>765</c:v>
                </c:pt>
                <c:pt idx="16">
                  <c:v>1678</c:v>
                </c:pt>
                <c:pt idx="17">
                  <c:v>655</c:v>
                </c:pt>
                <c:pt idx="18">
                  <c:v>765</c:v>
                </c:pt>
                <c:pt idx="19">
                  <c:v>6789</c:v>
                </c:pt>
                <c:pt idx="20">
                  <c:v>1344</c:v>
                </c:pt>
                <c:pt idx="21">
                  <c:v>1233</c:v>
                </c:pt>
                <c:pt idx="22">
                  <c:v>454</c:v>
                </c:pt>
                <c:pt idx="23">
                  <c:v>4566</c:v>
                </c:pt>
                <c:pt idx="24">
                  <c:v>1233</c:v>
                </c:pt>
                <c:pt idx="25">
                  <c:v>654</c:v>
                </c:pt>
                <c:pt idx="26">
                  <c:v>854</c:v>
                </c:pt>
                <c:pt idx="27">
                  <c:v>1543</c:v>
                </c:pt>
                <c:pt idx="28">
                  <c:v>6890</c:v>
                </c:pt>
                <c:pt idx="29">
                  <c:v>1210</c:v>
                </c:pt>
                <c:pt idx="30">
                  <c:v>432</c:v>
                </c:pt>
                <c:pt idx="31">
                  <c:v>4566</c:v>
                </c:pt>
                <c:pt idx="32">
                  <c:v>1345</c:v>
                </c:pt>
                <c:pt idx="33">
                  <c:v>567</c:v>
                </c:pt>
                <c:pt idx="34">
                  <c:v>156</c:v>
                </c:pt>
                <c:pt idx="35">
                  <c:v>566</c:v>
                </c:pt>
                <c:pt idx="36">
                  <c:v>333</c:v>
                </c:pt>
                <c:pt idx="37">
                  <c:v>554</c:v>
                </c:pt>
                <c:pt idx="38">
                  <c:v>566</c:v>
                </c:pt>
                <c:pt idx="39">
                  <c:v>544</c:v>
                </c:pt>
                <c:pt idx="40">
                  <c:v>2988</c:v>
                </c:pt>
                <c:pt idx="41">
                  <c:v>566</c:v>
                </c:pt>
                <c:pt idx="42">
                  <c:v>1133</c:v>
                </c:pt>
                <c:pt idx="43">
                  <c:v>567</c:v>
                </c:pt>
                <c:pt idx="44">
                  <c:v>167</c:v>
                </c:pt>
                <c:pt idx="45">
                  <c:v>510</c:v>
                </c:pt>
                <c:pt idx="46">
                  <c:v>356</c:v>
                </c:pt>
                <c:pt idx="47">
                  <c:v>554</c:v>
                </c:pt>
                <c:pt idx="48">
                  <c:v>654</c:v>
                </c:pt>
                <c:pt idx="49">
                  <c:v>543</c:v>
                </c:pt>
                <c:pt idx="50">
                  <c:v>2988</c:v>
                </c:pt>
                <c:pt idx="51">
                  <c:v>532</c:v>
                </c:pt>
                <c:pt idx="52">
                  <c:v>1200</c:v>
                </c:pt>
                <c:pt idx="53">
                  <c:v>556</c:v>
                </c:pt>
                <c:pt idx="54">
                  <c:v>565</c:v>
                </c:pt>
                <c:pt idx="55">
                  <c:v>233</c:v>
                </c:pt>
                <c:pt idx="56">
                  <c:v>677</c:v>
                </c:pt>
                <c:pt idx="57">
                  <c:v>876</c:v>
                </c:pt>
                <c:pt idx="58">
                  <c:v>1677</c:v>
                </c:pt>
                <c:pt idx="59">
                  <c:v>4545</c:v>
                </c:pt>
                <c:pt idx="60">
                  <c:v>988</c:v>
                </c:pt>
                <c:pt idx="61">
                  <c:v>4555</c:v>
                </c:pt>
                <c:pt idx="62">
                  <c:v>567</c:v>
                </c:pt>
                <c:pt idx="63">
                  <c:v>1222</c:v>
                </c:pt>
                <c:pt idx="64">
                  <c:v>590</c:v>
                </c:pt>
                <c:pt idx="65">
                  <c:v>654</c:v>
                </c:pt>
                <c:pt idx="66">
                  <c:v>235</c:v>
                </c:pt>
                <c:pt idx="67">
                  <c:v>677</c:v>
                </c:pt>
                <c:pt idx="68">
                  <c:v>890</c:v>
                </c:pt>
                <c:pt idx="69">
                  <c:v>1765</c:v>
                </c:pt>
                <c:pt idx="70">
                  <c:v>4678</c:v>
                </c:pt>
                <c:pt idx="71">
                  <c:v>943</c:v>
                </c:pt>
                <c:pt idx="72">
                  <c:v>4678</c:v>
                </c:pt>
                <c:pt idx="73">
                  <c:v>532</c:v>
                </c:pt>
                <c:pt idx="74">
                  <c:v>1211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F6-4947-BFE3-33139463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35855"/>
        <c:axId val="338049295"/>
      </c:lineChart>
      <c:catAx>
        <c:axId val="33803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8049295"/>
        <c:crosses val="autoZero"/>
        <c:auto val="1"/>
        <c:lblAlgn val="ctr"/>
        <c:lblOffset val="100"/>
        <c:noMultiLvlLbl val="0"/>
      </c:catAx>
      <c:valAx>
        <c:axId val="3380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803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10</xdr:row>
      <xdr:rowOff>104775</xdr:rowOff>
    </xdr:from>
    <xdr:to>
      <xdr:col>14</xdr:col>
      <xdr:colOff>657225</xdr:colOff>
      <xdr:row>31</xdr:row>
      <xdr:rowOff>133351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D2405-3740-4880-18BF-3A448BFA4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1123950</xdr:colOff>
      <xdr:row>22</xdr:row>
      <xdr:rowOff>95250</xdr:rowOff>
    </xdr:from>
    <xdr:to>
      <xdr:col>5</xdr:col>
      <xdr:colOff>219075</xdr:colOff>
      <xdr:row>37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BD5B9621-3DFA-D772-448C-90703B5A35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1725" y="36576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285750</xdr:colOff>
      <xdr:row>22</xdr:row>
      <xdr:rowOff>142875</xdr:rowOff>
    </xdr:from>
    <xdr:to>
      <xdr:col>1</xdr:col>
      <xdr:colOff>866775</xdr:colOff>
      <xdr:row>37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Localidade">
              <a:extLst>
                <a:ext uri="{FF2B5EF4-FFF2-40B4-BE49-F238E27FC236}">
                  <a16:creationId xmlns:a16="http://schemas.microsoft.com/office/drawing/2014/main" id="{83E3BFC3-0646-6F16-DF07-D588A75EAF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37052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7</xdr:row>
      <xdr:rowOff>38100</xdr:rowOff>
    </xdr:from>
    <xdr:to>
      <xdr:col>15</xdr:col>
      <xdr:colOff>257175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98D025-8EFB-58F4-7CB5-B45A3A000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9525</xdr:rowOff>
    </xdr:from>
    <xdr:to>
      <xdr:col>7</xdr:col>
      <xdr:colOff>485774</xdr:colOff>
      <xdr:row>52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A7AD89-C2D7-2C5F-7D46-F911AAF10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104775</xdr:colOff>
      <xdr:row>2</xdr:row>
      <xdr:rowOff>9525</xdr:rowOff>
    </xdr:from>
    <xdr:to>
      <xdr:col>6</xdr:col>
      <xdr:colOff>1057275</xdr:colOff>
      <xdr:row>16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liente 1">
              <a:extLst>
                <a:ext uri="{FF2B5EF4-FFF2-40B4-BE49-F238E27FC236}">
                  <a16:creationId xmlns:a16="http://schemas.microsoft.com/office/drawing/2014/main" id="{196E6D57-E59F-5D29-A87F-9B679DDA26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3275" y="37147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523875</xdr:colOff>
      <xdr:row>33</xdr:row>
      <xdr:rowOff>133350</xdr:rowOff>
    </xdr:from>
    <xdr:to>
      <xdr:col>12</xdr:col>
      <xdr:colOff>790575</xdr:colOff>
      <xdr:row>48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 1">
              <a:extLst>
                <a:ext uri="{FF2B5EF4-FFF2-40B4-BE49-F238E27FC236}">
                  <a16:creationId xmlns:a16="http://schemas.microsoft.com/office/drawing/2014/main" id="{3E6E9355-7F0E-5C8E-7770-D3EF128144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0" y="551497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342900</xdr:colOff>
      <xdr:row>33</xdr:row>
      <xdr:rowOff>142875</xdr:rowOff>
    </xdr:from>
    <xdr:to>
      <xdr:col>11</xdr:col>
      <xdr:colOff>342900</xdr:colOff>
      <xdr:row>48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aís">
              <a:extLst>
                <a:ext uri="{FF2B5EF4-FFF2-40B4-BE49-F238E27FC236}">
                  <a16:creationId xmlns:a16="http://schemas.microsoft.com/office/drawing/2014/main" id="{E2A2B916-25CC-CA1E-46F5-88D36A17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55245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457199</xdr:colOff>
      <xdr:row>17</xdr:row>
      <xdr:rowOff>66674</xdr:rowOff>
    </xdr:from>
    <xdr:to>
      <xdr:col>19</xdr:col>
      <xdr:colOff>219075</xdr:colOff>
      <xdr:row>46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FE5138-E0D6-6273-EBFB-F9B4B3778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409575</xdr:colOff>
      <xdr:row>17</xdr:row>
      <xdr:rowOff>133350</xdr:rowOff>
    </xdr:from>
    <xdr:to>
      <xdr:col>22</xdr:col>
      <xdr:colOff>276225</xdr:colOff>
      <xdr:row>32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istrito">
              <a:extLst>
                <a:ext uri="{FF2B5EF4-FFF2-40B4-BE49-F238E27FC236}">
                  <a16:creationId xmlns:a16="http://schemas.microsoft.com/office/drawing/2014/main" id="{90421A2C-1D9A-997A-1C4D-5AA8E2FCC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97275" y="288607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438150</xdr:colOff>
      <xdr:row>33</xdr:row>
      <xdr:rowOff>66675</xdr:rowOff>
    </xdr:from>
    <xdr:to>
      <xdr:col>22</xdr:col>
      <xdr:colOff>304800</xdr:colOff>
      <xdr:row>48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7C298603-70D0-5E78-DB7D-5E5B80E2B4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5850" y="54102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381000</xdr:colOff>
      <xdr:row>17</xdr:row>
      <xdr:rowOff>114300</xdr:rowOff>
    </xdr:from>
    <xdr:to>
      <xdr:col>24</xdr:col>
      <xdr:colOff>695325</xdr:colOff>
      <xdr:row>32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ndas (euros)">
              <a:extLst>
                <a:ext uri="{FF2B5EF4-FFF2-40B4-BE49-F238E27FC236}">
                  <a16:creationId xmlns:a16="http://schemas.microsoft.com/office/drawing/2014/main" id="{DE17B7EC-33C2-2F96-5D70-8029448648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as (euro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30850" y="28670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431556713" createdVersion="8" refreshedVersion="8" minRefreshableVersion="3" recordCount="24" xr:uid="{42AF7BB8-D12F-471E-9C28-CD6692C1AA5E}">
  <cacheSource type="worksheet">
    <worksheetSource ref="A4:E28" sheet="TabDinIntro"/>
  </cacheSource>
  <cacheFields count="5">
    <cacheField name="Cliente" numFmtId="0">
      <sharedItems count="5">
        <s v="Vodafone"/>
        <s v="Goldstar"/>
        <s v="Osicom"/>
        <s v="Abc LDA."/>
        <s v="At&amp;t"/>
      </sharedItems>
    </cacheField>
    <cacheField name="Localidade" numFmtId="0">
      <sharedItems count="4">
        <s v="Lisboa"/>
        <s v="Porto"/>
        <s v="Aveiro"/>
        <s v="Coimbra"/>
      </sharedItems>
    </cacheField>
    <cacheField name="Produto" numFmtId="0">
      <sharedItems count="4">
        <s v="Laptop"/>
        <s v="Impressora"/>
        <s v="PC"/>
        <s v="Scanner"/>
      </sharedItems>
    </cacheField>
    <cacheField name="Mês" numFmtId="0">
      <sharedItems count="4">
        <s v="Jan"/>
        <s v="Fev"/>
        <s v="Mar"/>
        <s v="Abr"/>
      </sharedItems>
    </cacheField>
    <cacheField name="1º Tri" numFmtId="0">
      <sharedItems containsSemiMixedTypes="0" containsString="0" containsNumber="1" containsInteger="1" minValue="140" maxValue="2210"/>
    </cacheField>
  </cacheFields>
  <extLst>
    <ext xmlns:x14="http://schemas.microsoft.com/office/spreadsheetml/2009/9/main" uri="{725AE2AE-9491-48be-B2B4-4EB974FC3084}">
      <x14:pivotCacheDefinition pivotCacheId="864634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4315625" createdVersion="8" refreshedVersion="8" minRefreshableVersion="3" recordCount="19" xr:uid="{2BC8A4F0-C5D2-4558-BD34-B672D5356E7D}">
  <cacheSource type="worksheet">
    <worksheetSource ref="C4:I23" sheet="TabDin1"/>
  </cacheSource>
  <cacheFields count="7">
    <cacheField name="Trimestre " numFmtId="0">
      <sharedItems/>
    </cacheField>
    <cacheField name="Mês" numFmtId="0">
      <sharedItems count="5">
        <s v="Jan"/>
        <s v="Fev"/>
        <s v="Mar"/>
        <s v="Abr"/>
        <s v="Mai"/>
      </sharedItems>
    </cacheField>
    <cacheField name="Região" numFmtId="0">
      <sharedItems/>
    </cacheField>
    <cacheField name="Distrito" numFmtId="0">
      <sharedItems count="3">
        <s v="Viseu"/>
        <s v="Braga"/>
        <s v="Porto"/>
      </sharedItems>
    </cacheField>
    <cacheField name="Representante" numFmtId="0">
      <sharedItems count="3">
        <s v="Repres. 3"/>
        <s v="Repres. 1"/>
        <s v="Repres. 2"/>
      </sharedItems>
    </cacheField>
    <cacheField name="Vendas" numFmtId="0">
      <sharedItems containsSemiMixedTypes="0" containsString="0" containsNumber="1" containsInteger="1" minValue="762" maxValue="4503"/>
    </cacheField>
    <cacheField name="Unidades" numFmtId="0">
      <sharedItems containsSemiMixedTypes="0" containsString="0" containsNumber="1" containsInteger="1" minValue="570" maxValue="5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43851851855" createdVersion="8" refreshedVersion="8" minRefreshableVersion="3" recordCount="24" xr:uid="{D8E32CF5-785C-43BE-AE60-7D471004EFD0}">
  <cacheSource type="worksheet">
    <worksheetSource ref="A1:G25" sheet="TabDin2"/>
  </cacheSource>
  <cacheFields count="7">
    <cacheField name="Factura" numFmtId="0">
      <sharedItems containsSemiMixedTypes="0" containsString="0" containsNumber="1" containsInteger="1" minValue="321" maxValue="363"/>
    </cacheField>
    <cacheField name="Cliente" numFmtId="0">
      <sharedItems count="7">
        <s v="Deportes García"/>
        <s v="Esquí Alpino"/>
        <s v="Ferretería Juanito"/>
        <s v="La tienda de Windsurf"/>
        <s v="La Vela de Oro"/>
        <s v="Super Deportes"/>
        <s v="Tarifa Deportes"/>
      </sharedItems>
    </cacheField>
    <cacheField name="Mês" numFmtId="0">
      <sharedItems count="4">
        <s v="Junho"/>
        <s v="Julho"/>
        <s v="Agosto"/>
        <s v="Setembro"/>
      </sharedItems>
    </cacheField>
    <cacheField name="Vendedor" numFmtId="0">
      <sharedItems count="4">
        <s v="Rui"/>
        <s v="Luís"/>
        <s v="Armando"/>
        <s v="Ana"/>
      </sharedItems>
    </cacheField>
    <cacheField name="País" numFmtId="0">
      <sharedItems count="4">
        <s v="França"/>
        <s v="Itália"/>
        <s v="Portugal"/>
        <s v="Espanha"/>
      </sharedItems>
    </cacheField>
    <cacheField name="Día" numFmtId="0">
      <sharedItems containsSemiMixedTypes="0" containsString="0" containsNumber="1" containsInteger="1" minValue="1" maxValue="26"/>
    </cacheField>
    <cacheField name="Valor" numFmtId="165">
      <sharedItems containsSemiMixedTypes="0" containsString="0" containsNumber="1" containsInteger="1" minValue="28000" maxValue="652800"/>
    </cacheField>
  </cacheFields>
  <extLst>
    <ext xmlns:x14="http://schemas.microsoft.com/office/spreadsheetml/2009/9/main" uri="{725AE2AE-9491-48be-B2B4-4EB974FC3084}">
      <x14:pivotCacheDefinition pivotCacheId="119399400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48560532405" createdVersion="8" refreshedVersion="8" minRefreshableVersion="3" recordCount="76" xr:uid="{93522380-0FE5-41C9-958C-400FAB336BE4}">
  <cacheSource type="worksheet">
    <worksheetSource ref="A1:I77" sheet="TabDin3"/>
  </cacheSource>
  <cacheFields count="9">
    <cacheField name="Trimestre/Ano" numFmtId="0">
      <sharedItems count="4">
        <s v="01/1T"/>
        <s v="01/2T"/>
        <s v="02/1T"/>
        <s v="02/2T"/>
      </sharedItems>
    </cacheField>
    <cacheField name="Mês" numFmtId="0">
      <sharedItems count="6">
        <s v="Jan"/>
        <s v="Fev"/>
        <s v="Mar"/>
        <s v="Abr"/>
        <s v="Mai"/>
        <s v="Jun"/>
      </sharedItems>
    </cacheField>
    <cacheField name="Região" numFmtId="0">
      <sharedItems/>
    </cacheField>
    <cacheField name="Distrito" numFmtId="0">
      <sharedItems count="4">
        <s v="Viseu"/>
        <s v="Porto"/>
        <s v="Braga"/>
        <s v="Guarda"/>
      </sharedItems>
    </cacheField>
    <cacheField name="Família" numFmtId="0">
      <sharedItems count="4">
        <s v="Arr"/>
        <s v="Det"/>
        <s v="Ac"/>
        <s v="Mas"/>
      </sharedItems>
    </cacheField>
    <cacheField name="Vendedor" numFmtId="0">
      <sharedItems count="3">
        <s v="V1"/>
        <s v="V2"/>
        <s v="V3"/>
      </sharedItems>
    </cacheField>
    <cacheField name="Vendas (euros)" numFmtId="166">
      <sharedItems containsSemiMixedTypes="0" containsString="0" containsNumber="1" containsInteger="1" minValue="211" maxValue="27233" count="71">
        <n v="2300"/>
        <n v="7000"/>
        <n v="2200"/>
        <n v="4000"/>
        <n v="3000"/>
        <n v="3200"/>
        <n v="2000"/>
        <n v="13980"/>
        <n v="12300"/>
        <n v="2100"/>
        <n v="6236"/>
        <n v="4532"/>
        <n v="5211"/>
        <n v="1654"/>
        <n v="2122"/>
        <n v="4211"/>
        <n v="8321"/>
        <n v="25322"/>
        <n v="5321"/>
        <n v="12435"/>
        <n v="2432"/>
        <n v="12345"/>
        <n v="6432"/>
        <n v="3211"/>
        <n v="11234"/>
        <n v="19233"/>
        <n v="10988"/>
        <n v="6200"/>
        <n v="7119"/>
        <n v="6321"/>
        <n v="13222"/>
        <n v="22111"/>
        <n v="211"/>
        <n v="213"/>
        <n v="2400"/>
        <n v="7327"/>
        <n v="2402"/>
        <n v="2600"/>
        <n v="4600"/>
        <n v="2360"/>
        <n v="2340"/>
        <n v="2320"/>
        <n v="3553"/>
        <n v="14450"/>
        <n v="11560"/>
        <n v="2612"/>
        <n v="6534"/>
        <n v="4550"/>
        <n v="5411"/>
        <n v="1700"/>
        <n v="2123"/>
        <n v="4500"/>
        <n v="8750"/>
        <n v="27233"/>
        <n v="6370"/>
        <n v="11850"/>
        <n v="2738"/>
        <n v="11654"/>
        <n v="6701"/>
        <n v="3456"/>
        <n v="20600"/>
        <n v="11988"/>
        <n v="6301"/>
        <n v="7455"/>
        <n v="14514"/>
        <n v="6745"/>
        <n v="13455"/>
        <n v="12455"/>
        <n v="23322"/>
        <n v="234"/>
        <n v="235"/>
      </sharedItems>
    </cacheField>
    <cacheField name="Unidades" numFmtId="0">
      <sharedItems containsSemiMixedTypes="0" containsString="0" containsNumber="1" containsInteger="1" minValue="3242" maxValue="56755" count="66">
        <n v="11432"/>
        <n v="9883"/>
        <n v="11286"/>
        <n v="3726"/>
        <n v="18318"/>
        <n v="17100"/>
        <n v="16866"/>
        <n v="10528"/>
        <n v="6129"/>
        <n v="54823"/>
        <n v="48235"/>
        <n v="3476"/>
        <n v="32662"/>
        <n v="23241"/>
        <n v="20438"/>
        <n v="8529"/>
        <n v="3242"/>
        <n v="21741"/>
        <n v="32660"/>
        <n v="42265"/>
        <n v="28847"/>
        <n v="48747"/>
        <n v="4054"/>
        <n v="48351"/>
        <n v="32965"/>
        <n v="5274"/>
        <n v="42275"/>
        <n v="32065"/>
        <n v="42579"/>
        <n v="31716"/>
        <n v="11576"/>
        <n v="48273"/>
        <n v="32363"/>
        <n v="22831"/>
        <n v="21156"/>
        <n v="4223"/>
        <n v="4115"/>
        <n v="4137"/>
        <n v="12333"/>
        <n v="12212"/>
        <n v="12322"/>
        <n v="4444"/>
        <n v="23333"/>
        <n v="12455"/>
        <n v="5444"/>
        <n v="56666"/>
        <n v="45333"/>
        <n v="4323"/>
        <n v="34223"/>
        <n v="21222"/>
        <n v="8766"/>
        <n v="3244"/>
        <n v="23233"/>
        <n v="34344"/>
        <n v="45455"/>
        <n v="34534"/>
        <n v="46454"/>
        <n v="4564"/>
        <n v="45645"/>
        <n v="5676"/>
        <n v="46456"/>
        <n v="32233"/>
        <n v="12122"/>
        <n v="56755"/>
        <n v="23455"/>
        <n v="4454"/>
      </sharedItems>
    </cacheField>
    <cacheField name="Lucro_Bruto" numFmtId="166">
      <sharedItems containsSemiMixedTypes="0" containsString="0" containsNumber="1" containsInteger="1" minValue="156" maxValue="6890"/>
    </cacheField>
  </cacheFields>
  <extLst>
    <ext xmlns:x14="http://schemas.microsoft.com/office/spreadsheetml/2009/9/main" uri="{725AE2AE-9491-48be-B2B4-4EB974FC3084}">
      <x14:pivotCacheDefinition pivotCacheId="17893327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n v="1200"/>
  </r>
  <r>
    <x v="0"/>
    <x v="1"/>
    <x v="1"/>
    <x v="0"/>
    <n v="1450"/>
  </r>
  <r>
    <x v="0"/>
    <x v="2"/>
    <x v="2"/>
    <x v="0"/>
    <n v="1700"/>
  </r>
  <r>
    <x v="0"/>
    <x v="1"/>
    <x v="1"/>
    <x v="1"/>
    <n v="1950"/>
  </r>
  <r>
    <x v="1"/>
    <x v="2"/>
    <x v="0"/>
    <x v="1"/>
    <n v="1500"/>
  </r>
  <r>
    <x v="1"/>
    <x v="3"/>
    <x v="2"/>
    <x v="1"/>
    <n v="560"/>
  </r>
  <r>
    <x v="1"/>
    <x v="0"/>
    <x v="1"/>
    <x v="2"/>
    <n v="185"/>
  </r>
  <r>
    <x v="2"/>
    <x v="1"/>
    <x v="3"/>
    <x v="2"/>
    <n v="210"/>
  </r>
  <r>
    <x v="3"/>
    <x v="0"/>
    <x v="0"/>
    <x v="2"/>
    <n v="1750"/>
  </r>
  <r>
    <x v="1"/>
    <x v="2"/>
    <x v="2"/>
    <x v="2"/>
    <n v="610"/>
  </r>
  <r>
    <x v="3"/>
    <x v="3"/>
    <x v="2"/>
    <x v="3"/>
    <n v="580"/>
  </r>
  <r>
    <x v="0"/>
    <x v="0"/>
    <x v="1"/>
    <x v="1"/>
    <n v="2210"/>
  </r>
  <r>
    <x v="4"/>
    <x v="2"/>
    <x v="2"/>
    <x v="2"/>
    <n v="360"/>
  </r>
  <r>
    <x v="2"/>
    <x v="3"/>
    <x v="1"/>
    <x v="0"/>
    <n v="140"/>
  </r>
  <r>
    <x v="4"/>
    <x v="2"/>
    <x v="2"/>
    <x v="2"/>
    <n v="375"/>
  </r>
  <r>
    <x v="2"/>
    <x v="1"/>
    <x v="1"/>
    <x v="1"/>
    <n v="150"/>
  </r>
  <r>
    <x v="3"/>
    <x v="0"/>
    <x v="3"/>
    <x v="2"/>
    <n v="175"/>
  </r>
  <r>
    <x v="1"/>
    <x v="2"/>
    <x v="2"/>
    <x v="2"/>
    <n v="284"/>
  </r>
  <r>
    <x v="2"/>
    <x v="3"/>
    <x v="3"/>
    <x v="0"/>
    <n v="230"/>
  </r>
  <r>
    <x v="4"/>
    <x v="2"/>
    <x v="2"/>
    <x v="0"/>
    <n v="368"/>
  </r>
  <r>
    <x v="0"/>
    <x v="1"/>
    <x v="0"/>
    <x v="1"/>
    <n v="2100"/>
  </r>
  <r>
    <x v="1"/>
    <x v="2"/>
    <x v="0"/>
    <x v="2"/>
    <n v="1850"/>
  </r>
  <r>
    <x v="2"/>
    <x v="1"/>
    <x v="1"/>
    <x v="1"/>
    <n v="250"/>
  </r>
  <r>
    <x v="3"/>
    <x v="2"/>
    <x v="0"/>
    <x v="1"/>
    <n v="16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1T"/>
    <x v="0"/>
    <s v="Centro"/>
    <x v="0"/>
    <x v="0"/>
    <n v="876"/>
    <n v="1460"/>
  </r>
  <r>
    <s v="1T"/>
    <x v="0"/>
    <s v="Centro"/>
    <x v="0"/>
    <x v="1"/>
    <n v="834"/>
    <n v="1390"/>
  </r>
  <r>
    <s v="1T"/>
    <x v="0"/>
    <s v="Norte"/>
    <x v="1"/>
    <x v="2"/>
    <n v="2562"/>
    <n v="4270"/>
  </r>
  <r>
    <s v="1T"/>
    <x v="0"/>
    <s v="Norte"/>
    <x v="2"/>
    <x v="1"/>
    <n v="1740"/>
    <n v="2900"/>
  </r>
  <r>
    <s v="1T"/>
    <x v="1"/>
    <s v="Centro"/>
    <x v="0"/>
    <x v="1"/>
    <n v="2325"/>
    <n v="3875"/>
  </r>
  <r>
    <s v="1T"/>
    <x v="1"/>
    <s v="Norte"/>
    <x v="1"/>
    <x v="2"/>
    <n v="1242"/>
    <n v="2070"/>
  </r>
  <r>
    <s v="1T"/>
    <x v="1"/>
    <s v="Norte"/>
    <x v="2"/>
    <x v="0"/>
    <n v="2346"/>
    <n v="3910"/>
  </r>
  <r>
    <s v="1T"/>
    <x v="2"/>
    <s v="Centro"/>
    <x v="0"/>
    <x v="1"/>
    <n v="1311"/>
    <n v="2185"/>
  </r>
  <r>
    <s v="1T"/>
    <x v="2"/>
    <s v="Centro"/>
    <x v="0"/>
    <x v="0"/>
    <n v="2670"/>
    <n v="4450"/>
  </r>
  <r>
    <s v="1T"/>
    <x v="2"/>
    <s v="Norte"/>
    <x v="2"/>
    <x v="2"/>
    <n v="3474"/>
    <n v="5790"/>
  </r>
  <r>
    <s v="1T"/>
    <x v="2"/>
    <s v="Norte"/>
    <x v="1"/>
    <x v="2"/>
    <n v="2310"/>
    <n v="3850"/>
  </r>
  <r>
    <s v="2T"/>
    <x v="3"/>
    <s v="Centro"/>
    <x v="0"/>
    <x v="1"/>
    <n v="2340"/>
    <n v="3900"/>
  </r>
  <r>
    <s v="2T"/>
    <x v="3"/>
    <s v="Norte"/>
    <x v="1"/>
    <x v="2"/>
    <n v="876"/>
    <n v="1460"/>
  </r>
  <r>
    <s v="2T"/>
    <x v="3"/>
    <s v="Norte"/>
    <x v="2"/>
    <x v="0"/>
    <n v="3420"/>
    <n v="5700"/>
  </r>
  <r>
    <s v="2T"/>
    <x v="4"/>
    <s v="Centro"/>
    <x v="0"/>
    <x v="1"/>
    <n v="2340"/>
    <n v="3900"/>
  </r>
  <r>
    <s v="2T"/>
    <x v="4"/>
    <s v="Norte"/>
    <x v="1"/>
    <x v="2"/>
    <n v="762"/>
    <n v="1270"/>
  </r>
  <r>
    <s v="2T"/>
    <x v="3"/>
    <s v="Norte"/>
    <x v="2"/>
    <x v="0"/>
    <n v="1580"/>
    <n v="650"/>
  </r>
  <r>
    <s v="2T"/>
    <x v="4"/>
    <s v="Centro"/>
    <x v="0"/>
    <x v="1"/>
    <n v="3600"/>
    <n v="800"/>
  </r>
  <r>
    <s v="2T"/>
    <x v="4"/>
    <s v="Norte"/>
    <x v="2"/>
    <x v="0"/>
    <n v="4503"/>
    <n v="5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321"/>
    <x v="0"/>
    <x v="0"/>
    <x v="0"/>
    <x v="0"/>
    <n v="19"/>
    <n v="303200"/>
  </r>
  <r>
    <n v="323"/>
    <x v="0"/>
    <x v="0"/>
    <x v="1"/>
    <x v="1"/>
    <n v="21"/>
    <n v="246000"/>
  </r>
  <r>
    <n v="326"/>
    <x v="0"/>
    <x v="1"/>
    <x v="2"/>
    <x v="2"/>
    <n v="4"/>
    <n v="28000"/>
  </r>
  <r>
    <n v="327"/>
    <x v="0"/>
    <x v="1"/>
    <x v="3"/>
    <x v="3"/>
    <n v="4"/>
    <n v="264000"/>
  </r>
  <r>
    <n v="341"/>
    <x v="0"/>
    <x v="2"/>
    <x v="0"/>
    <x v="2"/>
    <n v="20"/>
    <n v="507000"/>
  </r>
  <r>
    <n v="342"/>
    <x v="0"/>
    <x v="2"/>
    <x v="3"/>
    <x v="3"/>
    <n v="20"/>
    <n v="86400"/>
  </r>
  <r>
    <n v="363"/>
    <x v="0"/>
    <x v="3"/>
    <x v="0"/>
    <x v="1"/>
    <n v="26"/>
    <n v="110000"/>
  </r>
  <r>
    <n v="362"/>
    <x v="1"/>
    <x v="3"/>
    <x v="3"/>
    <x v="2"/>
    <n v="26"/>
    <n v="57000"/>
  </r>
  <r>
    <n v="325"/>
    <x v="2"/>
    <x v="1"/>
    <x v="2"/>
    <x v="0"/>
    <n v="4"/>
    <n v="652800"/>
  </r>
  <r>
    <n v="331"/>
    <x v="2"/>
    <x v="2"/>
    <x v="1"/>
    <x v="1"/>
    <n v="1"/>
    <n v="70000"/>
  </r>
  <r>
    <n v="344"/>
    <x v="2"/>
    <x v="3"/>
    <x v="0"/>
    <x v="2"/>
    <n v="3"/>
    <n v="537000"/>
  </r>
  <r>
    <n v="329"/>
    <x v="3"/>
    <x v="1"/>
    <x v="2"/>
    <x v="2"/>
    <n v="4"/>
    <n v="157000"/>
  </r>
  <r>
    <n v="339"/>
    <x v="3"/>
    <x v="2"/>
    <x v="1"/>
    <x v="3"/>
    <n v="20"/>
    <n v="265000"/>
  </r>
  <r>
    <n v="346"/>
    <x v="3"/>
    <x v="3"/>
    <x v="0"/>
    <x v="1"/>
    <n v="3"/>
    <n v="247000"/>
  </r>
  <r>
    <n v="322"/>
    <x v="4"/>
    <x v="0"/>
    <x v="0"/>
    <x v="2"/>
    <n v="19"/>
    <n v="180000"/>
  </r>
  <r>
    <n v="324"/>
    <x v="4"/>
    <x v="0"/>
    <x v="2"/>
    <x v="3"/>
    <n v="21"/>
    <n v="85000"/>
  </r>
  <r>
    <n v="328"/>
    <x v="4"/>
    <x v="1"/>
    <x v="1"/>
    <x v="2"/>
    <n v="4"/>
    <n v="428000"/>
  </r>
  <r>
    <n v="345"/>
    <x v="4"/>
    <x v="3"/>
    <x v="1"/>
    <x v="3"/>
    <n v="3"/>
    <n v="240000"/>
  </r>
  <r>
    <n v="361"/>
    <x v="4"/>
    <x v="3"/>
    <x v="0"/>
    <x v="2"/>
    <n v="26"/>
    <n v="290000"/>
  </r>
  <r>
    <n v="343"/>
    <x v="5"/>
    <x v="2"/>
    <x v="3"/>
    <x v="3"/>
    <n v="20"/>
    <n v="134000"/>
  </r>
  <r>
    <n v="347"/>
    <x v="5"/>
    <x v="3"/>
    <x v="2"/>
    <x v="2"/>
    <n v="3"/>
    <n v="632000"/>
  </r>
  <r>
    <n v="330"/>
    <x v="6"/>
    <x v="1"/>
    <x v="3"/>
    <x v="3"/>
    <n v="4"/>
    <n v="328000"/>
  </r>
  <r>
    <n v="340"/>
    <x v="6"/>
    <x v="2"/>
    <x v="1"/>
    <x v="1"/>
    <n v="20"/>
    <n v="122000"/>
  </r>
  <r>
    <n v="360"/>
    <x v="6"/>
    <x v="3"/>
    <x v="2"/>
    <x v="1"/>
    <n v="26"/>
    <n v="33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s v="Centro"/>
    <x v="0"/>
    <x v="0"/>
    <x v="0"/>
    <x v="0"/>
    <x v="0"/>
    <n v="233"/>
  </r>
  <r>
    <x v="0"/>
    <x v="0"/>
    <s v="Centro"/>
    <x v="0"/>
    <x v="1"/>
    <x v="1"/>
    <x v="1"/>
    <x v="1"/>
    <n v="565"/>
  </r>
  <r>
    <x v="0"/>
    <x v="0"/>
    <s v="Norte"/>
    <x v="1"/>
    <x v="0"/>
    <x v="0"/>
    <x v="2"/>
    <x v="2"/>
    <n v="333"/>
  </r>
  <r>
    <x v="0"/>
    <x v="0"/>
    <s v="Norte"/>
    <x v="2"/>
    <x v="1"/>
    <x v="1"/>
    <x v="0"/>
    <x v="3"/>
    <n v="544"/>
  </r>
  <r>
    <x v="0"/>
    <x v="0"/>
    <s v="Norte"/>
    <x v="2"/>
    <x v="0"/>
    <x v="0"/>
    <x v="3"/>
    <x v="4"/>
    <n v="443"/>
  </r>
  <r>
    <x v="0"/>
    <x v="0"/>
    <s v="Norte"/>
    <x v="1"/>
    <x v="2"/>
    <x v="0"/>
    <x v="4"/>
    <x v="5"/>
    <n v="554"/>
  </r>
  <r>
    <x v="0"/>
    <x v="0"/>
    <s v="Centro"/>
    <x v="3"/>
    <x v="2"/>
    <x v="0"/>
    <x v="5"/>
    <x v="6"/>
    <n v="655"/>
  </r>
  <r>
    <x v="0"/>
    <x v="1"/>
    <s v="Norte"/>
    <x v="1"/>
    <x v="2"/>
    <x v="0"/>
    <x v="6"/>
    <x v="7"/>
    <n v="566"/>
  </r>
  <r>
    <x v="0"/>
    <x v="1"/>
    <s v="Centro"/>
    <x v="0"/>
    <x v="1"/>
    <x v="1"/>
    <x v="3"/>
    <x v="8"/>
    <n v="556"/>
  </r>
  <r>
    <x v="0"/>
    <x v="1"/>
    <s v="Centro"/>
    <x v="0"/>
    <x v="3"/>
    <x v="0"/>
    <x v="7"/>
    <x v="9"/>
    <n v="1677"/>
  </r>
  <r>
    <x v="0"/>
    <x v="1"/>
    <s v="Centro"/>
    <x v="3"/>
    <x v="3"/>
    <x v="1"/>
    <x v="8"/>
    <x v="10"/>
    <n v="1344"/>
  </r>
  <r>
    <x v="0"/>
    <x v="1"/>
    <s v="Norte"/>
    <x v="2"/>
    <x v="1"/>
    <x v="0"/>
    <x v="9"/>
    <x v="11"/>
    <n v="678"/>
  </r>
  <r>
    <x v="0"/>
    <x v="1"/>
    <s v="Norte"/>
    <x v="2"/>
    <x v="2"/>
    <x v="1"/>
    <x v="10"/>
    <x v="12"/>
    <n v="455"/>
  </r>
  <r>
    <x v="0"/>
    <x v="2"/>
    <s v="Norte"/>
    <x v="2"/>
    <x v="0"/>
    <x v="0"/>
    <x v="11"/>
    <x v="13"/>
    <n v="677"/>
  </r>
  <r>
    <x v="0"/>
    <x v="2"/>
    <s v="Norte"/>
    <x v="1"/>
    <x v="3"/>
    <x v="2"/>
    <x v="12"/>
    <x v="14"/>
    <n v="566"/>
  </r>
  <r>
    <x v="0"/>
    <x v="2"/>
    <s v="Norte"/>
    <x v="1"/>
    <x v="0"/>
    <x v="2"/>
    <x v="13"/>
    <x v="15"/>
    <n v="156"/>
  </r>
  <r>
    <x v="0"/>
    <x v="2"/>
    <s v="Norte"/>
    <x v="1"/>
    <x v="1"/>
    <x v="2"/>
    <x v="14"/>
    <x v="16"/>
    <n v="567"/>
  </r>
  <r>
    <x v="0"/>
    <x v="2"/>
    <s v="Centro"/>
    <x v="0"/>
    <x v="0"/>
    <x v="0"/>
    <x v="15"/>
    <x v="17"/>
    <n v="677"/>
  </r>
  <r>
    <x v="0"/>
    <x v="2"/>
    <s v="Centro"/>
    <x v="0"/>
    <x v="3"/>
    <x v="1"/>
    <x v="16"/>
    <x v="18"/>
    <n v="876"/>
  </r>
  <r>
    <x v="0"/>
    <x v="2"/>
    <s v="Centro"/>
    <x v="3"/>
    <x v="1"/>
    <x v="0"/>
    <x v="17"/>
    <x v="19"/>
    <n v="6789"/>
  </r>
  <r>
    <x v="0"/>
    <x v="2"/>
    <s v="Centro"/>
    <x v="3"/>
    <x v="0"/>
    <x v="1"/>
    <x v="18"/>
    <x v="20"/>
    <n v="765"/>
  </r>
  <r>
    <x v="0"/>
    <x v="2"/>
    <s v="Centro"/>
    <x v="3"/>
    <x v="3"/>
    <x v="2"/>
    <x v="19"/>
    <x v="21"/>
    <n v="1233"/>
  </r>
  <r>
    <x v="1"/>
    <x v="3"/>
    <s v="Norte"/>
    <x v="1"/>
    <x v="1"/>
    <x v="0"/>
    <x v="20"/>
    <x v="22"/>
    <n v="544"/>
  </r>
  <r>
    <x v="1"/>
    <x v="3"/>
    <s v="Norte"/>
    <x v="1"/>
    <x v="3"/>
    <x v="2"/>
    <x v="21"/>
    <x v="23"/>
    <n v="1133"/>
  </r>
  <r>
    <x v="1"/>
    <x v="3"/>
    <s v="Norte"/>
    <x v="1"/>
    <x v="0"/>
    <x v="1"/>
    <x v="22"/>
    <x v="24"/>
    <n v="566"/>
  </r>
  <r>
    <x v="1"/>
    <x v="3"/>
    <s v="Centro"/>
    <x v="0"/>
    <x v="1"/>
    <x v="1"/>
    <x v="23"/>
    <x v="25"/>
    <n v="988"/>
  </r>
  <r>
    <x v="1"/>
    <x v="3"/>
    <s v="Centro"/>
    <x v="0"/>
    <x v="3"/>
    <x v="0"/>
    <x v="24"/>
    <x v="26"/>
    <n v="1222"/>
  </r>
  <r>
    <x v="1"/>
    <x v="3"/>
    <s v="Centro"/>
    <x v="3"/>
    <x v="1"/>
    <x v="2"/>
    <x v="25"/>
    <x v="27"/>
    <n v="4566"/>
  </r>
  <r>
    <x v="1"/>
    <x v="3"/>
    <s v="Centro"/>
    <x v="3"/>
    <x v="3"/>
    <x v="2"/>
    <x v="26"/>
    <x v="28"/>
    <n v="1233"/>
  </r>
  <r>
    <x v="1"/>
    <x v="3"/>
    <s v="Centro"/>
    <x v="0"/>
    <x v="0"/>
    <x v="1"/>
    <x v="27"/>
    <x v="29"/>
    <n v="567"/>
  </r>
  <r>
    <x v="1"/>
    <x v="3"/>
    <s v="Norte"/>
    <x v="2"/>
    <x v="1"/>
    <x v="0"/>
    <x v="28"/>
    <x v="30"/>
    <n v="1877"/>
  </r>
  <r>
    <x v="1"/>
    <x v="3"/>
    <s v="Norte"/>
    <x v="2"/>
    <x v="3"/>
    <x v="1"/>
    <x v="21"/>
    <x v="31"/>
    <n v="1544"/>
  </r>
  <r>
    <x v="1"/>
    <x v="3"/>
    <s v="Norte"/>
    <x v="2"/>
    <x v="0"/>
    <x v="2"/>
    <x v="29"/>
    <x v="32"/>
    <n v="654"/>
  </r>
  <r>
    <x v="1"/>
    <x v="4"/>
    <s v="Norte"/>
    <x v="1"/>
    <x v="1"/>
    <x v="2"/>
    <x v="30"/>
    <x v="33"/>
    <n v="2988"/>
  </r>
  <r>
    <x v="1"/>
    <x v="4"/>
    <s v="Centro"/>
    <x v="0"/>
    <x v="0"/>
    <x v="1"/>
    <x v="24"/>
    <x v="34"/>
    <n v="4555"/>
  </r>
  <r>
    <x v="1"/>
    <x v="5"/>
    <s v="Norte"/>
    <x v="2"/>
    <x v="1"/>
    <x v="0"/>
    <x v="31"/>
    <x v="35"/>
    <n v="2333"/>
  </r>
  <r>
    <x v="1"/>
    <x v="5"/>
    <s v="Centro"/>
    <x v="3"/>
    <x v="3"/>
    <x v="0"/>
    <x v="32"/>
    <x v="36"/>
    <n v="454"/>
  </r>
  <r>
    <x v="1"/>
    <x v="5"/>
    <s v="Centro"/>
    <x v="0"/>
    <x v="3"/>
    <x v="1"/>
    <x v="33"/>
    <x v="37"/>
    <n v="4545"/>
  </r>
  <r>
    <x v="2"/>
    <x v="0"/>
    <s v="Centro"/>
    <x v="0"/>
    <x v="0"/>
    <x v="0"/>
    <x v="34"/>
    <x v="38"/>
    <n v="235"/>
  </r>
  <r>
    <x v="2"/>
    <x v="0"/>
    <s v="Centro"/>
    <x v="0"/>
    <x v="1"/>
    <x v="1"/>
    <x v="35"/>
    <x v="39"/>
    <n v="654"/>
  </r>
  <r>
    <x v="2"/>
    <x v="0"/>
    <s v="Norte"/>
    <x v="1"/>
    <x v="0"/>
    <x v="0"/>
    <x v="36"/>
    <x v="40"/>
    <n v="356"/>
  </r>
  <r>
    <x v="2"/>
    <x v="0"/>
    <s v="Norte"/>
    <x v="2"/>
    <x v="1"/>
    <x v="1"/>
    <x v="37"/>
    <x v="41"/>
    <n v="577"/>
  </r>
  <r>
    <x v="2"/>
    <x v="0"/>
    <s v="Norte"/>
    <x v="2"/>
    <x v="0"/>
    <x v="0"/>
    <x v="38"/>
    <x v="42"/>
    <n v="543"/>
  </r>
  <r>
    <x v="2"/>
    <x v="0"/>
    <s v="Norte"/>
    <x v="1"/>
    <x v="2"/>
    <x v="0"/>
    <x v="39"/>
    <x v="43"/>
    <n v="554"/>
  </r>
  <r>
    <x v="2"/>
    <x v="0"/>
    <s v="Centro"/>
    <x v="3"/>
    <x v="2"/>
    <x v="0"/>
    <x v="40"/>
    <x v="38"/>
    <n v="654"/>
  </r>
  <r>
    <x v="2"/>
    <x v="1"/>
    <s v="Norte"/>
    <x v="1"/>
    <x v="2"/>
    <x v="0"/>
    <x v="41"/>
    <x v="39"/>
    <n v="510"/>
  </r>
  <r>
    <x v="2"/>
    <x v="1"/>
    <s v="Centro"/>
    <x v="0"/>
    <x v="1"/>
    <x v="1"/>
    <x v="42"/>
    <x v="44"/>
    <n v="590"/>
  </r>
  <r>
    <x v="2"/>
    <x v="1"/>
    <s v="Centro"/>
    <x v="0"/>
    <x v="3"/>
    <x v="0"/>
    <x v="43"/>
    <x v="45"/>
    <n v="1765"/>
  </r>
  <r>
    <x v="2"/>
    <x v="1"/>
    <s v="Centro"/>
    <x v="3"/>
    <x v="3"/>
    <x v="1"/>
    <x v="44"/>
    <x v="46"/>
    <n v="1543"/>
  </r>
  <r>
    <x v="2"/>
    <x v="1"/>
    <s v="Norte"/>
    <x v="2"/>
    <x v="1"/>
    <x v="0"/>
    <x v="45"/>
    <x v="47"/>
    <n v="765"/>
  </r>
  <r>
    <x v="2"/>
    <x v="1"/>
    <s v="Norte"/>
    <x v="2"/>
    <x v="2"/>
    <x v="1"/>
    <x v="46"/>
    <x v="48"/>
    <n v="467"/>
  </r>
  <r>
    <x v="2"/>
    <x v="2"/>
    <s v="Norte"/>
    <x v="2"/>
    <x v="0"/>
    <x v="0"/>
    <x v="47"/>
    <x v="42"/>
    <n v="765"/>
  </r>
  <r>
    <x v="2"/>
    <x v="2"/>
    <s v="Norte"/>
    <x v="1"/>
    <x v="3"/>
    <x v="2"/>
    <x v="48"/>
    <x v="49"/>
    <n v="654"/>
  </r>
  <r>
    <x v="2"/>
    <x v="2"/>
    <s v="Norte"/>
    <x v="1"/>
    <x v="0"/>
    <x v="2"/>
    <x v="49"/>
    <x v="50"/>
    <n v="167"/>
  </r>
  <r>
    <x v="2"/>
    <x v="2"/>
    <s v="Norte"/>
    <x v="1"/>
    <x v="1"/>
    <x v="2"/>
    <x v="50"/>
    <x v="51"/>
    <n v="567"/>
  </r>
  <r>
    <x v="2"/>
    <x v="2"/>
    <s v="Centro"/>
    <x v="0"/>
    <x v="0"/>
    <x v="0"/>
    <x v="51"/>
    <x v="52"/>
    <n v="677"/>
  </r>
  <r>
    <x v="2"/>
    <x v="2"/>
    <s v="Centro"/>
    <x v="0"/>
    <x v="3"/>
    <x v="1"/>
    <x v="52"/>
    <x v="53"/>
    <n v="890"/>
  </r>
  <r>
    <x v="2"/>
    <x v="2"/>
    <s v="Centro"/>
    <x v="3"/>
    <x v="1"/>
    <x v="0"/>
    <x v="53"/>
    <x v="54"/>
    <n v="6890"/>
  </r>
  <r>
    <x v="2"/>
    <x v="2"/>
    <s v="Centro"/>
    <x v="3"/>
    <x v="0"/>
    <x v="1"/>
    <x v="54"/>
    <x v="55"/>
    <n v="854"/>
  </r>
  <r>
    <x v="2"/>
    <x v="2"/>
    <s v="Centro"/>
    <x v="3"/>
    <x v="3"/>
    <x v="2"/>
    <x v="55"/>
    <x v="56"/>
    <n v="1210"/>
  </r>
  <r>
    <x v="3"/>
    <x v="3"/>
    <s v="Norte"/>
    <x v="1"/>
    <x v="1"/>
    <x v="0"/>
    <x v="56"/>
    <x v="57"/>
    <n v="543"/>
  </r>
  <r>
    <x v="3"/>
    <x v="3"/>
    <s v="Norte"/>
    <x v="1"/>
    <x v="3"/>
    <x v="2"/>
    <x v="57"/>
    <x v="58"/>
    <n v="1200"/>
  </r>
  <r>
    <x v="3"/>
    <x v="3"/>
    <s v="Norte"/>
    <x v="1"/>
    <x v="0"/>
    <x v="1"/>
    <x v="58"/>
    <x v="53"/>
    <n v="532"/>
  </r>
  <r>
    <x v="3"/>
    <x v="3"/>
    <s v="Centro"/>
    <x v="0"/>
    <x v="1"/>
    <x v="1"/>
    <x v="59"/>
    <x v="59"/>
    <n v="943"/>
  </r>
  <r>
    <x v="3"/>
    <x v="3"/>
    <s v="Centro"/>
    <x v="0"/>
    <x v="3"/>
    <x v="0"/>
    <x v="21"/>
    <x v="60"/>
    <n v="1211"/>
  </r>
  <r>
    <x v="3"/>
    <x v="3"/>
    <s v="Centro"/>
    <x v="3"/>
    <x v="1"/>
    <x v="2"/>
    <x v="60"/>
    <x v="53"/>
    <n v="4566"/>
  </r>
  <r>
    <x v="3"/>
    <x v="3"/>
    <s v="Centro"/>
    <x v="3"/>
    <x v="3"/>
    <x v="2"/>
    <x v="61"/>
    <x v="56"/>
    <n v="1345"/>
  </r>
  <r>
    <x v="3"/>
    <x v="3"/>
    <s v="Centro"/>
    <x v="0"/>
    <x v="0"/>
    <x v="1"/>
    <x v="62"/>
    <x v="61"/>
    <n v="532"/>
  </r>
  <r>
    <x v="3"/>
    <x v="3"/>
    <s v="Norte"/>
    <x v="2"/>
    <x v="1"/>
    <x v="0"/>
    <x v="63"/>
    <x v="62"/>
    <n v="1765"/>
  </r>
  <r>
    <x v="3"/>
    <x v="3"/>
    <s v="Norte"/>
    <x v="2"/>
    <x v="3"/>
    <x v="1"/>
    <x v="64"/>
    <x v="63"/>
    <n v="1678"/>
  </r>
  <r>
    <x v="3"/>
    <x v="3"/>
    <s v="Norte"/>
    <x v="2"/>
    <x v="0"/>
    <x v="2"/>
    <x v="65"/>
    <x v="55"/>
    <n v="765"/>
  </r>
  <r>
    <x v="3"/>
    <x v="4"/>
    <s v="Norte"/>
    <x v="1"/>
    <x v="1"/>
    <x v="2"/>
    <x v="66"/>
    <x v="52"/>
    <n v="2988"/>
  </r>
  <r>
    <x v="3"/>
    <x v="4"/>
    <s v="Centro"/>
    <x v="0"/>
    <x v="0"/>
    <x v="1"/>
    <x v="67"/>
    <x v="64"/>
    <n v="4678"/>
  </r>
  <r>
    <x v="3"/>
    <x v="5"/>
    <s v="Norte"/>
    <x v="2"/>
    <x v="1"/>
    <x v="0"/>
    <x v="68"/>
    <x v="65"/>
    <n v="2100"/>
  </r>
  <r>
    <x v="3"/>
    <x v="5"/>
    <s v="Centro"/>
    <x v="3"/>
    <x v="3"/>
    <x v="0"/>
    <x v="69"/>
    <x v="57"/>
    <n v="432"/>
  </r>
  <r>
    <x v="3"/>
    <x v="5"/>
    <s v="Centro"/>
    <x v="0"/>
    <x v="3"/>
    <x v="1"/>
    <x v="70"/>
    <x v="57"/>
    <n v="46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F06DB-DFE9-4F6E-B585-29CE76571AC3}" name="Tabela Dinâmica2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F21" firstHeaderRow="1" firstDataRow="2" firstDataCol="1"/>
  <pivotFields count="5">
    <pivotField showAll="0">
      <items count="6">
        <item x="3"/>
        <item x="4"/>
        <item x="1"/>
        <item x="2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1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a de 1º Tri" fld="4" baseField="0" baseItem="0"/>
  </dataFields>
  <chartFormats count="12"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6C97A-1053-4734-8BA1-E5F663748937}" name="Tabela Dinâ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N4:P31" firstHeaderRow="0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</pivotFields>
  <rowFields count="3">
    <field x="4"/>
    <field x="3"/>
    <field x="1"/>
  </rowFields>
  <rowItems count="27">
    <i>
      <x/>
    </i>
    <i r="1">
      <x v="1"/>
    </i>
    <i r="2">
      <x/>
    </i>
    <i r="1">
      <x v="2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 v="2"/>
    </i>
    <i>
      <x v="2"/>
    </i>
    <i r="1">
      <x v="1"/>
    </i>
    <i r="2">
      <x v="1"/>
    </i>
    <i r="2">
      <x v="3"/>
    </i>
    <i r="2">
      <x v="4"/>
    </i>
    <i r="1">
      <x v="2"/>
    </i>
    <i r="2">
      <x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Unidades" fld="6" baseField="0" baseItem="0" numFmtId="43"/>
    <dataField name="Soma de Vendas" fld="5" baseField="0" baseItem="0" numFmtId="168"/>
  </dataFields>
  <formats count="2">
    <format dxfId="18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EFCF9-8EDE-44F7-BFB3-98E5690FED90}" name="Tabela Dinâmica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L2:AD29" firstHeaderRow="1" firstDataRow="3" firstDataCol="1"/>
  <pivotFields count="7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numFmtId="165" showAll="0"/>
  </pivotFields>
  <rowFields count="2">
    <field x="1"/>
    <field x="4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 v="3"/>
    </i>
    <i>
      <x v="2"/>
    </i>
    <i r="1">
      <x v="1"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3"/>
    </i>
    <i>
      <x v="5"/>
    </i>
    <i r="1">
      <x/>
    </i>
    <i r="1">
      <x v="3"/>
    </i>
    <i>
      <x v="6"/>
    </i>
    <i r="1">
      <x/>
    </i>
    <i r="1">
      <x v="2"/>
    </i>
    <i t="grand">
      <x/>
    </i>
  </rowItems>
  <colFields count="2">
    <field x="2"/>
    <field x="3"/>
  </colFields>
  <colItems count="18">
    <i>
      <x/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Soma de Valor" fld="6" baseField="0" baseItem="0" numFmtId="165"/>
  </dataFields>
  <chartFormats count="2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A7BF1-7E99-49FE-8B81-2048240C8311}" name="Tabela Dinâmica5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O2:R98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numFmtId="166" showAll="0">
      <items count="72">
        <item x="32"/>
        <item x="33"/>
        <item x="69"/>
        <item x="70"/>
        <item x="13"/>
        <item x="49"/>
        <item x="6"/>
        <item x="9"/>
        <item x="14"/>
        <item x="50"/>
        <item x="2"/>
        <item x="0"/>
        <item x="41"/>
        <item x="40"/>
        <item x="39"/>
        <item x="34"/>
        <item x="36"/>
        <item x="20"/>
        <item x="37"/>
        <item x="45"/>
        <item x="56"/>
        <item x="4"/>
        <item x="5"/>
        <item x="23"/>
        <item x="59"/>
        <item x="42"/>
        <item x="3"/>
        <item x="15"/>
        <item x="51"/>
        <item x="11"/>
        <item x="47"/>
        <item x="38"/>
        <item x="12"/>
        <item x="18"/>
        <item x="48"/>
        <item x="27"/>
        <item x="10"/>
        <item x="62"/>
        <item x="29"/>
        <item x="54"/>
        <item x="22"/>
        <item x="46"/>
        <item x="58"/>
        <item x="65"/>
        <item x="1"/>
        <item x="28"/>
        <item x="35"/>
        <item x="63"/>
        <item x="16"/>
        <item x="52"/>
        <item x="26"/>
        <item x="24"/>
        <item x="44"/>
        <item x="57"/>
        <item x="55"/>
        <item x="61"/>
        <item x="8"/>
        <item x="21"/>
        <item x="19"/>
        <item x="67"/>
        <item x="30"/>
        <item x="66"/>
        <item x="7"/>
        <item x="43"/>
        <item x="64"/>
        <item x="25"/>
        <item x="60"/>
        <item x="31"/>
        <item x="68"/>
        <item x="17"/>
        <item x="53"/>
        <item t="default"/>
      </items>
    </pivotField>
    <pivotField axis="axisRow" dataField="1" showAll="0">
      <items count="67">
        <item x="16"/>
        <item x="51"/>
        <item x="11"/>
        <item x="3"/>
        <item x="22"/>
        <item x="36"/>
        <item x="37"/>
        <item x="35"/>
        <item x="47"/>
        <item x="41"/>
        <item x="65"/>
        <item x="57"/>
        <item x="25"/>
        <item x="44"/>
        <item x="59"/>
        <item x="8"/>
        <item x="15"/>
        <item x="50"/>
        <item x="1"/>
        <item x="7"/>
        <item x="2"/>
        <item x="0"/>
        <item x="30"/>
        <item x="62"/>
        <item x="39"/>
        <item x="40"/>
        <item x="38"/>
        <item x="43"/>
        <item x="6"/>
        <item x="5"/>
        <item x="4"/>
        <item x="14"/>
        <item x="34"/>
        <item x="49"/>
        <item x="17"/>
        <item x="33"/>
        <item x="52"/>
        <item x="13"/>
        <item x="42"/>
        <item x="64"/>
        <item x="20"/>
        <item x="29"/>
        <item x="27"/>
        <item x="61"/>
        <item x="32"/>
        <item x="18"/>
        <item x="12"/>
        <item x="24"/>
        <item x="48"/>
        <item x="53"/>
        <item x="55"/>
        <item x="19"/>
        <item x="26"/>
        <item x="28"/>
        <item x="46"/>
        <item x="54"/>
        <item x="58"/>
        <item x="56"/>
        <item x="60"/>
        <item x="10"/>
        <item x="31"/>
        <item x="23"/>
        <item x="21"/>
        <item x="9"/>
        <item x="45"/>
        <item x="63"/>
        <item t="default"/>
      </items>
    </pivotField>
    <pivotField dataField="1" numFmtId="166" showAll="0"/>
  </pivotFields>
  <rowFields count="3">
    <field x="3"/>
    <field x="0"/>
    <field x="7"/>
  </rowFields>
  <rowItems count="96">
    <i>
      <x/>
    </i>
    <i r="1">
      <x/>
    </i>
    <i r="2">
      <x v="2"/>
    </i>
    <i r="2">
      <x v="3"/>
    </i>
    <i r="2">
      <x v="30"/>
    </i>
    <i r="2">
      <x v="37"/>
    </i>
    <i r="2">
      <x v="46"/>
    </i>
    <i r="1">
      <x v="1"/>
    </i>
    <i r="2">
      <x v="7"/>
    </i>
    <i r="2">
      <x v="22"/>
    </i>
    <i r="2">
      <x v="44"/>
    </i>
    <i r="2">
      <x v="60"/>
    </i>
    <i r="1">
      <x v="2"/>
    </i>
    <i r="2">
      <x v="8"/>
    </i>
    <i r="2">
      <x v="9"/>
    </i>
    <i r="2">
      <x v="38"/>
    </i>
    <i r="2">
      <x v="48"/>
    </i>
    <i r="1">
      <x v="3"/>
    </i>
    <i r="2">
      <x v="10"/>
    </i>
    <i r="2">
      <x v="23"/>
    </i>
    <i r="2">
      <x v="50"/>
    </i>
    <i r="2">
      <x v="65"/>
    </i>
    <i>
      <x v="1"/>
    </i>
    <i r="1">
      <x/>
    </i>
    <i r="2">
      <x v="28"/>
    </i>
    <i r="2">
      <x v="40"/>
    </i>
    <i r="2">
      <x v="51"/>
    </i>
    <i r="2">
      <x v="59"/>
    </i>
    <i r="2">
      <x v="62"/>
    </i>
    <i r="1">
      <x v="1"/>
    </i>
    <i r="2">
      <x v="5"/>
    </i>
    <i r="2">
      <x v="42"/>
    </i>
    <i r="2">
      <x v="53"/>
    </i>
    <i r="1">
      <x v="2"/>
    </i>
    <i r="2">
      <x v="26"/>
    </i>
    <i r="2">
      <x v="50"/>
    </i>
    <i r="2">
      <x v="54"/>
    </i>
    <i r="2">
      <x v="55"/>
    </i>
    <i r="2">
      <x v="57"/>
    </i>
    <i r="1">
      <x v="3"/>
    </i>
    <i r="2">
      <x v="11"/>
    </i>
    <i r="2">
      <x v="49"/>
    </i>
    <i r="2">
      <x v="57"/>
    </i>
    <i>
      <x v="2"/>
    </i>
    <i r="1">
      <x/>
    </i>
    <i r="2">
      <x/>
    </i>
    <i r="2">
      <x v="16"/>
    </i>
    <i r="2">
      <x v="19"/>
    </i>
    <i r="2">
      <x v="20"/>
    </i>
    <i r="2">
      <x v="29"/>
    </i>
    <i r="2">
      <x v="31"/>
    </i>
    <i r="1">
      <x v="1"/>
    </i>
    <i r="2">
      <x v="4"/>
    </i>
    <i r="2">
      <x v="35"/>
    </i>
    <i r="2">
      <x v="47"/>
    </i>
    <i r="2">
      <x v="61"/>
    </i>
    <i r="1">
      <x v="2"/>
    </i>
    <i r="2">
      <x v="1"/>
    </i>
    <i r="2">
      <x v="17"/>
    </i>
    <i r="2">
      <x v="24"/>
    </i>
    <i r="2">
      <x v="25"/>
    </i>
    <i r="2">
      <x v="27"/>
    </i>
    <i r="2">
      <x v="33"/>
    </i>
    <i r="1">
      <x v="3"/>
    </i>
    <i r="2">
      <x v="11"/>
    </i>
    <i r="2">
      <x v="36"/>
    </i>
    <i r="2">
      <x v="49"/>
    </i>
    <i r="2">
      <x v="56"/>
    </i>
    <i>
      <x v="3"/>
    </i>
    <i r="1">
      <x/>
    </i>
    <i r="2">
      <x v="15"/>
    </i>
    <i r="2">
      <x v="18"/>
    </i>
    <i r="2">
      <x v="21"/>
    </i>
    <i r="2">
      <x v="34"/>
    </i>
    <i r="2">
      <x v="45"/>
    </i>
    <i r="2">
      <x v="63"/>
    </i>
    <i r="1">
      <x v="1"/>
    </i>
    <i r="2">
      <x v="6"/>
    </i>
    <i r="2">
      <x v="12"/>
    </i>
    <i r="2">
      <x v="32"/>
    </i>
    <i r="2">
      <x v="41"/>
    </i>
    <i r="2">
      <x v="52"/>
    </i>
    <i r="1">
      <x v="2"/>
    </i>
    <i r="2">
      <x v="13"/>
    </i>
    <i r="2">
      <x v="24"/>
    </i>
    <i r="2">
      <x v="26"/>
    </i>
    <i r="2">
      <x v="36"/>
    </i>
    <i r="2">
      <x v="49"/>
    </i>
    <i r="2">
      <x v="64"/>
    </i>
    <i r="1">
      <x v="3"/>
    </i>
    <i r="2">
      <x v="11"/>
    </i>
    <i r="2">
      <x v="14"/>
    </i>
    <i r="2">
      <x v="39"/>
    </i>
    <i r="2">
      <x v="43"/>
    </i>
    <i r="2"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Unidades" fld="7" baseField="0" baseItem="0"/>
    <dataField name="Soma de Vendas (euros)" fld="6" baseField="0" baseItem="0" numFmtId="166"/>
    <dataField name="Soma de Lucro_Bruto" fld="8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9492DFC1-832F-4EFD-B4A6-D18DF01C535A}" sourceName="Cliente">
  <pivotTables>
    <pivotTable tabId="8" name="Tabela Dinâmica2"/>
  </pivotTables>
  <data>
    <tabular pivotCacheId="86463475">
      <items count="5">
        <i x="3" s="1"/>
        <i x="4" s="1"/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idade" xr10:uid="{156B79BA-F247-4C38-8658-9B70DF75020E}" sourceName="Localidade">
  <pivotTables>
    <pivotTable tabId="8" name="Tabela Dinâmica2"/>
  </pivotTables>
  <data>
    <tabular pivotCacheId="86463475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strito" xr10:uid="{81ADF634-C2ED-4C24-85F1-B98578B0EBA3}" sourceName="Distrito">
  <pivotTables>
    <pivotTable tabId="5" name="Tabela Dinâmica5"/>
  </pivotTables>
  <data>
    <tabular pivotCacheId="1789332735">
      <items count="4">
        <i x="2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BBCD0F51-3D3C-411B-95D1-BC62B5E34FEB}" sourceName="Vendedor">
  <pivotTables>
    <pivotTable tabId="5" name="Tabela Dinâmica5"/>
  </pivotTables>
  <data>
    <tabular pivotCacheId="1789332735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as__euros" xr10:uid="{8C9D2DEB-9898-4CB7-A148-CE433679D71D}" sourceName="Vendas (euros)">
  <pivotTables>
    <pivotTable tabId="5" name="Tabela Dinâmica5"/>
  </pivotTables>
  <data>
    <tabular pivotCacheId="1789332735">
      <items count="71">
        <i x="32" s="1"/>
        <i x="33" s="1"/>
        <i x="69" s="1"/>
        <i x="70" s="1"/>
        <i x="13" s="1"/>
        <i x="49" s="1"/>
        <i x="6" s="1"/>
        <i x="9" s="1"/>
        <i x="14" s="1"/>
        <i x="50" s="1"/>
        <i x="2" s="1"/>
        <i x="0" s="1"/>
        <i x="41" s="1"/>
        <i x="40" s="1"/>
        <i x="39" s="1"/>
        <i x="34" s="1"/>
        <i x="36" s="1"/>
        <i x="20" s="1"/>
        <i x="37" s="1"/>
        <i x="45" s="1"/>
        <i x="56" s="1"/>
        <i x="4" s="1"/>
        <i x="5" s="1"/>
        <i x="23" s="1"/>
        <i x="59" s="1"/>
        <i x="42" s="1"/>
        <i x="3" s="1"/>
        <i x="15" s="1"/>
        <i x="51" s="1"/>
        <i x="11" s="1"/>
        <i x="47" s="1"/>
        <i x="38" s="1"/>
        <i x="12" s="1"/>
        <i x="18" s="1"/>
        <i x="48" s="1"/>
        <i x="27" s="1"/>
        <i x="10" s="1"/>
        <i x="62" s="1"/>
        <i x="29" s="1"/>
        <i x="54" s="1"/>
        <i x="22" s="1"/>
        <i x="46" s="1"/>
        <i x="58" s="1"/>
        <i x="65" s="1"/>
        <i x="1" s="1"/>
        <i x="28" s="1"/>
        <i x="35" s="1"/>
        <i x="63" s="1"/>
        <i x="16" s="1"/>
        <i x="52" s="1"/>
        <i x="26" s="1"/>
        <i x="24" s="1"/>
        <i x="44" s="1"/>
        <i x="57" s="1"/>
        <i x="55" s="1"/>
        <i x="61" s="1"/>
        <i x="8" s="1"/>
        <i x="21" s="1"/>
        <i x="19" s="1"/>
        <i x="67" s="1"/>
        <i x="30" s="1"/>
        <i x="66" s="1"/>
        <i x="7" s="1"/>
        <i x="43" s="1"/>
        <i x="64" s="1"/>
        <i x="25" s="1"/>
        <i x="60" s="1"/>
        <i x="31" s="1"/>
        <i x="68" s="1"/>
        <i x="17" s="1"/>
        <i x="5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C37B1FD9-AE4A-4164-B456-1251F6E00E57}" sourceName="Cliente">
  <pivotTables>
    <pivotTable tabId="4" name="Tabela Dinâmica4"/>
  </pivotTables>
  <data>
    <tabular pivotCacheId="1193994002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9C9FD3F3-CB62-43BA-83BF-2CCE87C573CD}" sourceName="Vendedor">
  <pivotTables>
    <pivotTable tabId="4" name="Tabela Dinâmica4"/>
  </pivotTables>
  <data>
    <tabular pivotCacheId="1193994002">
      <items count="4">
        <i x="3" s="1"/>
        <i x="2" s="1"/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" xr10:uid="{24F129B1-443D-44B3-8B2A-42BC3304249F}" sourceName="País">
  <pivotTables>
    <pivotTable tabId="4" name="Tabela Dinâmica4"/>
  </pivotTables>
  <data>
    <tabular pivotCacheId="1193994002">
      <items count="4">
        <i x="3" s="1"/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3B5859EE-440F-4342-96AB-50481ADBEF4A}" cache="SegmentaçãoDeDados_Cliente" caption="Cliente" rowHeight="225425"/>
  <slicer name="Localidade" xr10:uid="{4C8C8C22-FB3F-4B43-9547-6C7CD54D55E9}" cache="SegmentaçãoDeDados_Localidade" caption="Localidad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1" xr10:uid="{37A13F66-5C60-4E54-AE15-CBCB37A598EC}" cache="SegmentaçãoDeDados_Cliente1" caption="Cliente" rowHeight="225425"/>
  <slicer name="Vendedor 1" xr10:uid="{31EC92D4-B43C-4D1E-B5DA-678BD0C60DF5}" cache="SegmentaçãoDeDados_Vendedor1" caption="Vendedor" rowHeight="225425"/>
  <slicer name="País" xr10:uid="{438A0E3F-B0DB-4480-80A0-AD8628241F5E}" cache="SegmentaçãoDeDados_País" caption="País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to" xr10:uid="{95A1CE57-4921-4360-9E9F-4EB584BCABEB}" cache="SegmentaçãoDeDados_Distrito" caption="Distrito" rowHeight="225425"/>
  <slicer name="Vendedor" xr10:uid="{524B607E-78C7-4A9C-99DE-BAEF4A68BDAA}" cache="SegmentaçãoDeDados_Vendedor" caption="Vendedor" rowHeight="225425"/>
  <slicer name="Vendas (euros)" xr10:uid="{FA2A3757-E1B9-4FA7-BBBD-36160267DF4D}" cache="SegmentaçãoDeDados_Vendas__euros" caption="Vendas (euros)" startItem="3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B8C9-AA9F-43FF-B8B8-4A8AFA0D071A}">
  <dimension ref="A3:F21"/>
  <sheetViews>
    <sheetView topLeftCell="A10" workbookViewId="0">
      <selection activeCell="C11" sqref="C11"/>
    </sheetView>
  </sheetViews>
  <sheetFormatPr defaultRowHeight="12.75" x14ac:dyDescent="0.2"/>
  <cols>
    <col min="1" max="1" width="18.7109375" bestFit="1" customWidth="1"/>
    <col min="2" max="2" width="20.140625" bestFit="1" customWidth="1"/>
    <col min="3" max="3" width="7.28515625" bestFit="1" customWidth="1"/>
    <col min="4" max="4" width="5" bestFit="1" customWidth="1"/>
    <col min="5" max="5" width="8.5703125" bestFit="1" customWidth="1"/>
    <col min="6" max="6" width="11.140625" bestFit="1" customWidth="1"/>
    <col min="7" max="8" width="5" bestFit="1" customWidth="1"/>
    <col min="9" max="9" width="12.42578125" bestFit="1" customWidth="1"/>
    <col min="10" max="10" width="5.5703125" bestFit="1" customWidth="1"/>
    <col min="11" max="11" width="4.28515625" bestFit="1" customWidth="1"/>
    <col min="12" max="12" width="5" bestFit="1" customWidth="1"/>
    <col min="13" max="13" width="4.140625" bestFit="1" customWidth="1"/>
    <col min="14" max="14" width="8.7109375" bestFit="1" customWidth="1"/>
    <col min="15" max="15" width="10.5703125" bestFit="1" customWidth="1"/>
    <col min="16" max="16" width="4.42578125" bestFit="1" customWidth="1"/>
    <col min="17" max="17" width="13.85546875" bestFit="1" customWidth="1"/>
    <col min="18" max="19" width="11.140625" bestFit="1" customWidth="1"/>
  </cols>
  <sheetData>
    <row r="3" spans="1:6" x14ac:dyDescent="0.2">
      <c r="A3" s="25" t="s">
        <v>86</v>
      </c>
      <c r="B3" s="25" t="s">
        <v>85</v>
      </c>
    </row>
    <row r="4" spans="1:6" x14ac:dyDescent="0.2">
      <c r="A4" s="25" t="s">
        <v>83</v>
      </c>
      <c r="B4" t="s">
        <v>11</v>
      </c>
      <c r="C4" t="s">
        <v>60</v>
      </c>
      <c r="D4" t="s">
        <v>8</v>
      </c>
      <c r="E4" t="s">
        <v>33</v>
      </c>
      <c r="F4" t="s">
        <v>84</v>
      </c>
    </row>
    <row r="5" spans="1:6" x14ac:dyDescent="0.2">
      <c r="A5" s="26" t="s">
        <v>13</v>
      </c>
      <c r="B5" s="27"/>
      <c r="C5" s="27">
        <v>5000</v>
      </c>
      <c r="D5" s="27">
        <v>3697</v>
      </c>
      <c r="E5" s="27"/>
      <c r="F5" s="27">
        <v>8697</v>
      </c>
    </row>
    <row r="6" spans="1:6" x14ac:dyDescent="0.2">
      <c r="A6" s="28" t="s">
        <v>34</v>
      </c>
      <c r="B6" s="27"/>
      <c r="C6" s="27"/>
      <c r="D6" s="27">
        <v>2068</v>
      </c>
      <c r="E6" s="27"/>
      <c r="F6" s="27">
        <v>2068</v>
      </c>
    </row>
    <row r="7" spans="1:6" x14ac:dyDescent="0.2">
      <c r="A7" s="28" t="s">
        <v>35</v>
      </c>
      <c r="B7" s="27"/>
      <c r="C7" s="27">
        <v>3150</v>
      </c>
      <c r="D7" s="27"/>
      <c r="E7" s="27"/>
      <c r="F7" s="27">
        <v>3150</v>
      </c>
    </row>
    <row r="8" spans="1:6" x14ac:dyDescent="0.2">
      <c r="A8" s="28" t="s">
        <v>36</v>
      </c>
      <c r="B8" s="27"/>
      <c r="C8" s="27">
        <v>1850</v>
      </c>
      <c r="D8" s="27">
        <v>1629</v>
      </c>
      <c r="E8" s="27"/>
      <c r="F8" s="27">
        <v>3479</v>
      </c>
    </row>
    <row r="9" spans="1:6" x14ac:dyDescent="0.2">
      <c r="A9" s="26" t="s">
        <v>15</v>
      </c>
      <c r="B9" s="27">
        <v>140</v>
      </c>
      <c r="C9" s="27"/>
      <c r="D9" s="27">
        <v>1140</v>
      </c>
      <c r="E9" s="27">
        <v>230</v>
      </c>
      <c r="F9" s="27">
        <v>1510</v>
      </c>
    </row>
    <row r="10" spans="1:6" x14ac:dyDescent="0.2">
      <c r="A10" s="28" t="s">
        <v>34</v>
      </c>
      <c r="B10" s="27">
        <v>140</v>
      </c>
      <c r="C10" s="27"/>
      <c r="D10" s="27"/>
      <c r="E10" s="27">
        <v>230</v>
      </c>
      <c r="F10" s="27">
        <v>370</v>
      </c>
    </row>
    <row r="11" spans="1:6" x14ac:dyDescent="0.2">
      <c r="A11" s="28" t="s">
        <v>35</v>
      </c>
      <c r="B11" s="27"/>
      <c r="C11" s="27"/>
      <c r="D11" s="27">
        <v>560</v>
      </c>
      <c r="E11" s="27"/>
      <c r="F11" s="27">
        <v>560</v>
      </c>
    </row>
    <row r="12" spans="1:6" x14ac:dyDescent="0.2">
      <c r="A12" s="28" t="s">
        <v>37</v>
      </c>
      <c r="B12" s="27"/>
      <c r="C12" s="27"/>
      <c r="D12" s="27">
        <v>580</v>
      </c>
      <c r="E12" s="27"/>
      <c r="F12" s="27">
        <v>580</v>
      </c>
    </row>
    <row r="13" spans="1:6" x14ac:dyDescent="0.2">
      <c r="A13" s="26" t="s">
        <v>7</v>
      </c>
      <c r="B13" s="27">
        <v>2395</v>
      </c>
      <c r="C13" s="27">
        <v>2950</v>
      </c>
      <c r="D13" s="27"/>
      <c r="E13" s="27">
        <v>175</v>
      </c>
      <c r="F13" s="27">
        <v>5520</v>
      </c>
    </row>
    <row r="14" spans="1:6" x14ac:dyDescent="0.2">
      <c r="A14" s="28" t="s">
        <v>34</v>
      </c>
      <c r="B14" s="27"/>
      <c r="C14" s="27">
        <v>1200</v>
      </c>
      <c r="D14" s="27"/>
      <c r="E14" s="27"/>
      <c r="F14" s="27">
        <v>1200</v>
      </c>
    </row>
    <row r="15" spans="1:6" x14ac:dyDescent="0.2">
      <c r="A15" s="28" t="s">
        <v>35</v>
      </c>
      <c r="B15" s="27">
        <v>2210</v>
      </c>
      <c r="C15" s="27"/>
      <c r="D15" s="27"/>
      <c r="E15" s="27"/>
      <c r="F15" s="27">
        <v>2210</v>
      </c>
    </row>
    <row r="16" spans="1:6" x14ac:dyDescent="0.2">
      <c r="A16" s="28" t="s">
        <v>36</v>
      </c>
      <c r="B16" s="27">
        <v>185</v>
      </c>
      <c r="C16" s="27">
        <v>1750</v>
      </c>
      <c r="D16" s="27"/>
      <c r="E16" s="27">
        <v>175</v>
      </c>
      <c r="F16" s="27">
        <v>2110</v>
      </c>
    </row>
    <row r="17" spans="1:6" x14ac:dyDescent="0.2">
      <c r="A17" s="26" t="s">
        <v>10</v>
      </c>
      <c r="B17" s="27">
        <v>3800</v>
      </c>
      <c r="C17" s="27">
        <v>2100</v>
      </c>
      <c r="D17" s="27"/>
      <c r="E17" s="27">
        <v>210</v>
      </c>
      <c r="F17" s="27">
        <v>6110</v>
      </c>
    </row>
    <row r="18" spans="1:6" x14ac:dyDescent="0.2">
      <c r="A18" s="28" t="s">
        <v>34</v>
      </c>
      <c r="B18" s="27">
        <v>1450</v>
      </c>
      <c r="C18" s="27"/>
      <c r="D18" s="27"/>
      <c r="E18" s="27"/>
      <c r="F18" s="27">
        <v>1450</v>
      </c>
    </row>
    <row r="19" spans="1:6" x14ac:dyDescent="0.2">
      <c r="A19" s="28" t="s">
        <v>35</v>
      </c>
      <c r="B19" s="27">
        <v>2350</v>
      </c>
      <c r="C19" s="27">
        <v>2100</v>
      </c>
      <c r="D19" s="27"/>
      <c r="E19" s="27"/>
      <c r="F19" s="27">
        <v>4450</v>
      </c>
    </row>
    <row r="20" spans="1:6" x14ac:dyDescent="0.2">
      <c r="A20" s="28" t="s">
        <v>36</v>
      </c>
      <c r="B20" s="27"/>
      <c r="C20" s="27"/>
      <c r="D20" s="27"/>
      <c r="E20" s="27">
        <v>210</v>
      </c>
      <c r="F20" s="27">
        <v>210</v>
      </c>
    </row>
    <row r="21" spans="1:6" x14ac:dyDescent="0.2">
      <c r="A21" s="26" t="s">
        <v>84</v>
      </c>
      <c r="B21" s="27">
        <v>6335</v>
      </c>
      <c r="C21" s="27">
        <v>10050</v>
      </c>
      <c r="D21" s="27">
        <v>4837</v>
      </c>
      <c r="E21" s="27">
        <v>615</v>
      </c>
      <c r="F21" s="27">
        <v>21837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opLeftCell="A4" zoomScale="85" zoomScaleNormal="85" workbookViewId="0">
      <selection activeCell="C5" sqref="C5"/>
    </sheetView>
  </sheetViews>
  <sheetFormatPr defaultColWidth="9.140625" defaultRowHeight="18.75" x14ac:dyDescent="0.3"/>
  <cols>
    <col min="1" max="1" width="12" style="16" bestFit="1" customWidth="1"/>
    <col min="2" max="2" width="14.42578125" style="16" customWidth="1"/>
    <col min="3" max="3" width="18.140625" style="16" customWidth="1"/>
    <col min="4" max="4" width="13.42578125" style="16" customWidth="1"/>
    <col min="5" max="5" width="16.140625" style="16" customWidth="1"/>
    <col min="6" max="6" width="12" style="16" customWidth="1"/>
    <col min="7" max="7" width="10" style="16" customWidth="1"/>
    <col min="8" max="8" width="12.140625" style="16" bestFit="1" customWidth="1"/>
    <col min="9" max="9" width="10" style="16" bestFit="1" customWidth="1"/>
    <col min="10" max="16384" width="9.140625" style="16"/>
  </cols>
  <sheetData>
    <row r="1" spans="1:7" x14ac:dyDescent="0.3">
      <c r="A1" s="15" t="s">
        <v>0</v>
      </c>
      <c r="B1" s="15"/>
      <c r="C1" s="15"/>
      <c r="D1" s="15"/>
      <c r="E1" s="15"/>
    </row>
    <row r="3" spans="1:7" x14ac:dyDescent="0.3">
      <c r="E3" s="17"/>
      <c r="G3" s="16" t="s">
        <v>1</v>
      </c>
    </row>
    <row r="4" spans="1:7" ht="19.5" thickBot="1" x14ac:dyDescent="0.35">
      <c r="A4" s="18" t="s">
        <v>2</v>
      </c>
      <c r="B4" s="18" t="s">
        <v>3</v>
      </c>
      <c r="C4" s="18" t="s">
        <v>4</v>
      </c>
      <c r="D4" s="18" t="s">
        <v>19</v>
      </c>
      <c r="E4" s="19" t="s">
        <v>5</v>
      </c>
    </row>
    <row r="5" spans="1:7" ht="19.5" thickTop="1" x14ac:dyDescent="0.3">
      <c r="A5" s="16" t="s">
        <v>59</v>
      </c>
      <c r="B5" s="16" t="s">
        <v>7</v>
      </c>
      <c r="C5" s="20" t="s">
        <v>60</v>
      </c>
      <c r="D5" s="20" t="s">
        <v>34</v>
      </c>
      <c r="E5" s="21">
        <v>1200</v>
      </c>
      <c r="G5" s="16" t="s">
        <v>54</v>
      </c>
    </row>
    <row r="6" spans="1:7" x14ac:dyDescent="0.3">
      <c r="A6" s="16" t="s">
        <v>59</v>
      </c>
      <c r="B6" s="16" t="s">
        <v>10</v>
      </c>
      <c r="C6" s="20" t="s">
        <v>11</v>
      </c>
      <c r="D6" s="20" t="s">
        <v>34</v>
      </c>
      <c r="E6" s="21">
        <v>1450</v>
      </c>
    </row>
    <row r="7" spans="1:7" x14ac:dyDescent="0.3">
      <c r="A7" s="16" t="s">
        <v>59</v>
      </c>
      <c r="B7" s="16" t="s">
        <v>13</v>
      </c>
      <c r="C7" s="20" t="s">
        <v>8</v>
      </c>
      <c r="D7" s="20" t="s">
        <v>34</v>
      </c>
      <c r="E7" s="21">
        <v>1700</v>
      </c>
    </row>
    <row r="8" spans="1:7" x14ac:dyDescent="0.3">
      <c r="A8" s="16" t="s">
        <v>59</v>
      </c>
      <c r="B8" s="16" t="s">
        <v>10</v>
      </c>
      <c r="C8" s="20" t="s">
        <v>11</v>
      </c>
      <c r="D8" s="20" t="s">
        <v>35</v>
      </c>
      <c r="E8" s="21">
        <v>1950</v>
      </c>
    </row>
    <row r="9" spans="1:7" x14ac:dyDescent="0.3">
      <c r="A9" s="16" t="s">
        <v>14</v>
      </c>
      <c r="B9" s="16" t="s">
        <v>13</v>
      </c>
      <c r="C9" s="20" t="s">
        <v>60</v>
      </c>
      <c r="D9" s="20" t="s">
        <v>35</v>
      </c>
      <c r="E9" s="21">
        <v>1500</v>
      </c>
    </row>
    <row r="10" spans="1:7" x14ac:dyDescent="0.3">
      <c r="A10" s="16" t="s">
        <v>14</v>
      </c>
      <c r="B10" s="16" t="s">
        <v>15</v>
      </c>
      <c r="C10" s="20" t="s">
        <v>8</v>
      </c>
      <c r="D10" s="20" t="s">
        <v>35</v>
      </c>
      <c r="E10" s="21">
        <v>560</v>
      </c>
    </row>
    <row r="11" spans="1:7" x14ac:dyDescent="0.3">
      <c r="A11" s="16" t="s">
        <v>14</v>
      </c>
      <c r="B11" s="16" t="s">
        <v>7</v>
      </c>
      <c r="C11" s="20" t="s">
        <v>11</v>
      </c>
      <c r="D11" s="20" t="s">
        <v>36</v>
      </c>
      <c r="E11" s="21">
        <v>185</v>
      </c>
    </row>
    <row r="12" spans="1:7" x14ac:dyDescent="0.3">
      <c r="A12" s="16" t="s">
        <v>9</v>
      </c>
      <c r="B12" s="16" t="s">
        <v>10</v>
      </c>
      <c r="C12" s="20" t="s">
        <v>33</v>
      </c>
      <c r="D12" s="20" t="s">
        <v>36</v>
      </c>
      <c r="E12" s="21">
        <v>210</v>
      </c>
    </row>
    <row r="13" spans="1:7" x14ac:dyDescent="0.3">
      <c r="A13" s="16" t="s">
        <v>6</v>
      </c>
      <c r="B13" s="16" t="s">
        <v>7</v>
      </c>
      <c r="C13" s="20" t="s">
        <v>60</v>
      </c>
      <c r="D13" s="20" t="s">
        <v>36</v>
      </c>
      <c r="E13" s="21">
        <v>1750</v>
      </c>
    </row>
    <row r="14" spans="1:7" x14ac:dyDescent="0.3">
      <c r="A14" s="16" t="s">
        <v>14</v>
      </c>
      <c r="B14" s="16" t="s">
        <v>13</v>
      </c>
      <c r="C14" s="20" t="s">
        <v>8</v>
      </c>
      <c r="D14" s="20" t="s">
        <v>36</v>
      </c>
      <c r="E14" s="21">
        <v>610</v>
      </c>
    </row>
    <row r="15" spans="1:7" x14ac:dyDescent="0.3">
      <c r="A15" s="16" t="s">
        <v>6</v>
      </c>
      <c r="B15" s="16" t="s">
        <v>15</v>
      </c>
      <c r="C15" s="20" t="s">
        <v>8</v>
      </c>
      <c r="D15" s="20" t="s">
        <v>37</v>
      </c>
      <c r="E15" s="21">
        <v>580</v>
      </c>
    </row>
    <row r="16" spans="1:7" x14ac:dyDescent="0.3">
      <c r="A16" s="16" t="s">
        <v>59</v>
      </c>
      <c r="B16" s="16" t="s">
        <v>7</v>
      </c>
      <c r="C16" s="20" t="s">
        <v>11</v>
      </c>
      <c r="D16" s="20" t="s">
        <v>35</v>
      </c>
      <c r="E16" s="21">
        <v>2210</v>
      </c>
    </row>
    <row r="17" spans="1:5" x14ac:dyDescent="0.3">
      <c r="A17" s="16" t="s">
        <v>12</v>
      </c>
      <c r="B17" s="16" t="s">
        <v>13</v>
      </c>
      <c r="C17" s="20" t="s">
        <v>8</v>
      </c>
      <c r="D17" s="20" t="s">
        <v>36</v>
      </c>
      <c r="E17" s="21">
        <v>360</v>
      </c>
    </row>
    <row r="18" spans="1:5" x14ac:dyDescent="0.3">
      <c r="A18" s="16" t="s">
        <v>9</v>
      </c>
      <c r="B18" s="16" t="s">
        <v>15</v>
      </c>
      <c r="C18" s="20" t="s">
        <v>11</v>
      </c>
      <c r="D18" s="20" t="s">
        <v>34</v>
      </c>
      <c r="E18" s="21">
        <v>140</v>
      </c>
    </row>
    <row r="19" spans="1:5" x14ac:dyDescent="0.3">
      <c r="A19" s="16" t="s">
        <v>12</v>
      </c>
      <c r="B19" s="16" t="s">
        <v>13</v>
      </c>
      <c r="C19" s="20" t="s">
        <v>8</v>
      </c>
      <c r="D19" s="20" t="s">
        <v>36</v>
      </c>
      <c r="E19" s="21">
        <v>375</v>
      </c>
    </row>
    <row r="20" spans="1:5" x14ac:dyDescent="0.3">
      <c r="A20" s="16" t="s">
        <v>9</v>
      </c>
      <c r="B20" s="16" t="s">
        <v>10</v>
      </c>
      <c r="C20" s="20" t="s">
        <v>11</v>
      </c>
      <c r="D20" s="20" t="s">
        <v>35</v>
      </c>
      <c r="E20" s="21">
        <v>150</v>
      </c>
    </row>
    <row r="21" spans="1:5" x14ac:dyDescent="0.3">
      <c r="A21" s="16" t="s">
        <v>6</v>
      </c>
      <c r="B21" s="16" t="s">
        <v>7</v>
      </c>
      <c r="C21" s="20" t="s">
        <v>33</v>
      </c>
      <c r="D21" s="20" t="s">
        <v>36</v>
      </c>
      <c r="E21" s="21">
        <v>175</v>
      </c>
    </row>
    <row r="22" spans="1:5" x14ac:dyDescent="0.3">
      <c r="A22" s="16" t="s">
        <v>14</v>
      </c>
      <c r="B22" s="16" t="s">
        <v>13</v>
      </c>
      <c r="C22" s="20" t="s">
        <v>8</v>
      </c>
      <c r="D22" s="20" t="s">
        <v>36</v>
      </c>
      <c r="E22" s="21">
        <v>284</v>
      </c>
    </row>
    <row r="23" spans="1:5" x14ac:dyDescent="0.3">
      <c r="A23" s="16" t="s">
        <v>9</v>
      </c>
      <c r="B23" s="16" t="s">
        <v>15</v>
      </c>
      <c r="C23" s="20" t="s">
        <v>33</v>
      </c>
      <c r="D23" s="20" t="s">
        <v>34</v>
      </c>
      <c r="E23" s="21">
        <v>230</v>
      </c>
    </row>
    <row r="24" spans="1:5" x14ac:dyDescent="0.3">
      <c r="A24" s="16" t="s">
        <v>12</v>
      </c>
      <c r="B24" s="16" t="s">
        <v>13</v>
      </c>
      <c r="C24" s="20" t="s">
        <v>8</v>
      </c>
      <c r="D24" s="20" t="s">
        <v>34</v>
      </c>
      <c r="E24" s="21">
        <v>368</v>
      </c>
    </row>
    <row r="25" spans="1:5" x14ac:dyDescent="0.3">
      <c r="A25" s="16" t="s">
        <v>59</v>
      </c>
      <c r="B25" s="16" t="s">
        <v>10</v>
      </c>
      <c r="C25" s="20" t="s">
        <v>60</v>
      </c>
      <c r="D25" s="20" t="s">
        <v>35</v>
      </c>
      <c r="E25" s="21">
        <v>2100</v>
      </c>
    </row>
    <row r="26" spans="1:5" x14ac:dyDescent="0.3">
      <c r="A26" s="16" t="s">
        <v>14</v>
      </c>
      <c r="B26" s="16" t="s">
        <v>13</v>
      </c>
      <c r="C26" s="20" t="s">
        <v>60</v>
      </c>
      <c r="D26" s="20" t="s">
        <v>36</v>
      </c>
      <c r="E26" s="21">
        <v>1850</v>
      </c>
    </row>
    <row r="27" spans="1:5" x14ac:dyDescent="0.3">
      <c r="A27" s="16" t="s">
        <v>9</v>
      </c>
      <c r="B27" s="16" t="s">
        <v>10</v>
      </c>
      <c r="C27" s="20" t="s">
        <v>11</v>
      </c>
      <c r="D27" s="20" t="s">
        <v>35</v>
      </c>
      <c r="E27" s="21">
        <v>250</v>
      </c>
    </row>
    <row r="28" spans="1:5" x14ac:dyDescent="0.3">
      <c r="A28" s="16" t="s">
        <v>6</v>
      </c>
      <c r="B28" s="16" t="s">
        <v>13</v>
      </c>
      <c r="C28" s="20" t="s">
        <v>60</v>
      </c>
      <c r="D28" s="20" t="s">
        <v>35</v>
      </c>
      <c r="E28" s="21">
        <v>1650</v>
      </c>
    </row>
  </sheetData>
  <phoneticPr fontId="4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1"/>
  <sheetViews>
    <sheetView topLeftCell="E4" workbookViewId="0">
      <selection activeCell="R17" sqref="R17"/>
    </sheetView>
  </sheetViews>
  <sheetFormatPr defaultRowHeight="12.75" x14ac:dyDescent="0.2"/>
  <cols>
    <col min="1" max="1" width="3.85546875" customWidth="1"/>
    <col min="2" max="2" width="4.7109375" customWidth="1"/>
    <col min="3" max="3" width="10.7109375" customWidth="1"/>
    <col min="7" max="7" width="14.28515625" bestFit="1" customWidth="1"/>
    <col min="14" max="14" width="18.7109375" bestFit="1" customWidth="1"/>
    <col min="15" max="15" width="18.42578125" bestFit="1" customWidth="1"/>
    <col min="16" max="17" width="16.5703125" bestFit="1" customWidth="1"/>
    <col min="18" max="18" width="18.42578125" bestFit="1" customWidth="1"/>
    <col min="19" max="19" width="16.5703125" bestFit="1" customWidth="1"/>
    <col min="20" max="20" width="18.42578125" bestFit="1" customWidth="1"/>
    <col min="21" max="21" width="22" bestFit="1" customWidth="1"/>
    <col min="22" max="22" width="23.7109375" bestFit="1" customWidth="1"/>
  </cols>
  <sheetData>
    <row r="1" spans="2:16" x14ac:dyDescent="0.2">
      <c r="B1" s="11" t="s">
        <v>54</v>
      </c>
    </row>
    <row r="4" spans="2:16" ht="15" x14ac:dyDescent="0.25">
      <c r="C4" s="12" t="s">
        <v>39</v>
      </c>
      <c r="D4" s="12" t="s">
        <v>19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N4" s="25" t="s">
        <v>83</v>
      </c>
      <c r="O4" t="s">
        <v>88</v>
      </c>
      <c r="P4" t="s">
        <v>87</v>
      </c>
    </row>
    <row r="5" spans="2:16" ht="15" x14ac:dyDescent="0.25">
      <c r="C5" s="12" t="s">
        <v>45</v>
      </c>
      <c r="D5" s="12" t="s">
        <v>34</v>
      </c>
      <c r="E5" s="12" t="s">
        <v>46</v>
      </c>
      <c r="F5" s="12" t="s">
        <v>47</v>
      </c>
      <c r="G5" s="12" t="s">
        <v>48</v>
      </c>
      <c r="H5" s="12">
        <v>876</v>
      </c>
      <c r="I5" s="12">
        <v>1460</v>
      </c>
      <c r="N5" s="26" t="s">
        <v>49</v>
      </c>
      <c r="O5" s="31">
        <v>18950</v>
      </c>
      <c r="P5" s="29">
        <v>14490</v>
      </c>
    </row>
    <row r="6" spans="2:16" ht="15" x14ac:dyDescent="0.25">
      <c r="C6" s="12" t="s">
        <v>45</v>
      </c>
      <c r="D6" s="12" t="s">
        <v>34</v>
      </c>
      <c r="E6" s="12" t="s">
        <v>46</v>
      </c>
      <c r="F6" s="12" t="s">
        <v>47</v>
      </c>
      <c r="G6" s="12" t="s">
        <v>49</v>
      </c>
      <c r="H6" s="12">
        <v>834</v>
      </c>
      <c r="I6" s="12">
        <v>1390</v>
      </c>
      <c r="N6" s="28" t="s">
        <v>10</v>
      </c>
      <c r="O6" s="31">
        <v>2900</v>
      </c>
      <c r="P6" s="29">
        <v>1740</v>
      </c>
    </row>
    <row r="7" spans="2:16" ht="15" x14ac:dyDescent="0.25">
      <c r="C7" s="12" t="s">
        <v>45</v>
      </c>
      <c r="D7" s="12" t="s">
        <v>34</v>
      </c>
      <c r="E7" s="12" t="s">
        <v>50</v>
      </c>
      <c r="F7" s="12" t="s">
        <v>51</v>
      </c>
      <c r="G7" s="12" t="s">
        <v>52</v>
      </c>
      <c r="H7" s="12">
        <v>2562</v>
      </c>
      <c r="I7" s="12">
        <v>4270</v>
      </c>
      <c r="N7" s="30" t="s">
        <v>34</v>
      </c>
      <c r="O7" s="31">
        <v>2900</v>
      </c>
      <c r="P7" s="29">
        <v>1740</v>
      </c>
    </row>
    <row r="8" spans="2:16" ht="15" x14ac:dyDescent="0.25">
      <c r="C8" s="12" t="s">
        <v>45</v>
      </c>
      <c r="D8" s="12" t="s">
        <v>34</v>
      </c>
      <c r="E8" s="12" t="s">
        <v>50</v>
      </c>
      <c r="F8" s="12" t="s">
        <v>10</v>
      </c>
      <c r="G8" s="12" t="s">
        <v>49</v>
      </c>
      <c r="H8" s="12">
        <v>1740</v>
      </c>
      <c r="I8" s="12">
        <v>2900</v>
      </c>
      <c r="N8" s="28" t="s">
        <v>47</v>
      </c>
      <c r="O8" s="31">
        <v>16050</v>
      </c>
      <c r="P8" s="29">
        <v>12750</v>
      </c>
    </row>
    <row r="9" spans="2:16" ht="15" x14ac:dyDescent="0.25">
      <c r="C9" s="12" t="s">
        <v>45</v>
      </c>
      <c r="D9" s="12" t="s">
        <v>35</v>
      </c>
      <c r="E9" s="12" t="s">
        <v>46</v>
      </c>
      <c r="F9" s="12" t="s">
        <v>47</v>
      </c>
      <c r="G9" s="12" t="s">
        <v>49</v>
      </c>
      <c r="H9" s="12">
        <v>2325</v>
      </c>
      <c r="I9" s="12">
        <v>3875</v>
      </c>
      <c r="N9" s="30" t="s">
        <v>34</v>
      </c>
      <c r="O9" s="31">
        <v>1390</v>
      </c>
      <c r="P9" s="29">
        <v>834</v>
      </c>
    </row>
    <row r="10" spans="2:16" ht="15" x14ac:dyDescent="0.25">
      <c r="C10" s="12" t="s">
        <v>45</v>
      </c>
      <c r="D10" s="12" t="s">
        <v>35</v>
      </c>
      <c r="E10" s="12" t="s">
        <v>50</v>
      </c>
      <c r="F10" s="12" t="s">
        <v>51</v>
      </c>
      <c r="G10" s="12" t="s">
        <v>52</v>
      </c>
      <c r="H10" s="12">
        <v>1242</v>
      </c>
      <c r="I10" s="12">
        <v>2070</v>
      </c>
      <c r="N10" s="30" t="s">
        <v>35</v>
      </c>
      <c r="O10" s="31">
        <v>3875</v>
      </c>
      <c r="P10" s="29">
        <v>2325</v>
      </c>
    </row>
    <row r="11" spans="2:16" ht="15" x14ac:dyDescent="0.25">
      <c r="C11" s="12" t="s">
        <v>45</v>
      </c>
      <c r="D11" s="12" t="s">
        <v>35</v>
      </c>
      <c r="E11" s="12" t="s">
        <v>50</v>
      </c>
      <c r="F11" s="12" t="s">
        <v>10</v>
      </c>
      <c r="G11" s="12" t="s">
        <v>48</v>
      </c>
      <c r="H11" s="12">
        <v>2346</v>
      </c>
      <c r="I11" s="12">
        <v>3910</v>
      </c>
      <c r="N11" s="30" t="s">
        <v>36</v>
      </c>
      <c r="O11" s="31">
        <v>2185</v>
      </c>
      <c r="P11" s="29">
        <v>1311</v>
      </c>
    </row>
    <row r="12" spans="2:16" ht="15" x14ac:dyDescent="0.25">
      <c r="C12" s="12" t="s">
        <v>45</v>
      </c>
      <c r="D12" s="12" t="s">
        <v>36</v>
      </c>
      <c r="E12" s="12" t="s">
        <v>46</v>
      </c>
      <c r="F12" s="12" t="s">
        <v>47</v>
      </c>
      <c r="G12" s="12" t="s">
        <v>49</v>
      </c>
      <c r="H12" s="12">
        <v>1311</v>
      </c>
      <c r="I12" s="12">
        <v>2185</v>
      </c>
      <c r="N12" s="30" t="s">
        <v>37</v>
      </c>
      <c r="O12" s="31">
        <v>3900</v>
      </c>
      <c r="P12" s="29">
        <v>2340</v>
      </c>
    </row>
    <row r="13" spans="2:16" ht="15" x14ac:dyDescent="0.25">
      <c r="C13" s="12" t="s">
        <v>45</v>
      </c>
      <c r="D13" s="12" t="s">
        <v>36</v>
      </c>
      <c r="E13" s="12" t="s">
        <v>46</v>
      </c>
      <c r="F13" s="12" t="s">
        <v>47</v>
      </c>
      <c r="G13" s="12" t="s">
        <v>48</v>
      </c>
      <c r="H13" s="12">
        <v>2670</v>
      </c>
      <c r="I13" s="12">
        <v>4450</v>
      </c>
      <c r="N13" s="30" t="s">
        <v>38</v>
      </c>
      <c r="O13" s="31">
        <v>4700</v>
      </c>
      <c r="P13" s="29">
        <v>5940</v>
      </c>
    </row>
    <row r="14" spans="2:16" ht="15" x14ac:dyDescent="0.25">
      <c r="C14" s="12" t="s">
        <v>45</v>
      </c>
      <c r="D14" s="12" t="s">
        <v>36</v>
      </c>
      <c r="E14" s="12" t="s">
        <v>50</v>
      </c>
      <c r="F14" s="12" t="s">
        <v>10</v>
      </c>
      <c r="G14" s="12" t="s">
        <v>52</v>
      </c>
      <c r="H14" s="12">
        <v>3474</v>
      </c>
      <c r="I14" s="12">
        <v>5790</v>
      </c>
      <c r="N14" s="26" t="s">
        <v>52</v>
      </c>
      <c r="O14" s="31">
        <v>18710</v>
      </c>
      <c r="P14" s="29">
        <v>11226</v>
      </c>
    </row>
    <row r="15" spans="2:16" ht="15" x14ac:dyDescent="0.25">
      <c r="C15" s="12" t="s">
        <v>45</v>
      </c>
      <c r="D15" s="12" t="s">
        <v>36</v>
      </c>
      <c r="E15" s="12" t="s">
        <v>50</v>
      </c>
      <c r="F15" s="12" t="s">
        <v>51</v>
      </c>
      <c r="G15" s="12" t="s">
        <v>52</v>
      </c>
      <c r="H15" s="12">
        <v>2310</v>
      </c>
      <c r="I15" s="12">
        <v>3850</v>
      </c>
      <c r="N15" s="28" t="s">
        <v>51</v>
      </c>
      <c r="O15" s="31">
        <v>12920</v>
      </c>
      <c r="P15" s="29">
        <v>7752</v>
      </c>
    </row>
    <row r="16" spans="2:16" ht="15" x14ac:dyDescent="0.25">
      <c r="C16" s="12" t="s">
        <v>53</v>
      </c>
      <c r="D16" s="12" t="s">
        <v>37</v>
      </c>
      <c r="E16" s="12" t="s">
        <v>46</v>
      </c>
      <c r="F16" s="12" t="s">
        <v>47</v>
      </c>
      <c r="G16" s="12" t="s">
        <v>49</v>
      </c>
      <c r="H16" s="12">
        <v>2340</v>
      </c>
      <c r="I16" s="12">
        <v>3900</v>
      </c>
      <c r="N16" s="30" t="s">
        <v>34</v>
      </c>
      <c r="O16" s="31">
        <v>4270</v>
      </c>
      <c r="P16" s="29">
        <v>2562</v>
      </c>
    </row>
    <row r="17" spans="3:16" ht="15" x14ac:dyDescent="0.25">
      <c r="C17" s="12" t="s">
        <v>53</v>
      </c>
      <c r="D17" s="12" t="s">
        <v>37</v>
      </c>
      <c r="E17" s="12" t="s">
        <v>50</v>
      </c>
      <c r="F17" s="12" t="s">
        <v>51</v>
      </c>
      <c r="G17" s="12" t="s">
        <v>52</v>
      </c>
      <c r="H17" s="12">
        <v>876</v>
      </c>
      <c r="I17" s="12">
        <v>1460</v>
      </c>
      <c r="N17" s="30" t="s">
        <v>35</v>
      </c>
      <c r="O17" s="31">
        <v>2070</v>
      </c>
      <c r="P17" s="29">
        <v>1242</v>
      </c>
    </row>
    <row r="18" spans="3:16" ht="15" x14ac:dyDescent="0.25">
      <c r="C18" s="12" t="s">
        <v>53</v>
      </c>
      <c r="D18" s="12" t="s">
        <v>37</v>
      </c>
      <c r="E18" s="12" t="s">
        <v>50</v>
      </c>
      <c r="F18" s="12" t="s">
        <v>10</v>
      </c>
      <c r="G18" s="12" t="s">
        <v>48</v>
      </c>
      <c r="H18" s="12">
        <v>3420</v>
      </c>
      <c r="I18" s="12">
        <v>5700</v>
      </c>
      <c r="N18" s="30" t="s">
        <v>36</v>
      </c>
      <c r="O18" s="31">
        <v>3850</v>
      </c>
      <c r="P18" s="29">
        <v>2310</v>
      </c>
    </row>
    <row r="19" spans="3:16" ht="15" x14ac:dyDescent="0.25">
      <c r="C19" s="12" t="s">
        <v>53</v>
      </c>
      <c r="D19" s="12" t="s">
        <v>38</v>
      </c>
      <c r="E19" s="12" t="s">
        <v>46</v>
      </c>
      <c r="F19" s="12" t="s">
        <v>47</v>
      </c>
      <c r="G19" s="12" t="s">
        <v>49</v>
      </c>
      <c r="H19" s="12">
        <v>2340</v>
      </c>
      <c r="I19" s="12">
        <v>3900</v>
      </c>
      <c r="N19" s="30" t="s">
        <v>37</v>
      </c>
      <c r="O19" s="31">
        <v>1460</v>
      </c>
      <c r="P19" s="29">
        <v>876</v>
      </c>
    </row>
    <row r="20" spans="3:16" ht="15" x14ac:dyDescent="0.25">
      <c r="C20" s="12" t="s">
        <v>53</v>
      </c>
      <c r="D20" s="12" t="s">
        <v>38</v>
      </c>
      <c r="E20" s="12" t="s">
        <v>50</v>
      </c>
      <c r="F20" s="12" t="s">
        <v>51</v>
      </c>
      <c r="G20" s="12" t="s">
        <v>52</v>
      </c>
      <c r="H20" s="12">
        <v>762</v>
      </c>
      <c r="I20" s="12">
        <v>1270</v>
      </c>
      <c r="N20" s="30" t="s">
        <v>38</v>
      </c>
      <c r="O20" s="31">
        <v>1270</v>
      </c>
      <c r="P20" s="29">
        <v>762</v>
      </c>
    </row>
    <row r="21" spans="3:16" ht="15" x14ac:dyDescent="0.25">
      <c r="C21" s="12" t="s">
        <v>53</v>
      </c>
      <c r="D21" s="12" t="s">
        <v>37</v>
      </c>
      <c r="E21" s="12" t="s">
        <v>50</v>
      </c>
      <c r="F21" s="12" t="s">
        <v>10</v>
      </c>
      <c r="G21" s="12" t="s">
        <v>48</v>
      </c>
      <c r="H21" s="12">
        <v>1580</v>
      </c>
      <c r="I21" s="12">
        <v>650</v>
      </c>
      <c r="N21" s="28" t="s">
        <v>10</v>
      </c>
      <c r="O21" s="31">
        <v>5790</v>
      </c>
      <c r="P21" s="29">
        <v>3474</v>
      </c>
    </row>
    <row r="22" spans="3:16" ht="15" x14ac:dyDescent="0.25">
      <c r="C22" s="12" t="s">
        <v>53</v>
      </c>
      <c r="D22" s="12" t="s">
        <v>38</v>
      </c>
      <c r="E22" s="12" t="s">
        <v>46</v>
      </c>
      <c r="F22" s="12" t="s">
        <v>47</v>
      </c>
      <c r="G22" s="12" t="s">
        <v>49</v>
      </c>
      <c r="H22" s="12">
        <v>3600</v>
      </c>
      <c r="I22" s="12">
        <v>800</v>
      </c>
      <c r="N22" s="30" t="s">
        <v>36</v>
      </c>
      <c r="O22" s="31">
        <v>5790</v>
      </c>
      <c r="P22" s="29">
        <v>3474</v>
      </c>
    </row>
    <row r="23" spans="3:16" ht="15" x14ac:dyDescent="0.25">
      <c r="C23" s="12" t="s">
        <v>53</v>
      </c>
      <c r="D23" s="12" t="s">
        <v>38</v>
      </c>
      <c r="E23" s="12" t="s">
        <v>50</v>
      </c>
      <c r="F23" s="12" t="s">
        <v>10</v>
      </c>
      <c r="G23" s="12" t="s">
        <v>48</v>
      </c>
      <c r="H23" s="12">
        <v>4503</v>
      </c>
      <c r="I23" s="12">
        <v>570</v>
      </c>
      <c r="N23" s="26" t="s">
        <v>48</v>
      </c>
      <c r="O23" s="31">
        <v>16740</v>
      </c>
      <c r="P23" s="29">
        <v>15395</v>
      </c>
    </row>
    <row r="24" spans="3:16" x14ac:dyDescent="0.2">
      <c r="N24" s="28" t="s">
        <v>10</v>
      </c>
      <c r="O24" s="31">
        <v>10830</v>
      </c>
      <c r="P24" s="29">
        <v>11849</v>
      </c>
    </row>
    <row r="25" spans="3:16" x14ac:dyDescent="0.2">
      <c r="N25" s="30" t="s">
        <v>35</v>
      </c>
      <c r="O25" s="31">
        <v>3910</v>
      </c>
      <c r="P25" s="29">
        <v>2346</v>
      </c>
    </row>
    <row r="26" spans="3:16" x14ac:dyDescent="0.2">
      <c r="N26" s="30" t="s">
        <v>37</v>
      </c>
      <c r="O26" s="31">
        <v>6350</v>
      </c>
      <c r="P26" s="29">
        <v>5000</v>
      </c>
    </row>
    <row r="27" spans="3:16" x14ac:dyDescent="0.2">
      <c r="N27" s="30" t="s">
        <v>38</v>
      </c>
      <c r="O27" s="31">
        <v>570</v>
      </c>
      <c r="P27" s="29">
        <v>4503</v>
      </c>
    </row>
    <row r="28" spans="3:16" x14ac:dyDescent="0.2">
      <c r="N28" s="28" t="s">
        <v>47</v>
      </c>
      <c r="O28" s="31">
        <v>5910</v>
      </c>
      <c r="P28" s="29">
        <v>3546</v>
      </c>
    </row>
    <row r="29" spans="3:16" x14ac:dyDescent="0.2">
      <c r="N29" s="30" t="s">
        <v>34</v>
      </c>
      <c r="O29" s="31">
        <v>1460</v>
      </c>
      <c r="P29" s="29">
        <v>876</v>
      </c>
    </row>
    <row r="30" spans="3:16" x14ac:dyDescent="0.2">
      <c r="N30" s="30" t="s">
        <v>36</v>
      </c>
      <c r="O30" s="31">
        <v>4450</v>
      </c>
      <c r="P30" s="29">
        <v>2670</v>
      </c>
    </row>
    <row r="31" spans="3:16" x14ac:dyDescent="0.2">
      <c r="N31" s="26" t="s">
        <v>84</v>
      </c>
      <c r="O31" s="31">
        <v>54400</v>
      </c>
      <c r="P31" s="29">
        <v>41111</v>
      </c>
    </row>
  </sheetData>
  <phoneticPr fontId="0" type="noConversion"/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1"/>
  <sheetViews>
    <sheetView topLeftCell="A5" workbookViewId="0">
      <selection activeCell="L5" sqref="L5 L10 L12 L16 L20 L23 L26"/>
      <pivotSelection pane="bottomRight" showHeader="1" activeRow="15" activeCol="11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2.75" x14ac:dyDescent="0.2"/>
  <cols>
    <col min="1" max="1" width="9.140625" style="5"/>
    <col min="2" max="2" width="19" style="5" bestFit="1" customWidth="1"/>
    <col min="3" max="3" width="9.140625" style="5"/>
    <col min="4" max="4" width="11.28515625" style="5" bestFit="1" customWidth="1"/>
    <col min="5" max="5" width="8.28515625" style="5" bestFit="1" customWidth="1"/>
    <col min="6" max="6" width="4.85546875" style="5" bestFit="1" customWidth="1"/>
    <col min="7" max="7" width="16.140625" style="5" bestFit="1" customWidth="1"/>
    <col min="8" max="11" width="9.140625" style="5"/>
    <col min="12" max="12" width="23.42578125" style="5" bestFit="1" customWidth="1"/>
    <col min="13" max="13" width="20.140625" style="5" bestFit="1" customWidth="1"/>
    <col min="14" max="19" width="11.7109375" style="5" bestFit="1" customWidth="1"/>
    <col min="20" max="20" width="13.42578125" style="5" bestFit="1" customWidth="1"/>
    <col min="21" max="23" width="11.7109375" style="5" bestFit="1" customWidth="1"/>
    <col min="24" max="24" width="13.42578125" style="5" bestFit="1" customWidth="1"/>
    <col min="25" max="25" width="11.85546875" style="5" bestFit="1" customWidth="1"/>
    <col min="26" max="27" width="11.7109375" style="5" bestFit="1" customWidth="1"/>
    <col min="28" max="28" width="13.42578125" style="5" bestFit="1" customWidth="1"/>
    <col min="29" max="29" width="15.140625" style="5" bestFit="1" customWidth="1"/>
    <col min="30" max="30" width="13.42578125" style="5" bestFit="1" customWidth="1"/>
    <col min="31" max="31" width="10.7109375" style="5" bestFit="1" customWidth="1"/>
    <col min="32" max="32" width="11.7109375" style="5" bestFit="1" customWidth="1"/>
    <col min="33" max="33" width="14" style="5" bestFit="1" customWidth="1"/>
    <col min="34" max="34" width="22.85546875" style="5" bestFit="1" customWidth="1"/>
    <col min="35" max="35" width="23.42578125" style="5" bestFit="1" customWidth="1"/>
    <col min="36" max="36" width="14" style="5" bestFit="1" customWidth="1"/>
    <col min="37" max="39" width="11.7109375" style="5" bestFit="1" customWidth="1"/>
    <col min="40" max="40" width="14" style="5" bestFit="1" customWidth="1"/>
    <col min="41" max="41" width="26.7109375" style="5" bestFit="1" customWidth="1"/>
    <col min="42" max="42" width="16.85546875" style="5" bestFit="1" customWidth="1"/>
    <col min="43" max="43" width="11.7109375" style="5" bestFit="1" customWidth="1"/>
    <col min="44" max="44" width="14" style="5" bestFit="1" customWidth="1"/>
    <col min="45" max="47" width="11.7109375" style="5" bestFit="1" customWidth="1"/>
    <col min="48" max="48" width="14" style="5" bestFit="1" customWidth="1"/>
    <col min="49" max="49" width="20.140625" style="5" bestFit="1" customWidth="1"/>
    <col min="50" max="50" width="17.140625" style="5" bestFit="1" customWidth="1"/>
    <col min="51" max="51" width="14" style="5" bestFit="1" customWidth="1"/>
    <col min="52" max="52" width="11.7109375" style="5" bestFit="1" customWidth="1"/>
    <col min="53" max="53" width="14" style="5" bestFit="1" customWidth="1"/>
    <col min="54" max="54" width="20.42578125" style="5" bestFit="1" customWidth="1"/>
    <col min="55" max="55" width="17" style="5" bestFit="1" customWidth="1"/>
    <col min="56" max="56" width="14" style="5" bestFit="1" customWidth="1"/>
    <col min="57" max="59" width="11.7109375" style="5" bestFit="1" customWidth="1"/>
    <col min="60" max="60" width="20.28515625" style="5" bestFit="1" customWidth="1"/>
    <col min="61" max="61" width="13.42578125" style="5" bestFit="1" customWidth="1"/>
    <col min="62" max="16384" width="9.140625" style="5"/>
  </cols>
  <sheetData>
    <row r="1" spans="1:61" ht="15.75" thickBot="1" x14ac:dyDescent="0.25">
      <c r="A1" s="2" t="s">
        <v>18</v>
      </c>
      <c r="B1" s="3" t="s">
        <v>2</v>
      </c>
      <c r="C1" s="4" t="s">
        <v>19</v>
      </c>
      <c r="D1" s="2" t="s">
        <v>55</v>
      </c>
      <c r="E1" s="2" t="s">
        <v>65</v>
      </c>
      <c r="F1" s="4" t="s">
        <v>20</v>
      </c>
      <c r="G1" s="3" t="s">
        <v>21</v>
      </c>
    </row>
    <row r="2" spans="1:61" x14ac:dyDescent="0.2">
      <c r="A2" s="6">
        <v>321</v>
      </c>
      <c r="B2" s="7" t="s">
        <v>22</v>
      </c>
      <c r="C2" s="8" t="s">
        <v>23</v>
      </c>
      <c r="D2" s="13" t="s">
        <v>56</v>
      </c>
      <c r="E2" s="13" t="s">
        <v>61</v>
      </c>
      <c r="F2" s="5">
        <v>19</v>
      </c>
      <c r="G2" s="9">
        <v>303200</v>
      </c>
      <c r="L2" s="25" t="s">
        <v>89</v>
      </c>
      <c r="M2" s="25" t="s">
        <v>85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x14ac:dyDescent="0.2">
      <c r="A3" s="6">
        <v>323</v>
      </c>
      <c r="B3" s="7" t="s">
        <v>22</v>
      </c>
      <c r="C3" s="8" t="s">
        <v>23</v>
      </c>
      <c r="D3" s="13" t="s">
        <v>57</v>
      </c>
      <c r="E3" s="13" t="s">
        <v>62</v>
      </c>
      <c r="F3" s="5">
        <v>21</v>
      </c>
      <c r="G3" s="10">
        <v>246000</v>
      </c>
      <c r="L3"/>
      <c r="M3" t="s">
        <v>23</v>
      </c>
      <c r="N3"/>
      <c r="O3"/>
      <c r="P3" t="s">
        <v>90</v>
      </c>
      <c r="Q3" t="s">
        <v>24</v>
      </c>
      <c r="R3"/>
      <c r="S3"/>
      <c r="T3" t="s">
        <v>91</v>
      </c>
      <c r="U3" t="s">
        <v>25</v>
      </c>
      <c r="V3"/>
      <c r="W3"/>
      <c r="X3" t="s">
        <v>92</v>
      </c>
      <c r="Y3" t="s">
        <v>26</v>
      </c>
      <c r="Z3"/>
      <c r="AA3"/>
      <c r="AB3"/>
      <c r="AC3" t="s">
        <v>93</v>
      </c>
      <c r="AD3" t="s">
        <v>84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x14ac:dyDescent="0.2">
      <c r="A4" s="6">
        <v>326</v>
      </c>
      <c r="B4" s="7" t="s">
        <v>22</v>
      </c>
      <c r="C4" s="8" t="s">
        <v>24</v>
      </c>
      <c r="D4" s="13" t="s">
        <v>17</v>
      </c>
      <c r="E4" s="13" t="s">
        <v>63</v>
      </c>
      <c r="F4" s="5">
        <v>4</v>
      </c>
      <c r="G4" s="10">
        <v>28000</v>
      </c>
      <c r="L4" s="25" t="s">
        <v>83</v>
      </c>
      <c r="M4" t="s">
        <v>17</v>
      </c>
      <c r="N4" t="s">
        <v>57</v>
      </c>
      <c r="O4" t="s">
        <v>56</v>
      </c>
      <c r="P4"/>
      <c r="Q4" t="s">
        <v>58</v>
      </c>
      <c r="R4" t="s">
        <v>17</v>
      </c>
      <c r="S4" t="s">
        <v>57</v>
      </c>
      <c r="T4"/>
      <c r="U4" t="s">
        <v>58</v>
      </c>
      <c r="V4" t="s">
        <v>57</v>
      </c>
      <c r="W4" t="s">
        <v>56</v>
      </c>
      <c r="X4"/>
      <c r="Y4" t="s">
        <v>58</v>
      </c>
      <c r="Z4" t="s">
        <v>17</v>
      </c>
      <c r="AA4" t="s">
        <v>57</v>
      </c>
      <c r="AB4" t="s">
        <v>56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">
      <c r="A5" s="6">
        <v>327</v>
      </c>
      <c r="B5" s="7" t="s">
        <v>22</v>
      </c>
      <c r="C5" s="8" t="s">
        <v>24</v>
      </c>
      <c r="D5" s="13" t="s">
        <v>58</v>
      </c>
      <c r="E5" s="13" t="s">
        <v>64</v>
      </c>
      <c r="F5" s="5">
        <v>4</v>
      </c>
      <c r="G5" s="10">
        <v>264000</v>
      </c>
      <c r="L5" s="26" t="s">
        <v>22</v>
      </c>
      <c r="M5" s="32"/>
      <c r="N5" s="32">
        <v>246000</v>
      </c>
      <c r="O5" s="32">
        <v>303200</v>
      </c>
      <c r="P5" s="32">
        <v>549200</v>
      </c>
      <c r="Q5" s="32">
        <v>264000</v>
      </c>
      <c r="R5" s="32">
        <v>28000</v>
      </c>
      <c r="S5" s="32"/>
      <c r="T5" s="32">
        <v>292000</v>
      </c>
      <c r="U5" s="32">
        <v>86400</v>
      </c>
      <c r="V5" s="32"/>
      <c r="W5" s="32">
        <v>507000</v>
      </c>
      <c r="X5" s="32">
        <v>593400</v>
      </c>
      <c r="Y5" s="32"/>
      <c r="Z5" s="32"/>
      <c r="AA5" s="32"/>
      <c r="AB5" s="32">
        <v>110000</v>
      </c>
      <c r="AC5" s="32">
        <v>110000</v>
      </c>
      <c r="AD5" s="32">
        <v>1544600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x14ac:dyDescent="0.2">
      <c r="A6" s="6">
        <v>341</v>
      </c>
      <c r="B6" s="7" t="s">
        <v>22</v>
      </c>
      <c r="C6" s="7" t="s">
        <v>25</v>
      </c>
      <c r="D6" s="13" t="s">
        <v>56</v>
      </c>
      <c r="E6" s="13" t="s">
        <v>63</v>
      </c>
      <c r="F6" s="5">
        <v>20</v>
      </c>
      <c r="G6" s="10">
        <v>507000</v>
      </c>
      <c r="L6" s="28" t="s">
        <v>64</v>
      </c>
      <c r="M6" s="32"/>
      <c r="N6" s="32"/>
      <c r="O6" s="32"/>
      <c r="P6" s="32"/>
      <c r="Q6" s="32">
        <v>264000</v>
      </c>
      <c r="R6" s="32"/>
      <c r="S6" s="32"/>
      <c r="T6" s="32">
        <v>264000</v>
      </c>
      <c r="U6" s="32">
        <v>86400</v>
      </c>
      <c r="V6" s="32"/>
      <c r="W6" s="32"/>
      <c r="X6" s="32">
        <v>86400</v>
      </c>
      <c r="Y6" s="32"/>
      <c r="Z6" s="32"/>
      <c r="AA6" s="32"/>
      <c r="AB6" s="32"/>
      <c r="AC6" s="32"/>
      <c r="AD6" s="32">
        <v>350400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">
      <c r="A7" s="6">
        <v>342</v>
      </c>
      <c r="B7" s="7" t="s">
        <v>22</v>
      </c>
      <c r="C7" s="7" t="s">
        <v>25</v>
      </c>
      <c r="D7" s="13" t="s">
        <v>58</v>
      </c>
      <c r="E7" s="13" t="s">
        <v>64</v>
      </c>
      <c r="F7" s="5">
        <v>20</v>
      </c>
      <c r="G7" s="10">
        <v>86400</v>
      </c>
      <c r="L7" s="28" t="s">
        <v>61</v>
      </c>
      <c r="M7" s="32"/>
      <c r="N7" s="32"/>
      <c r="O7" s="32">
        <v>303200</v>
      </c>
      <c r="P7" s="32">
        <v>303200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>
        <v>303200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x14ac:dyDescent="0.2">
      <c r="A8" s="6">
        <v>363</v>
      </c>
      <c r="B8" s="7" t="s">
        <v>22</v>
      </c>
      <c r="C8" s="8" t="s">
        <v>26</v>
      </c>
      <c r="D8" s="13" t="s">
        <v>56</v>
      </c>
      <c r="E8" s="13" t="s">
        <v>62</v>
      </c>
      <c r="F8" s="5">
        <v>26</v>
      </c>
      <c r="G8" s="10">
        <v>110000</v>
      </c>
      <c r="L8" s="28" t="s">
        <v>62</v>
      </c>
      <c r="M8" s="32"/>
      <c r="N8" s="32">
        <v>246000</v>
      </c>
      <c r="O8" s="32"/>
      <c r="P8" s="32">
        <v>246000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>
        <v>110000</v>
      </c>
      <c r="AC8" s="32">
        <v>110000</v>
      </c>
      <c r="AD8" s="32">
        <v>356000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x14ac:dyDescent="0.2">
      <c r="A9" s="6">
        <v>362</v>
      </c>
      <c r="B9" s="7" t="s">
        <v>27</v>
      </c>
      <c r="C9" s="8" t="s">
        <v>26</v>
      </c>
      <c r="D9" s="13" t="s">
        <v>58</v>
      </c>
      <c r="E9" s="13" t="s">
        <v>63</v>
      </c>
      <c r="F9" s="5">
        <v>26</v>
      </c>
      <c r="G9" s="10">
        <v>57000</v>
      </c>
      <c r="L9" s="28" t="s">
        <v>63</v>
      </c>
      <c r="M9" s="32"/>
      <c r="N9" s="32"/>
      <c r="O9" s="32"/>
      <c r="P9" s="32"/>
      <c r="Q9" s="32"/>
      <c r="R9" s="32">
        <v>28000</v>
      </c>
      <c r="S9" s="32"/>
      <c r="T9" s="32">
        <v>28000</v>
      </c>
      <c r="U9" s="32"/>
      <c r="V9" s="32"/>
      <c r="W9" s="32">
        <v>507000</v>
      </c>
      <c r="X9" s="32">
        <v>507000</v>
      </c>
      <c r="Y9" s="32"/>
      <c r="Z9" s="32"/>
      <c r="AA9" s="32"/>
      <c r="AB9" s="32"/>
      <c r="AC9" s="32"/>
      <c r="AD9" s="32">
        <v>535000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x14ac:dyDescent="0.2">
      <c r="A10" s="6">
        <v>325</v>
      </c>
      <c r="B10" s="8" t="s">
        <v>28</v>
      </c>
      <c r="C10" s="8" t="s">
        <v>24</v>
      </c>
      <c r="D10" s="13" t="s">
        <v>17</v>
      </c>
      <c r="E10" s="13" t="s">
        <v>61</v>
      </c>
      <c r="F10" s="5">
        <v>4</v>
      </c>
      <c r="G10" s="10">
        <v>652800</v>
      </c>
      <c r="L10" s="26" t="s">
        <v>27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>
        <v>57000</v>
      </c>
      <c r="Z10" s="32"/>
      <c r="AA10" s="32"/>
      <c r="AB10" s="32"/>
      <c r="AC10" s="32">
        <v>57000</v>
      </c>
      <c r="AD10" s="32">
        <v>57000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</row>
    <row r="11" spans="1:61" x14ac:dyDescent="0.2">
      <c r="A11" s="6">
        <v>331</v>
      </c>
      <c r="B11" s="8" t="s">
        <v>28</v>
      </c>
      <c r="C11" s="7" t="s">
        <v>25</v>
      </c>
      <c r="D11" s="13" t="s">
        <v>57</v>
      </c>
      <c r="E11" s="13" t="s">
        <v>62</v>
      </c>
      <c r="F11" s="5">
        <v>1</v>
      </c>
      <c r="G11" s="10">
        <v>70000</v>
      </c>
      <c r="L11" s="28" t="s">
        <v>63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>
        <v>57000</v>
      </c>
      <c r="Z11" s="32"/>
      <c r="AA11" s="32"/>
      <c r="AB11" s="32"/>
      <c r="AC11" s="32">
        <v>57000</v>
      </c>
      <c r="AD11" s="32">
        <v>57000</v>
      </c>
    </row>
    <row r="12" spans="1:61" x14ac:dyDescent="0.2">
      <c r="A12" s="6">
        <v>344</v>
      </c>
      <c r="B12" s="8" t="s">
        <v>28</v>
      </c>
      <c r="C12" s="8" t="s">
        <v>26</v>
      </c>
      <c r="D12" s="13" t="s">
        <v>56</v>
      </c>
      <c r="E12" s="13" t="s">
        <v>63</v>
      </c>
      <c r="F12" s="5">
        <v>3</v>
      </c>
      <c r="G12" s="10">
        <v>537000</v>
      </c>
      <c r="L12" s="26" t="s">
        <v>28</v>
      </c>
      <c r="M12" s="32"/>
      <c r="N12" s="32"/>
      <c r="O12" s="32"/>
      <c r="P12" s="32"/>
      <c r="Q12" s="32"/>
      <c r="R12" s="32">
        <v>652800</v>
      </c>
      <c r="S12" s="32"/>
      <c r="T12" s="32">
        <v>652800</v>
      </c>
      <c r="U12" s="32"/>
      <c r="V12" s="32">
        <v>70000</v>
      </c>
      <c r="W12" s="32"/>
      <c r="X12" s="32">
        <v>70000</v>
      </c>
      <c r="Y12" s="32"/>
      <c r="Z12" s="32"/>
      <c r="AA12" s="32"/>
      <c r="AB12" s="32">
        <v>537000</v>
      </c>
      <c r="AC12" s="32">
        <v>537000</v>
      </c>
      <c r="AD12" s="32">
        <v>1259800</v>
      </c>
    </row>
    <row r="13" spans="1:61" x14ac:dyDescent="0.2">
      <c r="A13" s="6">
        <v>329</v>
      </c>
      <c r="B13" s="7" t="s">
        <v>29</v>
      </c>
      <c r="C13" s="8" t="s">
        <v>24</v>
      </c>
      <c r="D13" s="13" t="s">
        <v>17</v>
      </c>
      <c r="E13" s="13" t="s">
        <v>63</v>
      </c>
      <c r="F13" s="5">
        <v>4</v>
      </c>
      <c r="G13" s="10">
        <v>157000</v>
      </c>
      <c r="L13" s="28" t="s">
        <v>61</v>
      </c>
      <c r="M13" s="32"/>
      <c r="N13" s="32"/>
      <c r="O13" s="32"/>
      <c r="P13" s="32"/>
      <c r="Q13" s="32"/>
      <c r="R13" s="32">
        <v>652800</v>
      </c>
      <c r="S13" s="32"/>
      <c r="T13" s="32">
        <v>652800</v>
      </c>
      <c r="U13" s="32"/>
      <c r="V13" s="32"/>
      <c r="W13" s="32"/>
      <c r="X13" s="32"/>
      <c r="Y13" s="32"/>
      <c r="Z13" s="32"/>
      <c r="AA13" s="32"/>
      <c r="AB13" s="32"/>
      <c r="AC13" s="32"/>
      <c r="AD13" s="32">
        <v>652800</v>
      </c>
    </row>
    <row r="14" spans="1:61" x14ac:dyDescent="0.2">
      <c r="A14" s="6">
        <v>339</v>
      </c>
      <c r="B14" s="7" t="s">
        <v>29</v>
      </c>
      <c r="C14" s="7" t="s">
        <v>25</v>
      </c>
      <c r="D14" s="13" t="s">
        <v>57</v>
      </c>
      <c r="E14" s="13" t="s">
        <v>64</v>
      </c>
      <c r="F14" s="5">
        <v>20</v>
      </c>
      <c r="G14" s="10">
        <v>265000</v>
      </c>
      <c r="L14" s="28" t="s">
        <v>62</v>
      </c>
      <c r="M14" s="32"/>
      <c r="N14" s="32"/>
      <c r="O14" s="32"/>
      <c r="P14" s="32"/>
      <c r="Q14" s="32"/>
      <c r="R14" s="32"/>
      <c r="S14" s="32"/>
      <c r="T14" s="32"/>
      <c r="U14" s="32"/>
      <c r="V14" s="32">
        <v>70000</v>
      </c>
      <c r="W14" s="32"/>
      <c r="X14" s="32">
        <v>70000</v>
      </c>
      <c r="Y14" s="32"/>
      <c r="Z14" s="32"/>
      <c r="AA14" s="32"/>
      <c r="AB14" s="32"/>
      <c r="AC14" s="32"/>
      <c r="AD14" s="32">
        <v>70000</v>
      </c>
    </row>
    <row r="15" spans="1:61" x14ac:dyDescent="0.2">
      <c r="A15" s="6">
        <v>346</v>
      </c>
      <c r="B15" s="7" t="s">
        <v>29</v>
      </c>
      <c r="C15" s="8" t="s">
        <v>26</v>
      </c>
      <c r="D15" s="13" t="s">
        <v>56</v>
      </c>
      <c r="E15" s="13" t="s">
        <v>62</v>
      </c>
      <c r="F15" s="5">
        <v>3</v>
      </c>
      <c r="G15" s="10">
        <v>247000</v>
      </c>
      <c r="L15" s="28" t="s">
        <v>63</v>
      </c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>
        <v>537000</v>
      </c>
      <c r="AC15" s="32">
        <v>537000</v>
      </c>
      <c r="AD15" s="32">
        <v>537000</v>
      </c>
    </row>
    <row r="16" spans="1:61" x14ac:dyDescent="0.2">
      <c r="A16" s="6">
        <v>322</v>
      </c>
      <c r="B16" s="7" t="s">
        <v>30</v>
      </c>
      <c r="C16" s="8" t="s">
        <v>23</v>
      </c>
      <c r="D16" s="13" t="s">
        <v>56</v>
      </c>
      <c r="E16" s="13" t="s">
        <v>63</v>
      </c>
      <c r="F16" s="5">
        <v>19</v>
      </c>
      <c r="G16" s="9">
        <v>180000</v>
      </c>
      <c r="L16" s="26" t="s">
        <v>29</v>
      </c>
      <c r="M16" s="32"/>
      <c r="N16" s="32"/>
      <c r="O16" s="32"/>
      <c r="P16" s="32"/>
      <c r="Q16" s="32"/>
      <c r="R16" s="32">
        <v>157000</v>
      </c>
      <c r="S16" s="32"/>
      <c r="T16" s="32">
        <v>157000</v>
      </c>
      <c r="U16" s="32"/>
      <c r="V16" s="32">
        <v>265000</v>
      </c>
      <c r="W16" s="32"/>
      <c r="X16" s="32">
        <v>265000</v>
      </c>
      <c r="Y16" s="32"/>
      <c r="Z16" s="32"/>
      <c r="AA16" s="32"/>
      <c r="AB16" s="32">
        <v>247000</v>
      </c>
      <c r="AC16" s="32">
        <v>247000</v>
      </c>
      <c r="AD16" s="32">
        <v>669000</v>
      </c>
    </row>
    <row r="17" spans="1:30" x14ac:dyDescent="0.2">
      <c r="A17" s="6">
        <v>324</v>
      </c>
      <c r="B17" s="7" t="s">
        <v>30</v>
      </c>
      <c r="C17" s="8" t="s">
        <v>23</v>
      </c>
      <c r="D17" s="13" t="s">
        <v>17</v>
      </c>
      <c r="E17" s="13" t="s">
        <v>64</v>
      </c>
      <c r="F17" s="5">
        <v>21</v>
      </c>
      <c r="G17" s="10">
        <v>85000</v>
      </c>
      <c r="L17" s="28" t="s">
        <v>64</v>
      </c>
      <c r="M17" s="32"/>
      <c r="N17" s="32"/>
      <c r="O17" s="32"/>
      <c r="P17" s="32"/>
      <c r="Q17" s="32"/>
      <c r="R17" s="32"/>
      <c r="S17" s="32"/>
      <c r="T17" s="32"/>
      <c r="U17" s="32"/>
      <c r="V17" s="32">
        <v>265000</v>
      </c>
      <c r="W17" s="32"/>
      <c r="X17" s="32">
        <v>265000</v>
      </c>
      <c r="Y17" s="32"/>
      <c r="Z17" s="32"/>
      <c r="AA17" s="32"/>
      <c r="AB17" s="32"/>
      <c r="AC17" s="32"/>
      <c r="AD17" s="32">
        <v>265000</v>
      </c>
    </row>
    <row r="18" spans="1:30" x14ac:dyDescent="0.2">
      <c r="A18" s="6">
        <v>328</v>
      </c>
      <c r="B18" s="7" t="s">
        <v>30</v>
      </c>
      <c r="C18" s="8" t="s">
        <v>24</v>
      </c>
      <c r="D18" s="13" t="s">
        <v>57</v>
      </c>
      <c r="E18" s="13" t="s">
        <v>63</v>
      </c>
      <c r="F18" s="5">
        <v>4</v>
      </c>
      <c r="G18" s="10">
        <v>428000</v>
      </c>
      <c r="L18" s="28" t="s">
        <v>62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>
        <v>247000</v>
      </c>
      <c r="AC18" s="32">
        <v>247000</v>
      </c>
      <c r="AD18" s="32">
        <v>247000</v>
      </c>
    </row>
    <row r="19" spans="1:30" x14ac:dyDescent="0.2">
      <c r="A19" s="6">
        <v>345</v>
      </c>
      <c r="B19" s="7" t="s">
        <v>30</v>
      </c>
      <c r="C19" s="8" t="s">
        <v>26</v>
      </c>
      <c r="D19" s="13" t="s">
        <v>57</v>
      </c>
      <c r="E19" s="13" t="s">
        <v>64</v>
      </c>
      <c r="F19" s="5">
        <v>3</v>
      </c>
      <c r="G19" s="10">
        <v>240000</v>
      </c>
      <c r="L19" s="28" t="s">
        <v>63</v>
      </c>
      <c r="M19" s="32"/>
      <c r="N19" s="32"/>
      <c r="O19" s="32"/>
      <c r="P19" s="32"/>
      <c r="Q19" s="32"/>
      <c r="R19" s="32">
        <v>157000</v>
      </c>
      <c r="S19" s="32"/>
      <c r="T19" s="32">
        <v>157000</v>
      </c>
      <c r="U19" s="32"/>
      <c r="V19" s="32"/>
      <c r="W19" s="32"/>
      <c r="X19" s="32"/>
      <c r="Y19" s="32"/>
      <c r="Z19" s="32"/>
      <c r="AA19" s="32"/>
      <c r="AB19" s="32"/>
      <c r="AC19" s="32"/>
      <c r="AD19" s="32">
        <v>157000</v>
      </c>
    </row>
    <row r="20" spans="1:30" x14ac:dyDescent="0.2">
      <c r="A20" s="6">
        <v>361</v>
      </c>
      <c r="B20" s="7" t="s">
        <v>30</v>
      </c>
      <c r="C20" s="8" t="s">
        <v>26</v>
      </c>
      <c r="D20" s="13" t="s">
        <v>56</v>
      </c>
      <c r="E20" s="13" t="s">
        <v>63</v>
      </c>
      <c r="F20" s="5">
        <v>26</v>
      </c>
      <c r="G20" s="10">
        <v>290000</v>
      </c>
      <c r="L20" s="26" t="s">
        <v>30</v>
      </c>
      <c r="M20" s="32">
        <v>85000</v>
      </c>
      <c r="N20" s="32"/>
      <c r="O20" s="32">
        <v>180000</v>
      </c>
      <c r="P20" s="32">
        <v>265000</v>
      </c>
      <c r="Q20" s="32"/>
      <c r="R20" s="32"/>
      <c r="S20" s="32">
        <v>428000</v>
      </c>
      <c r="T20" s="32">
        <v>428000</v>
      </c>
      <c r="U20" s="32"/>
      <c r="V20" s="32"/>
      <c r="W20" s="32"/>
      <c r="X20" s="32"/>
      <c r="Y20" s="32"/>
      <c r="Z20" s="32"/>
      <c r="AA20" s="32">
        <v>240000</v>
      </c>
      <c r="AB20" s="32">
        <v>290000</v>
      </c>
      <c r="AC20" s="32">
        <v>530000</v>
      </c>
      <c r="AD20" s="32">
        <v>1223000</v>
      </c>
    </row>
    <row r="21" spans="1:30" x14ac:dyDescent="0.2">
      <c r="A21" s="6">
        <v>343</v>
      </c>
      <c r="B21" s="7" t="s">
        <v>31</v>
      </c>
      <c r="C21" s="7" t="s">
        <v>25</v>
      </c>
      <c r="D21" s="13" t="s">
        <v>58</v>
      </c>
      <c r="E21" s="13" t="s">
        <v>64</v>
      </c>
      <c r="F21" s="5">
        <v>20</v>
      </c>
      <c r="G21" s="10">
        <v>134000</v>
      </c>
      <c r="L21" s="28" t="s">
        <v>64</v>
      </c>
      <c r="M21" s="32">
        <v>85000</v>
      </c>
      <c r="N21" s="32"/>
      <c r="O21" s="32"/>
      <c r="P21" s="32">
        <v>85000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>
        <v>240000</v>
      </c>
      <c r="AB21" s="32"/>
      <c r="AC21" s="32">
        <v>240000</v>
      </c>
      <c r="AD21" s="32">
        <v>325000</v>
      </c>
    </row>
    <row r="22" spans="1:30" x14ac:dyDescent="0.2">
      <c r="A22" s="6">
        <v>347</v>
      </c>
      <c r="B22" s="7" t="s">
        <v>31</v>
      </c>
      <c r="C22" s="8" t="s">
        <v>26</v>
      </c>
      <c r="D22" s="13" t="s">
        <v>17</v>
      </c>
      <c r="E22" s="13" t="s">
        <v>63</v>
      </c>
      <c r="F22" s="5">
        <v>3</v>
      </c>
      <c r="G22" s="10">
        <v>632000</v>
      </c>
      <c r="L22" s="28" t="s">
        <v>63</v>
      </c>
      <c r="M22" s="32"/>
      <c r="N22" s="32"/>
      <c r="O22" s="32">
        <v>180000</v>
      </c>
      <c r="P22" s="32">
        <v>180000</v>
      </c>
      <c r="Q22" s="32"/>
      <c r="R22" s="32"/>
      <c r="S22" s="32">
        <v>428000</v>
      </c>
      <c r="T22" s="32">
        <v>428000</v>
      </c>
      <c r="U22" s="32"/>
      <c r="V22" s="32"/>
      <c r="W22" s="32"/>
      <c r="X22" s="32"/>
      <c r="Y22" s="32"/>
      <c r="Z22" s="32"/>
      <c r="AA22" s="32"/>
      <c r="AB22" s="32">
        <v>290000</v>
      </c>
      <c r="AC22" s="32">
        <v>290000</v>
      </c>
      <c r="AD22" s="32">
        <v>898000</v>
      </c>
    </row>
    <row r="23" spans="1:30" x14ac:dyDescent="0.2">
      <c r="A23" s="6">
        <v>330</v>
      </c>
      <c r="B23" s="7" t="s">
        <v>32</v>
      </c>
      <c r="C23" s="8" t="s">
        <v>24</v>
      </c>
      <c r="D23" s="13" t="s">
        <v>58</v>
      </c>
      <c r="E23" s="13" t="s">
        <v>64</v>
      </c>
      <c r="F23" s="5">
        <v>4</v>
      </c>
      <c r="G23" s="10">
        <v>328000</v>
      </c>
      <c r="L23" s="26" t="s">
        <v>31</v>
      </c>
      <c r="M23" s="32"/>
      <c r="N23" s="32"/>
      <c r="O23" s="32"/>
      <c r="P23" s="32"/>
      <c r="Q23" s="32"/>
      <c r="R23" s="32"/>
      <c r="S23" s="32"/>
      <c r="T23" s="32"/>
      <c r="U23" s="32">
        <v>134000</v>
      </c>
      <c r="V23" s="32"/>
      <c r="W23" s="32"/>
      <c r="X23" s="32">
        <v>134000</v>
      </c>
      <c r="Y23" s="32"/>
      <c r="Z23" s="32">
        <v>632000</v>
      </c>
      <c r="AA23" s="32"/>
      <c r="AB23" s="32"/>
      <c r="AC23" s="32">
        <v>632000</v>
      </c>
      <c r="AD23" s="32">
        <v>766000</v>
      </c>
    </row>
    <row r="24" spans="1:30" x14ac:dyDescent="0.2">
      <c r="A24" s="6">
        <v>340</v>
      </c>
      <c r="B24" s="7" t="s">
        <v>32</v>
      </c>
      <c r="C24" s="7" t="s">
        <v>25</v>
      </c>
      <c r="D24" s="13" t="s">
        <v>57</v>
      </c>
      <c r="E24" s="13" t="s">
        <v>62</v>
      </c>
      <c r="F24" s="5">
        <v>20</v>
      </c>
      <c r="G24" s="10">
        <v>122000</v>
      </c>
      <c r="L24" s="28" t="s">
        <v>64</v>
      </c>
      <c r="M24" s="32"/>
      <c r="N24" s="32"/>
      <c r="O24" s="32"/>
      <c r="P24" s="32"/>
      <c r="Q24" s="32"/>
      <c r="R24" s="32"/>
      <c r="S24" s="32"/>
      <c r="T24" s="32"/>
      <c r="U24" s="32">
        <v>134000</v>
      </c>
      <c r="V24" s="32"/>
      <c r="W24" s="32"/>
      <c r="X24" s="32">
        <v>134000</v>
      </c>
      <c r="Y24" s="32"/>
      <c r="Z24" s="32"/>
      <c r="AA24" s="32"/>
      <c r="AB24" s="32"/>
      <c r="AC24" s="32"/>
      <c r="AD24" s="32">
        <v>134000</v>
      </c>
    </row>
    <row r="25" spans="1:30" x14ac:dyDescent="0.2">
      <c r="A25" s="6">
        <v>360</v>
      </c>
      <c r="B25" s="7" t="s">
        <v>32</v>
      </c>
      <c r="C25" s="8" t="s">
        <v>26</v>
      </c>
      <c r="D25" s="13" t="s">
        <v>17</v>
      </c>
      <c r="E25" s="13" t="s">
        <v>62</v>
      </c>
      <c r="F25" s="5">
        <v>26</v>
      </c>
      <c r="G25" s="10">
        <v>330000</v>
      </c>
      <c r="L25" s="28" t="s">
        <v>63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>
        <v>632000</v>
      </c>
      <c r="AA25" s="32"/>
      <c r="AB25" s="32"/>
      <c r="AC25" s="32">
        <v>632000</v>
      </c>
      <c r="AD25" s="32">
        <v>632000</v>
      </c>
    </row>
    <row r="26" spans="1:30" x14ac:dyDescent="0.2">
      <c r="L26" s="26" t="s">
        <v>32</v>
      </c>
      <c r="M26" s="32"/>
      <c r="N26" s="32"/>
      <c r="O26" s="32"/>
      <c r="P26" s="32"/>
      <c r="Q26" s="32">
        <v>328000</v>
      </c>
      <c r="R26" s="32"/>
      <c r="S26" s="32"/>
      <c r="T26" s="32">
        <v>328000</v>
      </c>
      <c r="U26" s="32"/>
      <c r="V26" s="32">
        <v>122000</v>
      </c>
      <c r="W26" s="32"/>
      <c r="X26" s="32">
        <v>122000</v>
      </c>
      <c r="Y26" s="32"/>
      <c r="Z26" s="32">
        <v>330000</v>
      </c>
      <c r="AA26" s="32"/>
      <c r="AB26" s="32"/>
      <c r="AC26" s="32">
        <v>330000</v>
      </c>
      <c r="AD26" s="32">
        <v>780000</v>
      </c>
    </row>
    <row r="27" spans="1:30" x14ac:dyDescent="0.2">
      <c r="B27" t="s">
        <v>16</v>
      </c>
      <c r="L27" s="28" t="s">
        <v>64</v>
      </c>
      <c r="M27" s="32"/>
      <c r="N27" s="32"/>
      <c r="O27" s="32"/>
      <c r="P27" s="32"/>
      <c r="Q27" s="32">
        <v>328000</v>
      </c>
      <c r="R27" s="32"/>
      <c r="S27" s="32"/>
      <c r="T27" s="32">
        <v>328000</v>
      </c>
      <c r="U27" s="32"/>
      <c r="V27" s="32"/>
      <c r="W27" s="32"/>
      <c r="X27" s="32"/>
      <c r="Y27" s="32"/>
      <c r="Z27" s="32"/>
      <c r="AA27" s="32"/>
      <c r="AB27" s="32"/>
      <c r="AC27" s="32"/>
      <c r="AD27" s="32">
        <v>328000</v>
      </c>
    </row>
    <row r="28" spans="1:30" x14ac:dyDescent="0.2">
      <c r="L28" s="28" t="s">
        <v>62</v>
      </c>
      <c r="M28" s="32"/>
      <c r="N28" s="32"/>
      <c r="O28" s="32"/>
      <c r="P28" s="32"/>
      <c r="Q28" s="32"/>
      <c r="R28" s="32"/>
      <c r="S28" s="32"/>
      <c r="T28" s="32"/>
      <c r="U28" s="32"/>
      <c r="V28" s="32">
        <v>122000</v>
      </c>
      <c r="W28" s="32"/>
      <c r="X28" s="32">
        <v>122000</v>
      </c>
      <c r="Y28" s="32"/>
      <c r="Z28" s="32">
        <v>330000</v>
      </c>
      <c r="AA28" s="32"/>
      <c r="AB28" s="32"/>
      <c r="AC28" s="32">
        <v>330000</v>
      </c>
      <c r="AD28" s="32">
        <v>452000</v>
      </c>
    </row>
    <row r="29" spans="1:30" x14ac:dyDescent="0.2">
      <c r="L29" s="26" t="s">
        <v>84</v>
      </c>
      <c r="M29" s="32">
        <v>85000</v>
      </c>
      <c r="N29" s="32">
        <v>246000</v>
      </c>
      <c r="O29" s="32">
        <v>483200</v>
      </c>
      <c r="P29" s="32">
        <v>814200</v>
      </c>
      <c r="Q29" s="32">
        <v>592000</v>
      </c>
      <c r="R29" s="32">
        <v>837800</v>
      </c>
      <c r="S29" s="32">
        <v>428000</v>
      </c>
      <c r="T29" s="32">
        <v>1857800</v>
      </c>
      <c r="U29" s="32">
        <v>220400</v>
      </c>
      <c r="V29" s="32">
        <v>457000</v>
      </c>
      <c r="W29" s="32">
        <v>507000</v>
      </c>
      <c r="X29" s="32">
        <v>1184400</v>
      </c>
      <c r="Y29" s="32">
        <v>57000</v>
      </c>
      <c r="Z29" s="32">
        <v>962000</v>
      </c>
      <c r="AA29" s="32">
        <v>240000</v>
      </c>
      <c r="AB29" s="32">
        <v>1184000</v>
      </c>
      <c r="AC29" s="32">
        <v>2443000</v>
      </c>
      <c r="AD29" s="32">
        <v>6299400</v>
      </c>
    </row>
    <row r="30" spans="1:30" x14ac:dyDescent="0.2"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x14ac:dyDescent="0.2"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</sheetData>
  <phoneticPr fontId="4" type="noConversion"/>
  <pageMargins left="0.75" right="0.75" top="1" bottom="1" header="0" footer="0"/>
  <headerFooter alignWithMargins="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8"/>
  <sheetViews>
    <sheetView tabSelected="1" topLeftCell="L26" workbookViewId="0">
      <selection activeCell="W7" sqref="W7"/>
    </sheetView>
  </sheetViews>
  <sheetFormatPr defaultRowHeight="12.75" x14ac:dyDescent="0.2"/>
  <cols>
    <col min="1" max="1" width="18.5703125" customWidth="1"/>
    <col min="2" max="2" width="5.7109375" customWidth="1"/>
    <col min="3" max="3" width="7.42578125" bestFit="1" customWidth="1"/>
    <col min="4" max="4" width="8.7109375" customWidth="1"/>
    <col min="5" max="5" width="7.85546875" bestFit="1" customWidth="1"/>
    <col min="6" max="6" width="10.7109375" customWidth="1"/>
    <col min="7" max="7" width="17.85546875" style="14" customWidth="1"/>
    <col min="8" max="8" width="12" customWidth="1"/>
    <col min="9" max="9" width="15" style="14" customWidth="1"/>
    <col min="10" max="10" width="5.28515625" customWidth="1"/>
    <col min="15" max="15" width="18.7109375" bestFit="1" customWidth="1"/>
    <col min="16" max="16" width="18.42578125" bestFit="1" customWidth="1"/>
    <col min="17" max="17" width="23.5703125" bestFit="1" customWidth="1"/>
    <col min="18" max="18" width="21" bestFit="1" customWidth="1"/>
    <col min="19" max="20" width="10.85546875" bestFit="1" customWidth="1"/>
    <col min="21" max="22" width="9.28515625" bestFit="1" customWidth="1"/>
    <col min="23" max="23" width="11.85546875" bestFit="1" customWidth="1"/>
    <col min="24" max="25" width="10.85546875" bestFit="1" customWidth="1"/>
    <col min="26" max="26" width="11.85546875" bestFit="1" customWidth="1"/>
    <col min="27" max="47" width="10.85546875" bestFit="1" customWidth="1"/>
    <col min="48" max="48" width="11.85546875" bestFit="1" customWidth="1"/>
    <col min="49" max="50" width="10.85546875" bestFit="1" customWidth="1"/>
    <col min="51" max="52" width="11.85546875" bestFit="1" customWidth="1"/>
    <col min="53" max="54" width="10.85546875" bestFit="1" customWidth="1"/>
    <col min="55" max="55" width="11.85546875" bestFit="1" customWidth="1"/>
    <col min="56" max="57" width="10.85546875" bestFit="1" customWidth="1"/>
    <col min="58" max="58" width="11.85546875" bestFit="1" customWidth="1"/>
    <col min="59" max="64" width="10.85546875" bestFit="1" customWidth="1"/>
    <col min="65" max="81" width="11.85546875" bestFit="1" customWidth="1"/>
    <col min="82" max="82" width="21" bestFit="1" customWidth="1"/>
    <col min="83" max="87" width="9.28515625" bestFit="1" customWidth="1"/>
    <col min="88" max="89" width="10.85546875" bestFit="1" customWidth="1"/>
    <col min="90" max="91" width="9.28515625" bestFit="1" customWidth="1"/>
    <col min="92" max="93" width="10.85546875" bestFit="1" customWidth="1"/>
    <col min="94" max="103" width="9.28515625" bestFit="1" customWidth="1"/>
    <col min="104" max="106" width="10.85546875" bestFit="1" customWidth="1"/>
    <col min="107" max="113" width="9.28515625" bestFit="1" customWidth="1"/>
    <col min="114" max="114" width="10.85546875" bestFit="1" customWidth="1"/>
    <col min="115" max="116" width="9.28515625" bestFit="1" customWidth="1"/>
    <col min="117" max="118" width="10.85546875" bestFit="1" customWidth="1"/>
    <col min="119" max="119" width="9.28515625" bestFit="1" customWidth="1"/>
    <col min="120" max="121" width="10.85546875" bestFit="1" customWidth="1"/>
    <col min="122" max="123" width="9.28515625" bestFit="1" customWidth="1"/>
    <col min="124" max="124" width="10.85546875" bestFit="1" customWidth="1"/>
    <col min="125" max="130" width="9.28515625" bestFit="1" customWidth="1"/>
    <col min="131" max="147" width="10.85546875" bestFit="1" customWidth="1"/>
    <col min="148" max="148" width="28.85546875" bestFit="1" customWidth="1"/>
    <col min="149" max="149" width="26.42578125" bestFit="1" customWidth="1"/>
  </cols>
  <sheetData>
    <row r="1" spans="1:18" x14ac:dyDescent="0.2">
      <c r="A1" s="22" t="s">
        <v>66</v>
      </c>
      <c r="B1" s="22" t="s">
        <v>19</v>
      </c>
      <c r="C1" s="22" t="s">
        <v>40</v>
      </c>
      <c r="D1" s="22" t="s">
        <v>41</v>
      </c>
      <c r="E1" s="22" t="s">
        <v>67</v>
      </c>
      <c r="F1" s="22" t="s">
        <v>55</v>
      </c>
      <c r="G1" s="23" t="s">
        <v>68</v>
      </c>
      <c r="H1" s="22" t="s">
        <v>44</v>
      </c>
      <c r="I1" s="23" t="s">
        <v>69</v>
      </c>
    </row>
    <row r="2" spans="1:18" x14ac:dyDescent="0.2">
      <c r="A2" s="1" t="s">
        <v>70</v>
      </c>
      <c r="B2" s="1" t="s">
        <v>34</v>
      </c>
      <c r="C2" s="1" t="s">
        <v>46</v>
      </c>
      <c r="D2" s="1" t="s">
        <v>47</v>
      </c>
      <c r="E2" s="1" t="s">
        <v>71</v>
      </c>
      <c r="F2" s="1" t="s">
        <v>72</v>
      </c>
      <c r="G2" s="24">
        <v>2300</v>
      </c>
      <c r="H2" s="1">
        <v>11432</v>
      </c>
      <c r="I2" s="24">
        <v>233</v>
      </c>
      <c r="O2" s="25" t="s">
        <v>83</v>
      </c>
      <c r="P2" t="s">
        <v>88</v>
      </c>
      <c r="Q2" t="s">
        <v>94</v>
      </c>
      <c r="R2" t="s">
        <v>95</v>
      </c>
    </row>
    <row r="3" spans="1:18" x14ac:dyDescent="0.2">
      <c r="A3" s="1" t="s">
        <v>70</v>
      </c>
      <c r="B3" s="1" t="s">
        <v>34</v>
      </c>
      <c r="C3" s="1" t="s">
        <v>46</v>
      </c>
      <c r="D3" s="1" t="s">
        <v>47</v>
      </c>
      <c r="E3" s="1" t="s">
        <v>73</v>
      </c>
      <c r="F3" s="1" t="s">
        <v>74</v>
      </c>
      <c r="G3" s="24">
        <v>7000</v>
      </c>
      <c r="H3" s="1">
        <v>9883</v>
      </c>
      <c r="I3" s="24">
        <v>565</v>
      </c>
      <c r="O3" s="26" t="s">
        <v>51</v>
      </c>
      <c r="P3" s="27">
        <v>375379</v>
      </c>
      <c r="Q3" s="14">
        <v>139996</v>
      </c>
      <c r="R3" s="14">
        <v>18630</v>
      </c>
    </row>
    <row r="4" spans="1:18" x14ac:dyDescent="0.2">
      <c r="A4" s="1" t="s">
        <v>70</v>
      </c>
      <c r="B4" s="1" t="s">
        <v>34</v>
      </c>
      <c r="C4" s="1" t="s">
        <v>50</v>
      </c>
      <c r="D4" s="1" t="s">
        <v>10</v>
      </c>
      <c r="E4" s="1" t="s">
        <v>71</v>
      </c>
      <c r="F4" s="1" t="s">
        <v>72</v>
      </c>
      <c r="G4" s="24">
        <v>2200</v>
      </c>
      <c r="H4" s="1">
        <v>11286</v>
      </c>
      <c r="I4" s="24">
        <v>333</v>
      </c>
      <c r="O4" s="28" t="s">
        <v>70</v>
      </c>
      <c r="P4" s="27">
        <v>81423</v>
      </c>
      <c r="Q4" s="14">
        <v>19168</v>
      </c>
      <c r="R4" s="14">
        <v>2797</v>
      </c>
    </row>
    <row r="5" spans="1:18" x14ac:dyDescent="0.2">
      <c r="A5" s="1" t="s">
        <v>70</v>
      </c>
      <c r="B5" s="1" t="s">
        <v>34</v>
      </c>
      <c r="C5" s="1" t="s">
        <v>50</v>
      </c>
      <c r="D5" s="1" t="s">
        <v>51</v>
      </c>
      <c r="E5" s="1" t="s">
        <v>73</v>
      </c>
      <c r="F5" s="1" t="s">
        <v>74</v>
      </c>
      <c r="G5" s="24">
        <v>2300</v>
      </c>
      <c r="H5" s="1">
        <v>3726</v>
      </c>
      <c r="I5" s="24">
        <v>544</v>
      </c>
      <c r="O5" s="30">
        <v>3476</v>
      </c>
      <c r="P5" s="27">
        <v>3476</v>
      </c>
      <c r="Q5" s="14">
        <v>2100</v>
      </c>
      <c r="R5" s="14">
        <v>678</v>
      </c>
    </row>
    <row r="6" spans="1:18" x14ac:dyDescent="0.2">
      <c r="A6" s="1" t="s">
        <v>70</v>
      </c>
      <c r="B6" s="1" t="s">
        <v>34</v>
      </c>
      <c r="C6" s="1" t="s">
        <v>50</v>
      </c>
      <c r="D6" s="1" t="s">
        <v>51</v>
      </c>
      <c r="E6" s="1" t="s">
        <v>71</v>
      </c>
      <c r="F6" s="1" t="s">
        <v>72</v>
      </c>
      <c r="G6" s="24">
        <v>4000</v>
      </c>
      <c r="H6" s="1">
        <v>18318</v>
      </c>
      <c r="I6" s="24">
        <v>443</v>
      </c>
      <c r="O6" s="30">
        <v>3726</v>
      </c>
      <c r="P6" s="27">
        <v>3726</v>
      </c>
      <c r="Q6" s="14">
        <v>2300</v>
      </c>
      <c r="R6" s="14">
        <v>544</v>
      </c>
    </row>
    <row r="7" spans="1:18" x14ac:dyDescent="0.2">
      <c r="A7" s="1" t="s">
        <v>70</v>
      </c>
      <c r="B7" s="1" t="s">
        <v>34</v>
      </c>
      <c r="C7" s="1" t="s">
        <v>50</v>
      </c>
      <c r="D7" s="1" t="s">
        <v>10</v>
      </c>
      <c r="E7" s="1" t="s">
        <v>75</v>
      </c>
      <c r="F7" s="1" t="s">
        <v>72</v>
      </c>
      <c r="G7" s="24">
        <v>3000</v>
      </c>
      <c r="H7" s="1">
        <v>17100</v>
      </c>
      <c r="I7" s="24">
        <v>554</v>
      </c>
      <c r="O7" s="30">
        <v>18318</v>
      </c>
      <c r="P7" s="27">
        <v>18318</v>
      </c>
      <c r="Q7" s="14">
        <v>4000</v>
      </c>
      <c r="R7" s="14">
        <v>443</v>
      </c>
    </row>
    <row r="8" spans="1:18" x14ac:dyDescent="0.2">
      <c r="A8" s="1" t="s">
        <v>70</v>
      </c>
      <c r="B8" s="1" t="s">
        <v>34</v>
      </c>
      <c r="C8" s="1" t="s">
        <v>46</v>
      </c>
      <c r="D8" s="1" t="s">
        <v>76</v>
      </c>
      <c r="E8" s="1" t="s">
        <v>75</v>
      </c>
      <c r="F8" s="1" t="s">
        <v>72</v>
      </c>
      <c r="G8" s="24">
        <v>3200</v>
      </c>
      <c r="H8" s="1">
        <v>16866</v>
      </c>
      <c r="I8" s="24">
        <v>655</v>
      </c>
      <c r="O8" s="30">
        <v>23241</v>
      </c>
      <c r="P8" s="27">
        <v>23241</v>
      </c>
      <c r="Q8" s="14">
        <v>4532</v>
      </c>
      <c r="R8" s="14">
        <v>677</v>
      </c>
    </row>
    <row r="9" spans="1:18" x14ac:dyDescent="0.2">
      <c r="A9" s="1" t="s">
        <v>70</v>
      </c>
      <c r="B9" s="1" t="s">
        <v>35</v>
      </c>
      <c r="C9" s="1" t="s">
        <v>50</v>
      </c>
      <c r="D9" s="1" t="s">
        <v>10</v>
      </c>
      <c r="E9" s="1" t="s">
        <v>75</v>
      </c>
      <c r="F9" s="1" t="s">
        <v>72</v>
      </c>
      <c r="G9" s="24">
        <v>2000</v>
      </c>
      <c r="H9" s="1">
        <v>10528</v>
      </c>
      <c r="I9" s="24">
        <v>566</v>
      </c>
      <c r="O9" s="30">
        <v>32662</v>
      </c>
      <c r="P9" s="27">
        <v>32662</v>
      </c>
      <c r="Q9" s="14">
        <v>6236</v>
      </c>
      <c r="R9" s="14">
        <v>455</v>
      </c>
    </row>
    <row r="10" spans="1:18" x14ac:dyDescent="0.2">
      <c r="A10" s="1" t="s">
        <v>70</v>
      </c>
      <c r="B10" s="1" t="s">
        <v>35</v>
      </c>
      <c r="C10" s="1" t="s">
        <v>46</v>
      </c>
      <c r="D10" s="1" t="s">
        <v>47</v>
      </c>
      <c r="E10" s="1" t="s">
        <v>73</v>
      </c>
      <c r="F10" s="1" t="s">
        <v>74</v>
      </c>
      <c r="G10" s="24">
        <v>4000</v>
      </c>
      <c r="H10" s="1">
        <v>6129</v>
      </c>
      <c r="I10" s="24">
        <v>556</v>
      </c>
      <c r="O10" s="28" t="s">
        <v>79</v>
      </c>
      <c r="P10" s="27">
        <v>96435</v>
      </c>
      <c r="Q10" s="14">
        <v>47896</v>
      </c>
      <c r="R10" s="14">
        <v>6408</v>
      </c>
    </row>
    <row r="11" spans="1:18" x14ac:dyDescent="0.2">
      <c r="A11" s="1" t="s">
        <v>70</v>
      </c>
      <c r="B11" s="1" t="s">
        <v>35</v>
      </c>
      <c r="C11" s="1" t="s">
        <v>46</v>
      </c>
      <c r="D11" s="1" t="s">
        <v>47</v>
      </c>
      <c r="E11" s="1" t="s">
        <v>77</v>
      </c>
      <c r="F11" s="1" t="s">
        <v>72</v>
      </c>
      <c r="G11" s="24">
        <v>13980</v>
      </c>
      <c r="H11" s="1">
        <v>54823</v>
      </c>
      <c r="I11" s="24">
        <v>1677</v>
      </c>
      <c r="O11" s="30">
        <v>4223</v>
      </c>
      <c r="P11" s="27">
        <v>4223</v>
      </c>
      <c r="Q11" s="14">
        <v>22111</v>
      </c>
      <c r="R11" s="14">
        <v>2333</v>
      </c>
    </row>
    <row r="12" spans="1:18" x14ac:dyDescent="0.2">
      <c r="A12" s="1" t="s">
        <v>70</v>
      </c>
      <c r="B12" s="1" t="s">
        <v>35</v>
      </c>
      <c r="C12" s="1" t="s">
        <v>46</v>
      </c>
      <c r="D12" s="1" t="s">
        <v>76</v>
      </c>
      <c r="E12" s="1" t="s">
        <v>77</v>
      </c>
      <c r="F12" s="1" t="s">
        <v>74</v>
      </c>
      <c r="G12" s="24">
        <v>12300</v>
      </c>
      <c r="H12" s="1">
        <v>48235</v>
      </c>
      <c r="I12" s="24">
        <v>1344</v>
      </c>
      <c r="O12" s="30">
        <v>11576</v>
      </c>
      <c r="P12" s="27">
        <v>11576</v>
      </c>
      <c r="Q12" s="14">
        <v>7119</v>
      </c>
      <c r="R12" s="14">
        <v>1877</v>
      </c>
    </row>
    <row r="13" spans="1:18" x14ac:dyDescent="0.2">
      <c r="A13" s="1" t="s">
        <v>70</v>
      </c>
      <c r="B13" s="1" t="s">
        <v>35</v>
      </c>
      <c r="C13" s="1" t="s">
        <v>50</v>
      </c>
      <c r="D13" s="1" t="s">
        <v>51</v>
      </c>
      <c r="E13" s="1" t="s">
        <v>73</v>
      </c>
      <c r="F13" s="1" t="s">
        <v>72</v>
      </c>
      <c r="G13" s="24">
        <v>2100</v>
      </c>
      <c r="H13" s="1">
        <v>3476</v>
      </c>
      <c r="I13" s="24">
        <v>678</v>
      </c>
      <c r="O13" s="30">
        <v>32363</v>
      </c>
      <c r="P13" s="27">
        <v>32363</v>
      </c>
      <c r="Q13" s="14">
        <v>6321</v>
      </c>
      <c r="R13" s="14">
        <v>654</v>
      </c>
    </row>
    <row r="14" spans="1:18" x14ac:dyDescent="0.2">
      <c r="A14" s="1" t="s">
        <v>70</v>
      </c>
      <c r="B14" s="1" t="s">
        <v>35</v>
      </c>
      <c r="C14" s="1" t="s">
        <v>50</v>
      </c>
      <c r="D14" s="1" t="s">
        <v>51</v>
      </c>
      <c r="E14" s="1" t="s">
        <v>75</v>
      </c>
      <c r="F14" s="1" t="s">
        <v>74</v>
      </c>
      <c r="G14" s="24">
        <v>6236</v>
      </c>
      <c r="H14" s="1">
        <v>32662</v>
      </c>
      <c r="I14" s="24">
        <v>455</v>
      </c>
      <c r="O14" s="30">
        <v>48273</v>
      </c>
      <c r="P14" s="27">
        <v>48273</v>
      </c>
      <c r="Q14" s="14">
        <v>12345</v>
      </c>
      <c r="R14" s="14">
        <v>1544</v>
      </c>
    </row>
    <row r="15" spans="1:18" x14ac:dyDescent="0.2">
      <c r="A15" s="1" t="s">
        <v>70</v>
      </c>
      <c r="B15" s="1" t="s">
        <v>36</v>
      </c>
      <c r="C15" s="1" t="s">
        <v>50</v>
      </c>
      <c r="D15" s="1" t="s">
        <v>51</v>
      </c>
      <c r="E15" s="1" t="s">
        <v>71</v>
      </c>
      <c r="F15" s="1" t="s">
        <v>72</v>
      </c>
      <c r="G15" s="24">
        <v>4532</v>
      </c>
      <c r="H15" s="1">
        <v>23241</v>
      </c>
      <c r="I15" s="24">
        <v>677</v>
      </c>
      <c r="O15" s="28" t="s">
        <v>81</v>
      </c>
      <c r="P15" s="27">
        <v>89656</v>
      </c>
      <c r="Q15" s="14">
        <v>20896</v>
      </c>
      <c r="R15" s="14">
        <v>3117</v>
      </c>
    </row>
    <row r="16" spans="1:18" x14ac:dyDescent="0.2">
      <c r="A16" s="1" t="s">
        <v>70</v>
      </c>
      <c r="B16" s="1" t="s">
        <v>36</v>
      </c>
      <c r="C16" s="1" t="s">
        <v>50</v>
      </c>
      <c r="D16" s="1" t="s">
        <v>10</v>
      </c>
      <c r="E16" s="1" t="s">
        <v>77</v>
      </c>
      <c r="F16" s="1" t="s">
        <v>78</v>
      </c>
      <c r="G16" s="24">
        <v>5211</v>
      </c>
      <c r="H16" s="1">
        <v>20438</v>
      </c>
      <c r="I16" s="24">
        <v>566</v>
      </c>
      <c r="O16" s="30">
        <v>4323</v>
      </c>
      <c r="P16" s="27">
        <v>4323</v>
      </c>
      <c r="Q16" s="14">
        <v>2612</v>
      </c>
      <c r="R16" s="14">
        <v>765</v>
      </c>
    </row>
    <row r="17" spans="1:18" x14ac:dyDescent="0.2">
      <c r="A17" s="1" t="s">
        <v>70</v>
      </c>
      <c r="B17" s="1" t="s">
        <v>36</v>
      </c>
      <c r="C17" s="1" t="s">
        <v>50</v>
      </c>
      <c r="D17" s="1" t="s">
        <v>10</v>
      </c>
      <c r="E17" s="1" t="s">
        <v>71</v>
      </c>
      <c r="F17" s="1" t="s">
        <v>78</v>
      </c>
      <c r="G17" s="24">
        <v>1654</v>
      </c>
      <c r="H17" s="1">
        <v>8529</v>
      </c>
      <c r="I17" s="24">
        <v>156</v>
      </c>
      <c r="O17" s="30">
        <v>4444</v>
      </c>
      <c r="P17" s="27">
        <v>4444</v>
      </c>
      <c r="Q17" s="14">
        <v>2600</v>
      </c>
      <c r="R17" s="14">
        <v>577</v>
      </c>
    </row>
    <row r="18" spans="1:18" x14ac:dyDescent="0.2">
      <c r="A18" s="1" t="s">
        <v>70</v>
      </c>
      <c r="B18" s="1" t="s">
        <v>36</v>
      </c>
      <c r="C18" s="1" t="s">
        <v>50</v>
      </c>
      <c r="D18" s="1" t="s">
        <v>10</v>
      </c>
      <c r="E18" s="1" t="s">
        <v>73</v>
      </c>
      <c r="F18" s="1" t="s">
        <v>78</v>
      </c>
      <c r="G18" s="24">
        <v>2122</v>
      </c>
      <c r="H18" s="1">
        <v>3242</v>
      </c>
      <c r="I18" s="24">
        <v>567</v>
      </c>
      <c r="O18" s="30">
        <v>23333</v>
      </c>
      <c r="P18" s="27">
        <v>46666</v>
      </c>
      <c r="Q18" s="14">
        <v>9150</v>
      </c>
      <c r="R18" s="14">
        <v>1308</v>
      </c>
    </row>
    <row r="19" spans="1:18" x14ac:dyDescent="0.2">
      <c r="A19" s="1" t="s">
        <v>70</v>
      </c>
      <c r="B19" s="1" t="s">
        <v>36</v>
      </c>
      <c r="C19" s="1" t="s">
        <v>46</v>
      </c>
      <c r="D19" s="1" t="s">
        <v>47</v>
      </c>
      <c r="E19" s="1" t="s">
        <v>71</v>
      </c>
      <c r="F19" s="1" t="s">
        <v>72</v>
      </c>
      <c r="G19" s="24">
        <v>4211</v>
      </c>
      <c r="H19" s="1">
        <v>21741</v>
      </c>
      <c r="I19" s="24">
        <v>677</v>
      </c>
      <c r="O19" s="30">
        <v>34223</v>
      </c>
      <c r="P19" s="27">
        <v>34223</v>
      </c>
      <c r="Q19" s="14">
        <v>6534</v>
      </c>
      <c r="R19" s="14">
        <v>467</v>
      </c>
    </row>
    <row r="20" spans="1:18" x14ac:dyDescent="0.2">
      <c r="A20" s="1" t="s">
        <v>70</v>
      </c>
      <c r="B20" s="1" t="s">
        <v>36</v>
      </c>
      <c r="C20" s="1" t="s">
        <v>46</v>
      </c>
      <c r="D20" s="1" t="s">
        <v>47</v>
      </c>
      <c r="E20" s="1" t="s">
        <v>77</v>
      </c>
      <c r="F20" s="1" t="s">
        <v>74</v>
      </c>
      <c r="G20" s="24">
        <v>8321</v>
      </c>
      <c r="H20" s="1">
        <v>32660</v>
      </c>
      <c r="I20" s="24">
        <v>876</v>
      </c>
      <c r="O20" s="28" t="s">
        <v>82</v>
      </c>
      <c r="P20" s="27">
        <v>107865</v>
      </c>
      <c r="Q20" s="14">
        <v>52036</v>
      </c>
      <c r="R20" s="14">
        <v>6308</v>
      </c>
    </row>
    <row r="21" spans="1:18" x14ac:dyDescent="0.2">
      <c r="A21" s="1" t="s">
        <v>70</v>
      </c>
      <c r="B21" s="1" t="s">
        <v>36</v>
      </c>
      <c r="C21" s="1" t="s">
        <v>46</v>
      </c>
      <c r="D21" s="1" t="s">
        <v>76</v>
      </c>
      <c r="E21" s="1" t="s">
        <v>73</v>
      </c>
      <c r="F21" s="1" t="s">
        <v>72</v>
      </c>
      <c r="G21" s="24">
        <v>25322</v>
      </c>
      <c r="H21" s="1">
        <v>42265</v>
      </c>
      <c r="I21" s="24">
        <v>6789</v>
      </c>
      <c r="O21" s="30">
        <v>4454</v>
      </c>
      <c r="P21" s="27">
        <v>4454</v>
      </c>
      <c r="Q21" s="14">
        <v>23322</v>
      </c>
      <c r="R21" s="14">
        <v>2100</v>
      </c>
    </row>
    <row r="22" spans="1:18" x14ac:dyDescent="0.2">
      <c r="A22" s="1" t="s">
        <v>70</v>
      </c>
      <c r="B22" s="1" t="s">
        <v>36</v>
      </c>
      <c r="C22" s="1" t="s">
        <v>46</v>
      </c>
      <c r="D22" s="1" t="s">
        <v>76</v>
      </c>
      <c r="E22" s="1" t="s">
        <v>71</v>
      </c>
      <c r="F22" s="1" t="s">
        <v>74</v>
      </c>
      <c r="G22" s="24">
        <v>5321</v>
      </c>
      <c r="H22" s="1">
        <v>28847</v>
      </c>
      <c r="I22" s="24">
        <v>765</v>
      </c>
      <c r="O22" s="30">
        <v>12122</v>
      </c>
      <c r="P22" s="27">
        <v>12122</v>
      </c>
      <c r="Q22" s="14">
        <v>7455</v>
      </c>
      <c r="R22" s="14">
        <v>1765</v>
      </c>
    </row>
    <row r="23" spans="1:18" x14ac:dyDescent="0.2">
      <c r="A23" s="1" t="s">
        <v>70</v>
      </c>
      <c r="B23" s="1" t="s">
        <v>36</v>
      </c>
      <c r="C23" s="1" t="s">
        <v>46</v>
      </c>
      <c r="D23" s="1" t="s">
        <v>76</v>
      </c>
      <c r="E23" s="1" t="s">
        <v>77</v>
      </c>
      <c r="F23" s="1" t="s">
        <v>78</v>
      </c>
      <c r="G23" s="24">
        <v>12435</v>
      </c>
      <c r="H23" s="1">
        <v>48747</v>
      </c>
      <c r="I23" s="24">
        <v>1233</v>
      </c>
      <c r="O23" s="30">
        <v>34534</v>
      </c>
      <c r="P23" s="27">
        <v>34534</v>
      </c>
      <c r="Q23" s="14">
        <v>6745</v>
      </c>
      <c r="R23" s="14">
        <v>765</v>
      </c>
    </row>
    <row r="24" spans="1:18" x14ac:dyDescent="0.2">
      <c r="A24" s="1" t="s">
        <v>79</v>
      </c>
      <c r="B24" s="1" t="s">
        <v>37</v>
      </c>
      <c r="C24" s="1" t="s">
        <v>50</v>
      </c>
      <c r="D24" s="1" t="s">
        <v>10</v>
      </c>
      <c r="E24" s="1" t="s">
        <v>73</v>
      </c>
      <c r="F24" s="1" t="s">
        <v>72</v>
      </c>
      <c r="G24" s="24">
        <v>2432</v>
      </c>
      <c r="H24" s="1">
        <v>4054</v>
      </c>
      <c r="I24" s="24">
        <v>544</v>
      </c>
      <c r="O24" s="30">
        <v>56755</v>
      </c>
      <c r="P24" s="27">
        <v>56755</v>
      </c>
      <c r="Q24" s="14">
        <v>14514</v>
      </c>
      <c r="R24" s="14">
        <v>1678</v>
      </c>
    </row>
    <row r="25" spans="1:18" x14ac:dyDescent="0.2">
      <c r="A25" s="1" t="s">
        <v>79</v>
      </c>
      <c r="B25" s="1" t="s">
        <v>37</v>
      </c>
      <c r="C25" s="1" t="s">
        <v>50</v>
      </c>
      <c r="D25" s="1" t="s">
        <v>10</v>
      </c>
      <c r="E25" s="1" t="s">
        <v>77</v>
      </c>
      <c r="F25" s="1" t="s">
        <v>78</v>
      </c>
      <c r="G25" s="24">
        <v>12345</v>
      </c>
      <c r="H25" s="1">
        <v>48351</v>
      </c>
      <c r="I25" s="24">
        <v>1133</v>
      </c>
      <c r="O25" s="26" t="s">
        <v>76</v>
      </c>
      <c r="P25" s="27">
        <v>533190</v>
      </c>
      <c r="Q25" s="14">
        <v>181185</v>
      </c>
      <c r="R25" s="14">
        <v>34533</v>
      </c>
    </row>
    <row r="26" spans="1:18" x14ac:dyDescent="0.2">
      <c r="A26" s="1" t="s">
        <v>79</v>
      </c>
      <c r="B26" s="1" t="s">
        <v>37</v>
      </c>
      <c r="C26" s="1" t="s">
        <v>50</v>
      </c>
      <c r="D26" s="1" t="s">
        <v>10</v>
      </c>
      <c r="E26" s="1" t="s">
        <v>71</v>
      </c>
      <c r="F26" s="1" t="s">
        <v>74</v>
      </c>
      <c r="G26" s="24">
        <v>6432</v>
      </c>
      <c r="H26" s="1">
        <v>32965</v>
      </c>
      <c r="I26" s="24">
        <v>566</v>
      </c>
      <c r="O26" s="28" t="s">
        <v>70</v>
      </c>
      <c r="P26" s="27">
        <v>184960</v>
      </c>
      <c r="Q26" s="14">
        <v>58578</v>
      </c>
      <c r="R26" s="14">
        <v>10786</v>
      </c>
    </row>
    <row r="27" spans="1:18" x14ac:dyDescent="0.2">
      <c r="A27" s="1" t="s">
        <v>79</v>
      </c>
      <c r="B27" s="1" t="s">
        <v>37</v>
      </c>
      <c r="C27" s="1" t="s">
        <v>46</v>
      </c>
      <c r="D27" s="1" t="s">
        <v>47</v>
      </c>
      <c r="E27" s="1" t="s">
        <v>73</v>
      </c>
      <c r="F27" s="1" t="s">
        <v>74</v>
      </c>
      <c r="G27" s="24">
        <v>3211</v>
      </c>
      <c r="H27" s="1">
        <v>5274</v>
      </c>
      <c r="I27" s="24">
        <v>988</v>
      </c>
      <c r="O27" s="30">
        <v>16866</v>
      </c>
      <c r="P27" s="27">
        <v>16866</v>
      </c>
      <c r="Q27" s="14">
        <v>3200</v>
      </c>
      <c r="R27" s="14">
        <v>655</v>
      </c>
    </row>
    <row r="28" spans="1:18" x14ac:dyDescent="0.2">
      <c r="A28" s="1" t="s">
        <v>79</v>
      </c>
      <c r="B28" s="1" t="s">
        <v>37</v>
      </c>
      <c r="C28" s="1" t="s">
        <v>46</v>
      </c>
      <c r="D28" s="1" t="s">
        <v>47</v>
      </c>
      <c r="E28" s="1" t="s">
        <v>77</v>
      </c>
      <c r="F28" s="1" t="s">
        <v>72</v>
      </c>
      <c r="G28" s="24">
        <v>11234</v>
      </c>
      <c r="H28" s="1">
        <v>42275</v>
      </c>
      <c r="I28" s="24">
        <v>1222</v>
      </c>
      <c r="O28" s="30">
        <v>28847</v>
      </c>
      <c r="P28" s="27">
        <v>28847</v>
      </c>
      <c r="Q28" s="14">
        <v>5321</v>
      </c>
      <c r="R28" s="14">
        <v>765</v>
      </c>
    </row>
    <row r="29" spans="1:18" x14ac:dyDescent="0.2">
      <c r="A29" s="1" t="s">
        <v>79</v>
      </c>
      <c r="B29" s="1" t="s">
        <v>37</v>
      </c>
      <c r="C29" s="1" t="s">
        <v>46</v>
      </c>
      <c r="D29" s="1" t="s">
        <v>76</v>
      </c>
      <c r="E29" s="1" t="s">
        <v>73</v>
      </c>
      <c r="F29" s="1" t="s">
        <v>78</v>
      </c>
      <c r="G29" s="24">
        <v>19233</v>
      </c>
      <c r="H29" s="1">
        <v>32065</v>
      </c>
      <c r="I29" s="24">
        <v>4566</v>
      </c>
      <c r="O29" s="30">
        <v>42265</v>
      </c>
      <c r="P29" s="27">
        <v>42265</v>
      </c>
      <c r="Q29" s="14">
        <v>25322</v>
      </c>
      <c r="R29" s="14">
        <v>6789</v>
      </c>
    </row>
    <row r="30" spans="1:18" x14ac:dyDescent="0.2">
      <c r="A30" s="1" t="s">
        <v>79</v>
      </c>
      <c r="B30" s="1" t="s">
        <v>37</v>
      </c>
      <c r="C30" s="1" t="s">
        <v>46</v>
      </c>
      <c r="D30" s="1" t="s">
        <v>76</v>
      </c>
      <c r="E30" s="1" t="s">
        <v>77</v>
      </c>
      <c r="F30" s="1" t="s">
        <v>78</v>
      </c>
      <c r="G30" s="24">
        <v>10988</v>
      </c>
      <c r="H30" s="1">
        <v>42579</v>
      </c>
      <c r="I30" s="24">
        <v>1233</v>
      </c>
      <c r="O30" s="30">
        <v>48235</v>
      </c>
      <c r="P30" s="27">
        <v>48235</v>
      </c>
      <c r="Q30" s="14">
        <v>12300</v>
      </c>
      <c r="R30" s="14">
        <v>1344</v>
      </c>
    </row>
    <row r="31" spans="1:18" x14ac:dyDescent="0.2">
      <c r="A31" s="1" t="s">
        <v>79</v>
      </c>
      <c r="B31" s="1" t="s">
        <v>37</v>
      </c>
      <c r="C31" s="1" t="s">
        <v>46</v>
      </c>
      <c r="D31" s="1" t="s">
        <v>47</v>
      </c>
      <c r="E31" s="1" t="s">
        <v>71</v>
      </c>
      <c r="F31" s="1" t="s">
        <v>74</v>
      </c>
      <c r="G31" s="24">
        <v>6200</v>
      </c>
      <c r="H31" s="1">
        <v>31716</v>
      </c>
      <c r="I31" s="24">
        <v>567</v>
      </c>
      <c r="O31" s="30">
        <v>48747</v>
      </c>
      <c r="P31" s="27">
        <v>48747</v>
      </c>
      <c r="Q31" s="14">
        <v>12435</v>
      </c>
      <c r="R31" s="14">
        <v>1233</v>
      </c>
    </row>
    <row r="32" spans="1:18" x14ac:dyDescent="0.2">
      <c r="A32" s="1" t="s">
        <v>79</v>
      </c>
      <c r="B32" s="1" t="s">
        <v>37</v>
      </c>
      <c r="C32" s="1" t="s">
        <v>50</v>
      </c>
      <c r="D32" s="1" t="s">
        <v>51</v>
      </c>
      <c r="E32" s="1" t="s">
        <v>73</v>
      </c>
      <c r="F32" s="1" t="s">
        <v>72</v>
      </c>
      <c r="G32" s="24">
        <v>7119</v>
      </c>
      <c r="H32" s="1">
        <v>11576</v>
      </c>
      <c r="I32" s="24">
        <v>1877</v>
      </c>
      <c r="O32" s="28" t="s">
        <v>79</v>
      </c>
      <c r="P32" s="27">
        <v>78759</v>
      </c>
      <c r="Q32" s="14">
        <v>30432</v>
      </c>
      <c r="R32" s="14">
        <v>6253</v>
      </c>
    </row>
    <row r="33" spans="1:18" x14ac:dyDescent="0.2">
      <c r="A33" s="1" t="s">
        <v>79</v>
      </c>
      <c r="B33" s="1" t="s">
        <v>37</v>
      </c>
      <c r="C33" s="1" t="s">
        <v>50</v>
      </c>
      <c r="D33" s="1" t="s">
        <v>51</v>
      </c>
      <c r="E33" s="1" t="s">
        <v>77</v>
      </c>
      <c r="F33" s="1" t="s">
        <v>74</v>
      </c>
      <c r="G33" s="24">
        <v>12345</v>
      </c>
      <c r="H33" s="1">
        <v>48273</v>
      </c>
      <c r="I33" s="24">
        <v>1544</v>
      </c>
      <c r="O33" s="30">
        <v>4115</v>
      </c>
      <c r="P33" s="27">
        <v>4115</v>
      </c>
      <c r="Q33" s="14">
        <v>211</v>
      </c>
      <c r="R33" s="14">
        <v>454</v>
      </c>
    </row>
    <row r="34" spans="1:18" x14ac:dyDescent="0.2">
      <c r="A34" s="1" t="s">
        <v>79</v>
      </c>
      <c r="B34" s="1" t="s">
        <v>37</v>
      </c>
      <c r="C34" s="1" t="s">
        <v>50</v>
      </c>
      <c r="D34" s="1" t="s">
        <v>51</v>
      </c>
      <c r="E34" s="1" t="s">
        <v>71</v>
      </c>
      <c r="F34" s="1" t="s">
        <v>78</v>
      </c>
      <c r="G34" s="24">
        <v>6321</v>
      </c>
      <c r="H34" s="1">
        <v>32363</v>
      </c>
      <c r="I34" s="24">
        <v>654</v>
      </c>
      <c r="O34" s="30">
        <v>32065</v>
      </c>
      <c r="P34" s="27">
        <v>32065</v>
      </c>
      <c r="Q34" s="14">
        <v>19233</v>
      </c>
      <c r="R34" s="14">
        <v>4566</v>
      </c>
    </row>
    <row r="35" spans="1:18" x14ac:dyDescent="0.2">
      <c r="A35" s="1" t="s">
        <v>79</v>
      </c>
      <c r="B35" s="1" t="s">
        <v>38</v>
      </c>
      <c r="C35" s="1" t="s">
        <v>50</v>
      </c>
      <c r="D35" s="1" t="s">
        <v>10</v>
      </c>
      <c r="E35" s="1" t="s">
        <v>73</v>
      </c>
      <c r="F35" s="1" t="s">
        <v>78</v>
      </c>
      <c r="G35" s="24">
        <v>13222</v>
      </c>
      <c r="H35" s="1">
        <v>22831</v>
      </c>
      <c r="I35" s="24">
        <v>2988</v>
      </c>
      <c r="O35" s="30">
        <v>42579</v>
      </c>
      <c r="P35" s="27">
        <v>42579</v>
      </c>
      <c r="Q35" s="14">
        <v>10988</v>
      </c>
      <c r="R35" s="14">
        <v>1233</v>
      </c>
    </row>
    <row r="36" spans="1:18" x14ac:dyDescent="0.2">
      <c r="A36" s="1" t="s">
        <v>79</v>
      </c>
      <c r="B36" s="1" t="s">
        <v>38</v>
      </c>
      <c r="C36" s="1" t="s">
        <v>46</v>
      </c>
      <c r="D36" s="1" t="s">
        <v>47</v>
      </c>
      <c r="E36" s="1" t="s">
        <v>71</v>
      </c>
      <c r="F36" s="1" t="s">
        <v>74</v>
      </c>
      <c r="G36" s="24">
        <v>11234</v>
      </c>
      <c r="H36" s="1">
        <v>21156</v>
      </c>
      <c r="I36" s="24">
        <v>4555</v>
      </c>
      <c r="O36" s="28" t="s">
        <v>81</v>
      </c>
      <c r="P36" s="27">
        <v>184109</v>
      </c>
      <c r="Q36" s="14">
        <v>59353</v>
      </c>
      <c r="R36" s="14">
        <v>11151</v>
      </c>
    </row>
    <row r="37" spans="1:18" x14ac:dyDescent="0.2">
      <c r="A37" s="1" t="s">
        <v>79</v>
      </c>
      <c r="B37" s="1" t="s">
        <v>80</v>
      </c>
      <c r="C37" s="1" t="s">
        <v>50</v>
      </c>
      <c r="D37" s="1" t="s">
        <v>51</v>
      </c>
      <c r="E37" s="1" t="s">
        <v>73</v>
      </c>
      <c r="F37" s="1" t="s">
        <v>72</v>
      </c>
      <c r="G37" s="24">
        <v>22111</v>
      </c>
      <c r="H37" s="1">
        <v>4223</v>
      </c>
      <c r="I37" s="24">
        <v>2333</v>
      </c>
      <c r="O37" s="30">
        <v>12333</v>
      </c>
      <c r="P37" s="27">
        <v>12333</v>
      </c>
      <c r="Q37" s="14">
        <v>2340</v>
      </c>
      <c r="R37" s="14">
        <v>654</v>
      </c>
    </row>
    <row r="38" spans="1:18" x14ac:dyDescent="0.2">
      <c r="A38" s="1" t="s">
        <v>79</v>
      </c>
      <c r="B38" s="1" t="s">
        <v>80</v>
      </c>
      <c r="C38" s="1" t="s">
        <v>46</v>
      </c>
      <c r="D38" s="1" t="s">
        <v>76</v>
      </c>
      <c r="E38" s="1" t="s">
        <v>77</v>
      </c>
      <c r="F38" s="1" t="s">
        <v>72</v>
      </c>
      <c r="G38" s="24">
        <v>211</v>
      </c>
      <c r="H38" s="1">
        <v>4115</v>
      </c>
      <c r="I38" s="24">
        <v>454</v>
      </c>
      <c r="O38" s="30">
        <v>34534</v>
      </c>
      <c r="P38" s="27">
        <v>34534</v>
      </c>
      <c r="Q38" s="14">
        <v>6370</v>
      </c>
      <c r="R38" s="14">
        <v>854</v>
      </c>
    </row>
    <row r="39" spans="1:18" x14ac:dyDescent="0.2">
      <c r="A39" s="1" t="s">
        <v>79</v>
      </c>
      <c r="B39" s="1" t="s">
        <v>80</v>
      </c>
      <c r="C39" s="1" t="s">
        <v>46</v>
      </c>
      <c r="D39" s="1" t="s">
        <v>47</v>
      </c>
      <c r="E39" s="1" t="s">
        <v>77</v>
      </c>
      <c r="F39" s="1" t="s">
        <v>74</v>
      </c>
      <c r="G39" s="24">
        <v>213</v>
      </c>
      <c r="H39" s="1">
        <v>4137</v>
      </c>
      <c r="I39" s="24">
        <v>4545</v>
      </c>
      <c r="O39" s="30">
        <v>45333</v>
      </c>
      <c r="P39" s="27">
        <v>45333</v>
      </c>
      <c r="Q39" s="14">
        <v>11560</v>
      </c>
      <c r="R39" s="14">
        <v>1543</v>
      </c>
    </row>
    <row r="40" spans="1:18" x14ac:dyDescent="0.2">
      <c r="A40" s="1" t="s">
        <v>81</v>
      </c>
      <c r="B40" s="1" t="s">
        <v>34</v>
      </c>
      <c r="C40" s="1" t="s">
        <v>46</v>
      </c>
      <c r="D40" s="1" t="s">
        <v>47</v>
      </c>
      <c r="E40" s="1" t="s">
        <v>71</v>
      </c>
      <c r="F40" s="1" t="s">
        <v>72</v>
      </c>
      <c r="G40" s="24">
        <v>2400</v>
      </c>
      <c r="H40" s="1">
        <v>12333</v>
      </c>
      <c r="I40" s="24">
        <v>235</v>
      </c>
      <c r="O40" s="30">
        <v>45455</v>
      </c>
      <c r="P40" s="27">
        <v>45455</v>
      </c>
      <c r="Q40" s="14">
        <v>27233</v>
      </c>
      <c r="R40" s="14">
        <v>6890</v>
      </c>
    </row>
    <row r="41" spans="1:18" x14ac:dyDescent="0.2">
      <c r="A41" s="1" t="s">
        <v>81</v>
      </c>
      <c r="B41" s="1" t="s">
        <v>34</v>
      </c>
      <c r="C41" s="1" t="s">
        <v>46</v>
      </c>
      <c r="D41" s="1" t="s">
        <v>47</v>
      </c>
      <c r="E41" s="1" t="s">
        <v>73</v>
      </c>
      <c r="F41" s="1" t="s">
        <v>74</v>
      </c>
      <c r="G41" s="24">
        <v>7327</v>
      </c>
      <c r="H41" s="1">
        <v>12212</v>
      </c>
      <c r="I41" s="24">
        <v>654</v>
      </c>
      <c r="O41" s="30">
        <v>46454</v>
      </c>
      <c r="P41" s="27">
        <v>46454</v>
      </c>
      <c r="Q41" s="14">
        <v>11850</v>
      </c>
      <c r="R41" s="14">
        <v>1210</v>
      </c>
    </row>
    <row r="42" spans="1:18" x14ac:dyDescent="0.2">
      <c r="A42" s="1" t="s">
        <v>81</v>
      </c>
      <c r="B42" s="1" t="s">
        <v>34</v>
      </c>
      <c r="C42" s="1" t="s">
        <v>50</v>
      </c>
      <c r="D42" s="1" t="s">
        <v>10</v>
      </c>
      <c r="E42" s="1" t="s">
        <v>71</v>
      </c>
      <c r="F42" s="1" t="s">
        <v>72</v>
      </c>
      <c r="G42" s="24">
        <v>2402</v>
      </c>
      <c r="H42" s="1">
        <v>12322</v>
      </c>
      <c r="I42" s="24">
        <v>356</v>
      </c>
      <c r="O42" s="28" t="s">
        <v>82</v>
      </c>
      <c r="P42" s="27">
        <v>85362</v>
      </c>
      <c r="Q42" s="14">
        <v>32822</v>
      </c>
      <c r="R42" s="14">
        <v>6343</v>
      </c>
    </row>
    <row r="43" spans="1:18" x14ac:dyDescent="0.2">
      <c r="A43" s="1" t="s">
        <v>81</v>
      </c>
      <c r="B43" s="1" t="s">
        <v>34</v>
      </c>
      <c r="C43" s="1" t="s">
        <v>50</v>
      </c>
      <c r="D43" s="1" t="s">
        <v>51</v>
      </c>
      <c r="E43" s="1" t="s">
        <v>73</v>
      </c>
      <c r="F43" s="1" t="s">
        <v>74</v>
      </c>
      <c r="G43" s="24">
        <v>2600</v>
      </c>
      <c r="H43" s="1">
        <v>4444</v>
      </c>
      <c r="I43" s="24">
        <v>577</v>
      </c>
      <c r="O43" s="30">
        <v>4564</v>
      </c>
      <c r="P43" s="27">
        <v>4564</v>
      </c>
      <c r="Q43" s="14">
        <v>234</v>
      </c>
      <c r="R43" s="14">
        <v>432</v>
      </c>
    </row>
    <row r="44" spans="1:18" x14ac:dyDescent="0.2">
      <c r="A44" s="1" t="s">
        <v>81</v>
      </c>
      <c r="B44" s="1" t="s">
        <v>34</v>
      </c>
      <c r="C44" s="1" t="s">
        <v>50</v>
      </c>
      <c r="D44" s="1" t="s">
        <v>51</v>
      </c>
      <c r="E44" s="1" t="s">
        <v>71</v>
      </c>
      <c r="F44" s="1" t="s">
        <v>72</v>
      </c>
      <c r="G44" s="24">
        <v>4600</v>
      </c>
      <c r="H44" s="1">
        <v>23333</v>
      </c>
      <c r="I44" s="24">
        <v>543</v>
      </c>
      <c r="O44" s="30">
        <v>34344</v>
      </c>
      <c r="P44" s="27">
        <v>34344</v>
      </c>
      <c r="Q44" s="14">
        <v>20600</v>
      </c>
      <c r="R44" s="14">
        <v>4566</v>
      </c>
    </row>
    <row r="45" spans="1:18" x14ac:dyDescent="0.2">
      <c r="A45" s="1" t="s">
        <v>81</v>
      </c>
      <c r="B45" s="1" t="s">
        <v>34</v>
      </c>
      <c r="C45" s="1" t="s">
        <v>50</v>
      </c>
      <c r="D45" s="1" t="s">
        <v>10</v>
      </c>
      <c r="E45" s="1" t="s">
        <v>75</v>
      </c>
      <c r="F45" s="1" t="s">
        <v>72</v>
      </c>
      <c r="G45" s="24">
        <v>2360</v>
      </c>
      <c r="H45" s="1">
        <v>12455</v>
      </c>
      <c r="I45" s="24">
        <v>554</v>
      </c>
      <c r="O45" s="30">
        <v>46454</v>
      </c>
      <c r="P45" s="27">
        <v>46454</v>
      </c>
      <c r="Q45" s="14">
        <v>11988</v>
      </c>
      <c r="R45" s="14">
        <v>1345</v>
      </c>
    </row>
    <row r="46" spans="1:18" x14ac:dyDescent="0.2">
      <c r="A46" s="1" t="s">
        <v>81</v>
      </c>
      <c r="B46" s="1" t="s">
        <v>34</v>
      </c>
      <c r="C46" s="1" t="s">
        <v>46</v>
      </c>
      <c r="D46" s="1" t="s">
        <v>76</v>
      </c>
      <c r="E46" s="1" t="s">
        <v>75</v>
      </c>
      <c r="F46" s="1" t="s">
        <v>72</v>
      </c>
      <c r="G46" s="24">
        <v>2340</v>
      </c>
      <c r="H46" s="1">
        <v>12333</v>
      </c>
      <c r="I46" s="24">
        <v>654</v>
      </c>
      <c r="O46" s="26" t="s">
        <v>10</v>
      </c>
      <c r="P46" s="27">
        <v>357331</v>
      </c>
      <c r="Q46" s="14">
        <v>101482</v>
      </c>
      <c r="R46" s="14">
        <v>16044</v>
      </c>
    </row>
    <row r="47" spans="1:18" x14ac:dyDescent="0.2">
      <c r="A47" s="1" t="s">
        <v>81</v>
      </c>
      <c r="B47" s="1" t="s">
        <v>35</v>
      </c>
      <c r="C47" s="1" t="s">
        <v>50</v>
      </c>
      <c r="D47" s="1" t="s">
        <v>10</v>
      </c>
      <c r="E47" s="1" t="s">
        <v>75</v>
      </c>
      <c r="F47" s="1" t="s">
        <v>72</v>
      </c>
      <c r="G47" s="24">
        <v>2320</v>
      </c>
      <c r="H47" s="1">
        <v>12212</v>
      </c>
      <c r="I47" s="24">
        <v>510</v>
      </c>
      <c r="O47" s="28" t="s">
        <v>70</v>
      </c>
      <c r="P47" s="27">
        <v>71123</v>
      </c>
      <c r="Q47" s="14">
        <v>16187</v>
      </c>
      <c r="R47" s="14">
        <v>2742</v>
      </c>
    </row>
    <row r="48" spans="1:18" x14ac:dyDescent="0.2">
      <c r="A48" s="1" t="s">
        <v>81</v>
      </c>
      <c r="B48" s="1" t="s">
        <v>35</v>
      </c>
      <c r="C48" s="1" t="s">
        <v>46</v>
      </c>
      <c r="D48" s="1" t="s">
        <v>47</v>
      </c>
      <c r="E48" s="1" t="s">
        <v>73</v>
      </c>
      <c r="F48" s="1" t="s">
        <v>74</v>
      </c>
      <c r="G48" s="24">
        <v>3553</v>
      </c>
      <c r="H48" s="1">
        <v>5444</v>
      </c>
      <c r="I48" s="24">
        <v>590</v>
      </c>
      <c r="O48" s="30">
        <v>3242</v>
      </c>
      <c r="P48" s="27">
        <v>3242</v>
      </c>
      <c r="Q48" s="14">
        <v>2122</v>
      </c>
      <c r="R48" s="14">
        <v>567</v>
      </c>
    </row>
    <row r="49" spans="1:18" x14ac:dyDescent="0.2">
      <c r="A49" s="1" t="s">
        <v>81</v>
      </c>
      <c r="B49" s="1" t="s">
        <v>35</v>
      </c>
      <c r="C49" s="1" t="s">
        <v>46</v>
      </c>
      <c r="D49" s="1" t="s">
        <v>47</v>
      </c>
      <c r="E49" s="1" t="s">
        <v>77</v>
      </c>
      <c r="F49" s="1" t="s">
        <v>72</v>
      </c>
      <c r="G49" s="24">
        <v>14450</v>
      </c>
      <c r="H49" s="1">
        <v>56666</v>
      </c>
      <c r="I49" s="24">
        <v>1765</v>
      </c>
      <c r="O49" s="30">
        <v>8529</v>
      </c>
      <c r="P49" s="27">
        <v>8529</v>
      </c>
      <c r="Q49" s="14">
        <v>1654</v>
      </c>
      <c r="R49" s="14">
        <v>156</v>
      </c>
    </row>
    <row r="50" spans="1:18" x14ac:dyDescent="0.2">
      <c r="A50" s="1" t="s">
        <v>81</v>
      </c>
      <c r="B50" s="1" t="s">
        <v>35</v>
      </c>
      <c r="C50" s="1" t="s">
        <v>46</v>
      </c>
      <c r="D50" s="1" t="s">
        <v>76</v>
      </c>
      <c r="E50" s="1" t="s">
        <v>77</v>
      </c>
      <c r="F50" s="1" t="s">
        <v>74</v>
      </c>
      <c r="G50" s="24">
        <v>11560</v>
      </c>
      <c r="H50" s="1">
        <v>45333</v>
      </c>
      <c r="I50" s="24">
        <v>1543</v>
      </c>
      <c r="O50" s="30">
        <v>10528</v>
      </c>
      <c r="P50" s="27">
        <v>10528</v>
      </c>
      <c r="Q50" s="14">
        <v>2000</v>
      </c>
      <c r="R50" s="14">
        <v>566</v>
      </c>
    </row>
    <row r="51" spans="1:18" x14ac:dyDescent="0.2">
      <c r="A51" s="1" t="s">
        <v>81</v>
      </c>
      <c r="B51" s="1" t="s">
        <v>35</v>
      </c>
      <c r="C51" s="1" t="s">
        <v>50</v>
      </c>
      <c r="D51" s="1" t="s">
        <v>51</v>
      </c>
      <c r="E51" s="1" t="s">
        <v>73</v>
      </c>
      <c r="F51" s="1" t="s">
        <v>72</v>
      </c>
      <c r="G51" s="24">
        <v>2612</v>
      </c>
      <c r="H51" s="1">
        <v>4323</v>
      </c>
      <c r="I51" s="24">
        <v>765</v>
      </c>
      <c r="O51" s="30">
        <v>11286</v>
      </c>
      <c r="P51" s="27">
        <v>11286</v>
      </c>
      <c r="Q51" s="14">
        <v>2200</v>
      </c>
      <c r="R51" s="14">
        <v>333</v>
      </c>
    </row>
    <row r="52" spans="1:18" x14ac:dyDescent="0.2">
      <c r="A52" s="1" t="s">
        <v>81</v>
      </c>
      <c r="B52" s="1" t="s">
        <v>35</v>
      </c>
      <c r="C52" s="1" t="s">
        <v>50</v>
      </c>
      <c r="D52" s="1" t="s">
        <v>51</v>
      </c>
      <c r="E52" s="1" t="s">
        <v>75</v>
      </c>
      <c r="F52" s="1" t="s">
        <v>74</v>
      </c>
      <c r="G52" s="24">
        <v>6534</v>
      </c>
      <c r="H52" s="1">
        <v>34223</v>
      </c>
      <c r="I52" s="24">
        <v>467</v>
      </c>
      <c r="O52" s="30">
        <v>17100</v>
      </c>
      <c r="P52" s="27">
        <v>17100</v>
      </c>
      <c r="Q52" s="14">
        <v>3000</v>
      </c>
      <c r="R52" s="14">
        <v>554</v>
      </c>
    </row>
    <row r="53" spans="1:18" x14ac:dyDescent="0.2">
      <c r="A53" s="1" t="s">
        <v>81</v>
      </c>
      <c r="B53" s="1" t="s">
        <v>36</v>
      </c>
      <c r="C53" s="1" t="s">
        <v>50</v>
      </c>
      <c r="D53" s="1" t="s">
        <v>51</v>
      </c>
      <c r="E53" s="1" t="s">
        <v>71</v>
      </c>
      <c r="F53" s="1" t="s">
        <v>72</v>
      </c>
      <c r="G53" s="24">
        <v>4550</v>
      </c>
      <c r="H53" s="1">
        <v>23333</v>
      </c>
      <c r="I53" s="24">
        <v>765</v>
      </c>
      <c r="O53" s="30">
        <v>20438</v>
      </c>
      <c r="P53" s="27">
        <v>20438</v>
      </c>
      <c r="Q53" s="14">
        <v>5211</v>
      </c>
      <c r="R53" s="14">
        <v>566</v>
      </c>
    </row>
    <row r="54" spans="1:18" x14ac:dyDescent="0.2">
      <c r="A54" s="1" t="s">
        <v>81</v>
      </c>
      <c r="B54" s="1" t="s">
        <v>36</v>
      </c>
      <c r="C54" s="1" t="s">
        <v>50</v>
      </c>
      <c r="D54" s="1" t="s">
        <v>10</v>
      </c>
      <c r="E54" s="1" t="s">
        <v>77</v>
      </c>
      <c r="F54" s="1" t="s">
        <v>78</v>
      </c>
      <c r="G54" s="24">
        <v>5411</v>
      </c>
      <c r="H54" s="1">
        <v>21222</v>
      </c>
      <c r="I54" s="24">
        <v>654</v>
      </c>
      <c r="O54" s="28" t="s">
        <v>79</v>
      </c>
      <c r="P54" s="27">
        <v>108201</v>
      </c>
      <c r="Q54" s="14">
        <v>34431</v>
      </c>
      <c r="R54" s="14">
        <v>5231</v>
      </c>
    </row>
    <row r="55" spans="1:18" x14ac:dyDescent="0.2">
      <c r="A55" s="1" t="s">
        <v>81</v>
      </c>
      <c r="B55" s="1" t="s">
        <v>36</v>
      </c>
      <c r="C55" s="1" t="s">
        <v>50</v>
      </c>
      <c r="D55" s="1" t="s">
        <v>10</v>
      </c>
      <c r="E55" s="1" t="s">
        <v>71</v>
      </c>
      <c r="F55" s="1" t="s">
        <v>78</v>
      </c>
      <c r="G55" s="24">
        <v>1700</v>
      </c>
      <c r="H55" s="1">
        <v>8766</v>
      </c>
      <c r="I55" s="24">
        <v>167</v>
      </c>
      <c r="O55" s="30">
        <v>4054</v>
      </c>
      <c r="P55" s="27">
        <v>4054</v>
      </c>
      <c r="Q55" s="14">
        <v>2432</v>
      </c>
      <c r="R55" s="14">
        <v>544</v>
      </c>
    </row>
    <row r="56" spans="1:18" x14ac:dyDescent="0.2">
      <c r="A56" s="1" t="s">
        <v>81</v>
      </c>
      <c r="B56" s="1" t="s">
        <v>36</v>
      </c>
      <c r="C56" s="1" t="s">
        <v>50</v>
      </c>
      <c r="D56" s="1" t="s">
        <v>10</v>
      </c>
      <c r="E56" s="1" t="s">
        <v>73</v>
      </c>
      <c r="F56" s="1" t="s">
        <v>78</v>
      </c>
      <c r="G56" s="24">
        <v>2123</v>
      </c>
      <c r="H56" s="1">
        <v>3244</v>
      </c>
      <c r="I56" s="24">
        <v>567</v>
      </c>
      <c r="O56" s="30">
        <v>22831</v>
      </c>
      <c r="P56" s="27">
        <v>22831</v>
      </c>
      <c r="Q56" s="14">
        <v>13222</v>
      </c>
      <c r="R56" s="14">
        <v>2988</v>
      </c>
    </row>
    <row r="57" spans="1:18" x14ac:dyDescent="0.2">
      <c r="A57" s="1" t="s">
        <v>81</v>
      </c>
      <c r="B57" s="1" t="s">
        <v>36</v>
      </c>
      <c r="C57" s="1" t="s">
        <v>46</v>
      </c>
      <c r="D57" s="1" t="s">
        <v>47</v>
      </c>
      <c r="E57" s="1" t="s">
        <v>71</v>
      </c>
      <c r="F57" s="1" t="s">
        <v>72</v>
      </c>
      <c r="G57" s="24">
        <v>4500</v>
      </c>
      <c r="H57" s="1">
        <v>23233</v>
      </c>
      <c r="I57" s="24">
        <v>677</v>
      </c>
      <c r="O57" s="30">
        <v>32965</v>
      </c>
      <c r="P57" s="27">
        <v>32965</v>
      </c>
      <c r="Q57" s="14">
        <v>6432</v>
      </c>
      <c r="R57" s="14">
        <v>566</v>
      </c>
    </row>
    <row r="58" spans="1:18" x14ac:dyDescent="0.2">
      <c r="A58" s="1" t="s">
        <v>81</v>
      </c>
      <c r="B58" s="1" t="s">
        <v>36</v>
      </c>
      <c r="C58" s="1" t="s">
        <v>46</v>
      </c>
      <c r="D58" s="1" t="s">
        <v>47</v>
      </c>
      <c r="E58" s="1" t="s">
        <v>77</v>
      </c>
      <c r="F58" s="1" t="s">
        <v>74</v>
      </c>
      <c r="G58" s="24">
        <v>8750</v>
      </c>
      <c r="H58" s="1">
        <v>34344</v>
      </c>
      <c r="I58" s="24">
        <v>890</v>
      </c>
      <c r="O58" s="30">
        <v>48351</v>
      </c>
      <c r="P58" s="27">
        <v>48351</v>
      </c>
      <c r="Q58" s="14">
        <v>12345</v>
      </c>
      <c r="R58" s="14">
        <v>1133</v>
      </c>
    </row>
    <row r="59" spans="1:18" x14ac:dyDescent="0.2">
      <c r="A59" s="1" t="s">
        <v>81</v>
      </c>
      <c r="B59" s="1" t="s">
        <v>36</v>
      </c>
      <c r="C59" s="1" t="s">
        <v>46</v>
      </c>
      <c r="D59" s="1" t="s">
        <v>76</v>
      </c>
      <c r="E59" s="1" t="s">
        <v>73</v>
      </c>
      <c r="F59" s="1" t="s">
        <v>72</v>
      </c>
      <c r="G59" s="24">
        <v>27233</v>
      </c>
      <c r="H59" s="1">
        <v>45455</v>
      </c>
      <c r="I59" s="24">
        <v>6890</v>
      </c>
      <c r="O59" s="28" t="s">
        <v>81</v>
      </c>
      <c r="P59" s="27">
        <v>70221</v>
      </c>
      <c r="Q59" s="14">
        <v>16316</v>
      </c>
      <c r="R59" s="14">
        <v>2808</v>
      </c>
    </row>
    <row r="60" spans="1:18" x14ac:dyDescent="0.2">
      <c r="A60" s="1" t="s">
        <v>81</v>
      </c>
      <c r="B60" s="1" t="s">
        <v>36</v>
      </c>
      <c r="C60" s="1" t="s">
        <v>46</v>
      </c>
      <c r="D60" s="1" t="s">
        <v>76</v>
      </c>
      <c r="E60" s="1" t="s">
        <v>71</v>
      </c>
      <c r="F60" s="1" t="s">
        <v>74</v>
      </c>
      <c r="G60" s="24">
        <v>6370</v>
      </c>
      <c r="H60" s="1">
        <v>34534</v>
      </c>
      <c r="I60" s="24">
        <v>854</v>
      </c>
      <c r="O60" s="30">
        <v>3244</v>
      </c>
      <c r="P60" s="27">
        <v>3244</v>
      </c>
      <c r="Q60" s="14">
        <v>2123</v>
      </c>
      <c r="R60" s="14">
        <v>567</v>
      </c>
    </row>
    <row r="61" spans="1:18" x14ac:dyDescent="0.2">
      <c r="A61" s="1" t="s">
        <v>81</v>
      </c>
      <c r="B61" s="1" t="s">
        <v>36</v>
      </c>
      <c r="C61" s="1" t="s">
        <v>46</v>
      </c>
      <c r="D61" s="1" t="s">
        <v>76</v>
      </c>
      <c r="E61" s="1" t="s">
        <v>77</v>
      </c>
      <c r="F61" s="1" t="s">
        <v>78</v>
      </c>
      <c r="G61" s="24">
        <v>11850</v>
      </c>
      <c r="H61" s="1">
        <v>46454</v>
      </c>
      <c r="I61" s="24">
        <v>1210</v>
      </c>
      <c r="O61" s="30">
        <v>8766</v>
      </c>
      <c r="P61" s="27">
        <v>8766</v>
      </c>
      <c r="Q61" s="14">
        <v>1700</v>
      </c>
      <c r="R61" s="14">
        <v>167</v>
      </c>
    </row>
    <row r="62" spans="1:18" x14ac:dyDescent="0.2">
      <c r="A62" s="1" t="s">
        <v>82</v>
      </c>
      <c r="B62" s="1" t="s">
        <v>37</v>
      </c>
      <c r="C62" s="1" t="s">
        <v>50</v>
      </c>
      <c r="D62" s="1" t="s">
        <v>10</v>
      </c>
      <c r="E62" s="1" t="s">
        <v>73</v>
      </c>
      <c r="F62" s="1" t="s">
        <v>72</v>
      </c>
      <c r="G62" s="24">
        <v>2738</v>
      </c>
      <c r="H62" s="1">
        <v>4564</v>
      </c>
      <c r="I62" s="24">
        <v>543</v>
      </c>
      <c r="O62" s="30">
        <v>12212</v>
      </c>
      <c r="P62" s="27">
        <v>12212</v>
      </c>
      <c r="Q62" s="14">
        <v>2320</v>
      </c>
      <c r="R62" s="14">
        <v>510</v>
      </c>
    </row>
    <row r="63" spans="1:18" x14ac:dyDescent="0.2">
      <c r="A63" s="1" t="s">
        <v>82</v>
      </c>
      <c r="B63" s="1" t="s">
        <v>37</v>
      </c>
      <c r="C63" s="1" t="s">
        <v>50</v>
      </c>
      <c r="D63" s="1" t="s">
        <v>10</v>
      </c>
      <c r="E63" s="1" t="s">
        <v>77</v>
      </c>
      <c r="F63" s="1" t="s">
        <v>78</v>
      </c>
      <c r="G63" s="24">
        <v>11654</v>
      </c>
      <c r="H63" s="1">
        <v>45645</v>
      </c>
      <c r="I63" s="24">
        <v>1200</v>
      </c>
      <c r="O63" s="30">
        <v>12322</v>
      </c>
      <c r="P63" s="27">
        <v>12322</v>
      </c>
      <c r="Q63" s="14">
        <v>2402</v>
      </c>
      <c r="R63" s="14">
        <v>356</v>
      </c>
    </row>
    <row r="64" spans="1:18" x14ac:dyDescent="0.2">
      <c r="A64" s="1" t="s">
        <v>82</v>
      </c>
      <c r="B64" s="1" t="s">
        <v>37</v>
      </c>
      <c r="C64" s="1" t="s">
        <v>50</v>
      </c>
      <c r="D64" s="1" t="s">
        <v>10</v>
      </c>
      <c r="E64" s="1" t="s">
        <v>71</v>
      </c>
      <c r="F64" s="1" t="s">
        <v>74</v>
      </c>
      <c r="G64" s="24">
        <v>6701</v>
      </c>
      <c r="H64" s="1">
        <v>34344</v>
      </c>
      <c r="I64" s="24">
        <v>532</v>
      </c>
      <c r="O64" s="30">
        <v>12455</v>
      </c>
      <c r="P64" s="27">
        <v>12455</v>
      </c>
      <c r="Q64" s="14">
        <v>2360</v>
      </c>
      <c r="R64" s="14">
        <v>554</v>
      </c>
    </row>
    <row r="65" spans="1:18" x14ac:dyDescent="0.2">
      <c r="A65" s="1" t="s">
        <v>82</v>
      </c>
      <c r="B65" s="1" t="s">
        <v>37</v>
      </c>
      <c r="C65" s="1" t="s">
        <v>46</v>
      </c>
      <c r="D65" s="1" t="s">
        <v>47</v>
      </c>
      <c r="E65" s="1" t="s">
        <v>73</v>
      </c>
      <c r="F65" s="1" t="s">
        <v>74</v>
      </c>
      <c r="G65" s="24">
        <v>3456</v>
      </c>
      <c r="H65" s="1">
        <v>5676</v>
      </c>
      <c r="I65" s="24">
        <v>943</v>
      </c>
      <c r="O65" s="30">
        <v>21222</v>
      </c>
      <c r="P65" s="27">
        <v>21222</v>
      </c>
      <c r="Q65" s="14">
        <v>5411</v>
      </c>
      <c r="R65" s="14">
        <v>654</v>
      </c>
    </row>
    <row r="66" spans="1:18" x14ac:dyDescent="0.2">
      <c r="A66" s="1" t="s">
        <v>82</v>
      </c>
      <c r="B66" s="1" t="s">
        <v>37</v>
      </c>
      <c r="C66" s="1" t="s">
        <v>46</v>
      </c>
      <c r="D66" s="1" t="s">
        <v>47</v>
      </c>
      <c r="E66" s="1" t="s">
        <v>77</v>
      </c>
      <c r="F66" s="1" t="s">
        <v>72</v>
      </c>
      <c r="G66" s="24">
        <v>12345</v>
      </c>
      <c r="H66" s="1">
        <v>46456</v>
      </c>
      <c r="I66" s="24">
        <v>1211</v>
      </c>
      <c r="O66" s="28" t="s">
        <v>82</v>
      </c>
      <c r="P66" s="27">
        <v>107786</v>
      </c>
      <c r="Q66" s="14">
        <v>34548</v>
      </c>
      <c r="R66" s="14">
        <v>5263</v>
      </c>
    </row>
    <row r="67" spans="1:18" x14ac:dyDescent="0.2">
      <c r="A67" s="1" t="s">
        <v>82</v>
      </c>
      <c r="B67" s="1" t="s">
        <v>37</v>
      </c>
      <c r="C67" s="1" t="s">
        <v>46</v>
      </c>
      <c r="D67" s="1" t="s">
        <v>76</v>
      </c>
      <c r="E67" s="1" t="s">
        <v>73</v>
      </c>
      <c r="F67" s="1" t="s">
        <v>78</v>
      </c>
      <c r="G67" s="24">
        <v>20600</v>
      </c>
      <c r="H67" s="1">
        <v>34344</v>
      </c>
      <c r="I67" s="24">
        <v>4566</v>
      </c>
      <c r="O67" s="30">
        <v>4564</v>
      </c>
      <c r="P67" s="27">
        <v>4564</v>
      </c>
      <c r="Q67" s="14">
        <v>2738</v>
      </c>
      <c r="R67" s="14">
        <v>543</v>
      </c>
    </row>
    <row r="68" spans="1:18" x14ac:dyDescent="0.2">
      <c r="A68" s="1" t="s">
        <v>82</v>
      </c>
      <c r="B68" s="1" t="s">
        <v>37</v>
      </c>
      <c r="C68" s="1" t="s">
        <v>46</v>
      </c>
      <c r="D68" s="1" t="s">
        <v>76</v>
      </c>
      <c r="E68" s="1" t="s">
        <v>77</v>
      </c>
      <c r="F68" s="1" t="s">
        <v>78</v>
      </c>
      <c r="G68" s="24">
        <v>11988</v>
      </c>
      <c r="H68" s="1">
        <v>46454</v>
      </c>
      <c r="I68" s="24">
        <v>1345</v>
      </c>
      <c r="O68" s="30">
        <v>23233</v>
      </c>
      <c r="P68" s="27">
        <v>23233</v>
      </c>
      <c r="Q68" s="14">
        <v>13455</v>
      </c>
      <c r="R68" s="14">
        <v>2988</v>
      </c>
    </row>
    <row r="69" spans="1:18" x14ac:dyDescent="0.2">
      <c r="A69" s="1" t="s">
        <v>82</v>
      </c>
      <c r="B69" s="1" t="s">
        <v>37</v>
      </c>
      <c r="C69" s="1" t="s">
        <v>46</v>
      </c>
      <c r="D69" s="1" t="s">
        <v>47</v>
      </c>
      <c r="E69" s="1" t="s">
        <v>71</v>
      </c>
      <c r="F69" s="1" t="s">
        <v>74</v>
      </c>
      <c r="G69" s="24">
        <v>6301</v>
      </c>
      <c r="H69" s="1">
        <v>32233</v>
      </c>
      <c r="I69" s="24">
        <v>532</v>
      </c>
      <c r="O69" s="30">
        <v>34344</v>
      </c>
      <c r="P69" s="27">
        <v>34344</v>
      </c>
      <c r="Q69" s="14">
        <v>6701</v>
      </c>
      <c r="R69" s="14">
        <v>532</v>
      </c>
    </row>
    <row r="70" spans="1:18" x14ac:dyDescent="0.2">
      <c r="A70" s="1" t="s">
        <v>82</v>
      </c>
      <c r="B70" s="1" t="s">
        <v>37</v>
      </c>
      <c r="C70" s="1" t="s">
        <v>50</v>
      </c>
      <c r="D70" s="1" t="s">
        <v>51</v>
      </c>
      <c r="E70" s="1" t="s">
        <v>73</v>
      </c>
      <c r="F70" s="1" t="s">
        <v>72</v>
      </c>
      <c r="G70" s="24">
        <v>7455</v>
      </c>
      <c r="H70" s="1">
        <v>12122</v>
      </c>
      <c r="I70" s="24">
        <v>1765</v>
      </c>
      <c r="O70" s="30">
        <v>45645</v>
      </c>
      <c r="P70" s="27">
        <v>45645</v>
      </c>
      <c r="Q70" s="14">
        <v>11654</v>
      </c>
      <c r="R70" s="14">
        <v>1200</v>
      </c>
    </row>
    <row r="71" spans="1:18" x14ac:dyDescent="0.2">
      <c r="A71" s="1" t="s">
        <v>82</v>
      </c>
      <c r="B71" s="1" t="s">
        <v>37</v>
      </c>
      <c r="C71" s="1" t="s">
        <v>50</v>
      </c>
      <c r="D71" s="1" t="s">
        <v>51</v>
      </c>
      <c r="E71" s="1" t="s">
        <v>77</v>
      </c>
      <c r="F71" s="1" t="s">
        <v>74</v>
      </c>
      <c r="G71" s="24">
        <v>14514</v>
      </c>
      <c r="H71" s="1">
        <v>56755</v>
      </c>
      <c r="I71" s="24">
        <v>1678</v>
      </c>
      <c r="O71" s="26" t="s">
        <v>47</v>
      </c>
      <c r="P71" s="27">
        <v>497842</v>
      </c>
      <c r="Q71" s="14">
        <v>147676</v>
      </c>
      <c r="R71" s="14">
        <v>33314</v>
      </c>
    </row>
    <row r="72" spans="1:18" x14ac:dyDescent="0.2">
      <c r="A72" s="1" t="s">
        <v>82</v>
      </c>
      <c r="B72" s="1" t="s">
        <v>37</v>
      </c>
      <c r="C72" s="1" t="s">
        <v>50</v>
      </c>
      <c r="D72" s="1" t="s">
        <v>51</v>
      </c>
      <c r="E72" s="1" t="s">
        <v>71</v>
      </c>
      <c r="F72" s="1" t="s">
        <v>78</v>
      </c>
      <c r="G72" s="24">
        <v>6745</v>
      </c>
      <c r="H72" s="1">
        <v>34534</v>
      </c>
      <c r="I72" s="24">
        <v>765</v>
      </c>
      <c r="O72" s="28" t="s">
        <v>70</v>
      </c>
      <c r="P72" s="27">
        <v>136668</v>
      </c>
      <c r="Q72" s="14">
        <v>39812</v>
      </c>
      <c r="R72" s="14">
        <v>4584</v>
      </c>
    </row>
    <row r="73" spans="1:18" x14ac:dyDescent="0.2">
      <c r="A73" s="1" t="s">
        <v>82</v>
      </c>
      <c r="B73" s="1" t="s">
        <v>38</v>
      </c>
      <c r="C73" s="1" t="s">
        <v>50</v>
      </c>
      <c r="D73" s="1" t="s">
        <v>10</v>
      </c>
      <c r="E73" s="1" t="s">
        <v>73</v>
      </c>
      <c r="F73" s="1" t="s">
        <v>78</v>
      </c>
      <c r="G73" s="24">
        <v>13455</v>
      </c>
      <c r="H73" s="1">
        <v>23233</v>
      </c>
      <c r="I73" s="24">
        <v>2988</v>
      </c>
      <c r="O73" s="30">
        <v>6129</v>
      </c>
      <c r="P73" s="27">
        <v>6129</v>
      </c>
      <c r="Q73" s="14">
        <v>4000</v>
      </c>
      <c r="R73" s="14">
        <v>556</v>
      </c>
    </row>
    <row r="74" spans="1:18" x14ac:dyDescent="0.2">
      <c r="A74" s="1" t="s">
        <v>82</v>
      </c>
      <c r="B74" s="1" t="s">
        <v>38</v>
      </c>
      <c r="C74" s="1" t="s">
        <v>46</v>
      </c>
      <c r="D74" s="1" t="s">
        <v>47</v>
      </c>
      <c r="E74" s="1" t="s">
        <v>71</v>
      </c>
      <c r="F74" s="1" t="s">
        <v>74</v>
      </c>
      <c r="G74" s="24">
        <v>12455</v>
      </c>
      <c r="H74" s="1">
        <v>23455</v>
      </c>
      <c r="I74" s="24">
        <v>4678</v>
      </c>
      <c r="O74" s="30">
        <v>9883</v>
      </c>
      <c r="P74" s="27">
        <v>9883</v>
      </c>
      <c r="Q74" s="14">
        <v>7000</v>
      </c>
      <c r="R74" s="14">
        <v>565</v>
      </c>
    </row>
    <row r="75" spans="1:18" x14ac:dyDescent="0.2">
      <c r="A75" s="1" t="s">
        <v>82</v>
      </c>
      <c r="B75" s="1" t="s">
        <v>80</v>
      </c>
      <c r="C75" s="1" t="s">
        <v>50</v>
      </c>
      <c r="D75" s="1" t="s">
        <v>51</v>
      </c>
      <c r="E75" s="1" t="s">
        <v>73</v>
      </c>
      <c r="F75" s="1" t="s">
        <v>72</v>
      </c>
      <c r="G75" s="24">
        <v>23322</v>
      </c>
      <c r="H75" s="1">
        <v>4454</v>
      </c>
      <c r="I75" s="24">
        <v>2100</v>
      </c>
      <c r="O75" s="30">
        <v>11432</v>
      </c>
      <c r="P75" s="27">
        <v>11432</v>
      </c>
      <c r="Q75" s="14">
        <v>2300</v>
      </c>
      <c r="R75" s="14">
        <v>233</v>
      </c>
    </row>
    <row r="76" spans="1:18" x14ac:dyDescent="0.2">
      <c r="A76" s="1" t="s">
        <v>82</v>
      </c>
      <c r="B76" s="1" t="s">
        <v>80</v>
      </c>
      <c r="C76" s="1" t="s">
        <v>46</v>
      </c>
      <c r="D76" s="1" t="s">
        <v>76</v>
      </c>
      <c r="E76" s="1" t="s">
        <v>77</v>
      </c>
      <c r="F76" s="1" t="s">
        <v>72</v>
      </c>
      <c r="G76" s="24">
        <v>234</v>
      </c>
      <c r="H76" s="1">
        <v>4564</v>
      </c>
      <c r="I76" s="24">
        <v>432</v>
      </c>
      <c r="O76" s="30">
        <v>21741</v>
      </c>
      <c r="P76" s="27">
        <v>21741</v>
      </c>
      <c r="Q76" s="14">
        <v>4211</v>
      </c>
      <c r="R76" s="14">
        <v>677</v>
      </c>
    </row>
    <row r="77" spans="1:18" x14ac:dyDescent="0.2">
      <c r="A77" s="1" t="s">
        <v>82</v>
      </c>
      <c r="B77" s="1" t="s">
        <v>80</v>
      </c>
      <c r="C77" s="1" t="s">
        <v>46</v>
      </c>
      <c r="D77" s="1" t="s">
        <v>47</v>
      </c>
      <c r="E77" s="1" t="s">
        <v>77</v>
      </c>
      <c r="F77" s="1" t="s">
        <v>74</v>
      </c>
      <c r="G77" s="24">
        <v>235</v>
      </c>
      <c r="H77" s="1">
        <v>4564</v>
      </c>
      <c r="I77" s="24">
        <v>4678</v>
      </c>
      <c r="O77" s="30">
        <v>32660</v>
      </c>
      <c r="P77" s="27">
        <v>32660</v>
      </c>
      <c r="Q77" s="14">
        <v>8321</v>
      </c>
      <c r="R77" s="14">
        <v>876</v>
      </c>
    </row>
    <row r="78" spans="1:18" x14ac:dyDescent="0.2">
      <c r="O78" s="30">
        <v>54823</v>
      </c>
      <c r="P78" s="27">
        <v>54823</v>
      </c>
      <c r="Q78" s="14">
        <v>13980</v>
      </c>
      <c r="R78" s="14">
        <v>1677</v>
      </c>
    </row>
    <row r="79" spans="1:18" x14ac:dyDescent="0.2">
      <c r="O79" s="28" t="s">
        <v>79</v>
      </c>
      <c r="P79" s="27">
        <v>104558</v>
      </c>
      <c r="Q79" s="14">
        <v>32092</v>
      </c>
      <c r="R79" s="14">
        <v>11877</v>
      </c>
    </row>
    <row r="80" spans="1:18" x14ac:dyDescent="0.2">
      <c r="O80" s="30">
        <v>4137</v>
      </c>
      <c r="P80" s="27">
        <v>4137</v>
      </c>
      <c r="Q80" s="14">
        <v>213</v>
      </c>
      <c r="R80" s="14">
        <v>4545</v>
      </c>
    </row>
    <row r="81" spans="15:18" x14ac:dyDescent="0.2">
      <c r="O81" s="30">
        <v>5274</v>
      </c>
      <c r="P81" s="27">
        <v>5274</v>
      </c>
      <c r="Q81" s="14">
        <v>3211</v>
      </c>
      <c r="R81" s="14">
        <v>988</v>
      </c>
    </row>
    <row r="82" spans="15:18" x14ac:dyDescent="0.2">
      <c r="O82" s="30">
        <v>21156</v>
      </c>
      <c r="P82" s="27">
        <v>21156</v>
      </c>
      <c r="Q82" s="14">
        <v>11234</v>
      </c>
      <c r="R82" s="14">
        <v>4555</v>
      </c>
    </row>
    <row r="83" spans="15:18" x14ac:dyDescent="0.2">
      <c r="O83" s="30">
        <v>31716</v>
      </c>
      <c r="P83" s="27">
        <v>31716</v>
      </c>
      <c r="Q83" s="14">
        <v>6200</v>
      </c>
      <c r="R83" s="14">
        <v>567</v>
      </c>
    </row>
    <row r="84" spans="15:18" x14ac:dyDescent="0.2">
      <c r="O84" s="30">
        <v>42275</v>
      </c>
      <c r="P84" s="27">
        <v>42275</v>
      </c>
      <c r="Q84" s="14">
        <v>11234</v>
      </c>
      <c r="R84" s="14">
        <v>1222</v>
      </c>
    </row>
    <row r="85" spans="15:18" x14ac:dyDescent="0.2">
      <c r="O85" s="28" t="s">
        <v>81</v>
      </c>
      <c r="P85" s="27">
        <v>144232</v>
      </c>
      <c r="Q85" s="14">
        <v>40980</v>
      </c>
      <c r="R85" s="14">
        <v>4811</v>
      </c>
    </row>
    <row r="86" spans="15:18" x14ac:dyDescent="0.2">
      <c r="O86" s="30">
        <v>5444</v>
      </c>
      <c r="P86" s="27">
        <v>5444</v>
      </c>
      <c r="Q86" s="14">
        <v>3553</v>
      </c>
      <c r="R86" s="14">
        <v>590</v>
      </c>
    </row>
    <row r="87" spans="15:18" x14ac:dyDescent="0.2">
      <c r="O87" s="30">
        <v>12212</v>
      </c>
      <c r="P87" s="27">
        <v>12212</v>
      </c>
      <c r="Q87" s="14">
        <v>7327</v>
      </c>
      <c r="R87" s="14">
        <v>654</v>
      </c>
    </row>
    <row r="88" spans="15:18" x14ac:dyDescent="0.2">
      <c r="O88" s="30">
        <v>12333</v>
      </c>
      <c r="P88" s="27">
        <v>12333</v>
      </c>
      <c r="Q88" s="14">
        <v>2400</v>
      </c>
      <c r="R88" s="14">
        <v>235</v>
      </c>
    </row>
    <row r="89" spans="15:18" x14ac:dyDescent="0.2">
      <c r="O89" s="30">
        <v>23233</v>
      </c>
      <c r="P89" s="27">
        <v>23233</v>
      </c>
      <c r="Q89" s="14">
        <v>4500</v>
      </c>
      <c r="R89" s="14">
        <v>677</v>
      </c>
    </row>
    <row r="90" spans="15:18" x14ac:dyDescent="0.2">
      <c r="O90" s="30">
        <v>34344</v>
      </c>
      <c r="P90" s="27">
        <v>34344</v>
      </c>
      <c r="Q90" s="14">
        <v>8750</v>
      </c>
      <c r="R90" s="14">
        <v>890</v>
      </c>
    </row>
    <row r="91" spans="15:18" x14ac:dyDescent="0.2">
      <c r="O91" s="30">
        <v>56666</v>
      </c>
      <c r="P91" s="27">
        <v>56666</v>
      </c>
      <c r="Q91" s="14">
        <v>14450</v>
      </c>
      <c r="R91" s="14">
        <v>1765</v>
      </c>
    </row>
    <row r="92" spans="15:18" x14ac:dyDescent="0.2">
      <c r="O92" s="28" t="s">
        <v>82</v>
      </c>
      <c r="P92" s="27">
        <v>112384</v>
      </c>
      <c r="Q92" s="14">
        <v>34792</v>
      </c>
      <c r="R92" s="14">
        <v>12042</v>
      </c>
    </row>
    <row r="93" spans="15:18" x14ac:dyDescent="0.2">
      <c r="O93" s="30">
        <v>4564</v>
      </c>
      <c r="P93" s="27">
        <v>4564</v>
      </c>
      <c r="Q93" s="14">
        <v>235</v>
      </c>
      <c r="R93" s="14">
        <v>4678</v>
      </c>
    </row>
    <row r="94" spans="15:18" x14ac:dyDescent="0.2">
      <c r="O94" s="30">
        <v>5676</v>
      </c>
      <c r="P94" s="27">
        <v>5676</v>
      </c>
      <c r="Q94" s="14">
        <v>3456</v>
      </c>
      <c r="R94" s="14">
        <v>943</v>
      </c>
    </row>
    <row r="95" spans="15:18" x14ac:dyDescent="0.2">
      <c r="O95" s="30">
        <v>23455</v>
      </c>
      <c r="P95" s="27">
        <v>23455</v>
      </c>
      <c r="Q95" s="14">
        <v>12455</v>
      </c>
      <c r="R95" s="14">
        <v>4678</v>
      </c>
    </row>
    <row r="96" spans="15:18" x14ac:dyDescent="0.2">
      <c r="O96" s="30">
        <v>32233</v>
      </c>
      <c r="P96" s="27">
        <v>32233</v>
      </c>
      <c r="Q96" s="14">
        <v>6301</v>
      </c>
      <c r="R96" s="14">
        <v>532</v>
      </c>
    </row>
    <row r="97" spans="15:18" x14ac:dyDescent="0.2">
      <c r="O97" s="30">
        <v>46456</v>
      </c>
      <c r="P97" s="27">
        <v>46456</v>
      </c>
      <c r="Q97" s="14">
        <v>12345</v>
      </c>
      <c r="R97" s="14">
        <v>1211</v>
      </c>
    </row>
    <row r="98" spans="15:18" x14ac:dyDescent="0.2">
      <c r="O98" s="26" t="s">
        <v>84</v>
      </c>
      <c r="P98" s="27">
        <v>1763742</v>
      </c>
      <c r="Q98" s="14">
        <v>570339</v>
      </c>
      <c r="R98" s="14">
        <v>102521</v>
      </c>
    </row>
  </sheetData>
  <phoneticPr fontId="4" type="noConversion"/>
  <pageMargins left="0.75" right="0.75" top="1" bottom="1" header="0" footer="0"/>
  <headerFooter alignWithMargins="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4666CA-A7B8-4054-8DAB-47F6E6353571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7BD513CF-7A45-466F-9808-7AF66193A1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931D2-F526-4DA0-85CF-FDA12BF8D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TabDinIntro</vt:lpstr>
      <vt:lpstr>TabDin1</vt:lpstr>
      <vt:lpstr>TabDin2</vt:lpstr>
      <vt:lpstr>TabDin3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2009-07-05T10:24:24Z</dcterms:created>
  <dcterms:modified xsi:type="dcterms:W3CDTF">2025-06-12T14:54:06Z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