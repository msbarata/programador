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EXCELL\"/>
    </mc:Choice>
  </mc:AlternateContent>
  <xr:revisionPtr revIDLastSave="0" documentId="13_ncr:1_{8848D7CD-5EA2-4A59-9591-2F76317D2C2A}" xr6:coauthVersionLast="47" xr6:coauthVersionMax="47" xr10:uidLastSave="{00000000-0000-0000-0000-000000000000}"/>
  <bookViews>
    <workbookView xWindow="-120" yWindow="-120" windowWidth="20730" windowHeight="11160" activeTab="6" xr2:uid="{FD62BE9C-4909-4588-908D-293B0115F712}"/>
  </bookViews>
  <sheets>
    <sheet name="Ex" sheetId="9" r:id="rId1"/>
    <sheet name="Ex1" sheetId="4" r:id="rId2"/>
    <sheet name="Ex2" sheetId="3" r:id="rId3"/>
    <sheet name="Ex3" sheetId="7" r:id="rId4"/>
    <sheet name="Ex4" sheetId="8" r:id="rId5"/>
    <sheet name="Ex5" sheetId="10" r:id="rId6"/>
    <sheet name="Ex6" sheetId="11" r:id="rId7"/>
  </sheets>
  <definedNames>
    <definedName name="_xlcn.WorksheetConnection_ExA3C81" hidden="1">Ex!$A$3:$C$8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Ex!$A$3:$C$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1" l="1"/>
  <c r="H17" i="11"/>
  <c r="J4" i="11"/>
  <c r="J5" i="11"/>
  <c r="J6" i="11"/>
  <c r="J7" i="11"/>
  <c r="J8" i="11"/>
  <c r="J9" i="11"/>
  <c r="J10" i="11"/>
  <c r="J11" i="11"/>
  <c r="J12" i="11"/>
  <c r="J13" i="11"/>
  <c r="J14" i="11"/>
  <c r="J15" i="11"/>
  <c r="J3" i="11"/>
  <c r="H13" i="10"/>
  <c r="H5" i="8"/>
  <c r="H3" i="8"/>
  <c r="E6" i="8"/>
  <c r="E7" i="8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5" i="8"/>
  <c r="E4" i="8"/>
  <c r="D5" i="7"/>
  <c r="D6" i="7"/>
  <c r="D7" i="7"/>
  <c r="D8" i="7"/>
  <c r="D9" i="7"/>
  <c r="D10" i="7"/>
  <c r="D11" i="7"/>
  <c r="D12" i="7"/>
  <c r="D13" i="7"/>
  <c r="D14" i="7"/>
  <c r="D15" i="7"/>
  <c r="D4" i="7"/>
  <c r="C7" i="3"/>
  <c r="D7" i="3"/>
  <c r="E7" i="3"/>
  <c r="F7" i="3"/>
  <c r="G7" i="3"/>
  <c r="B7" i="3"/>
  <c r="G4" i="4"/>
  <c r="E16" i="4"/>
  <c r="E5" i="4"/>
  <c r="E6" i="4"/>
  <c r="E7" i="4"/>
  <c r="E8" i="4"/>
  <c r="E9" i="4"/>
  <c r="E10" i="4"/>
  <c r="E11" i="4"/>
  <c r="E12" i="4"/>
  <c r="E13" i="4"/>
  <c r="E4" i="4"/>
  <c r="C9" i="9"/>
  <c r="D9" i="9"/>
  <c r="B9" i="9"/>
  <c r="D5" i="9"/>
  <c r="D6" i="9"/>
  <c r="D7" i="9"/>
  <c r="D8" i="9"/>
  <c r="D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ADEDF4-B49B-4843-BB9E-7DA8BE69645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F691254-39DD-4611-AEF6-C7CEC0D8D857}" name="WorksheetConnection_Ex!$A$3:$C$8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ExA3C81"/>
        </x15:connection>
      </ext>
    </extLst>
  </connection>
</connections>
</file>

<file path=xl/sharedStrings.xml><?xml version="1.0" encoding="utf-8"?>
<sst xmlns="http://schemas.openxmlformats.org/spreadsheetml/2006/main" count="239" uniqueCount="162">
  <si>
    <t>Preço</t>
  </si>
  <si>
    <t>Entradas</t>
  </si>
  <si>
    <t>Saídas</t>
  </si>
  <si>
    <t>Saldo</t>
  </si>
  <si>
    <t>1- Escreva os Meses nas células a partir de B3</t>
  </si>
  <si>
    <t>2- Realize os cálculos</t>
  </si>
  <si>
    <t>Vendas - Portugal</t>
  </si>
  <si>
    <t>Marca</t>
  </si>
  <si>
    <t>Quantidade</t>
  </si>
  <si>
    <t>Preço Total</t>
  </si>
  <si>
    <t>Mercedes-Benz C 220 D Avantgarde</t>
  </si>
  <si>
    <t>Mercedes-Benz A 180 CDi BE AMG Sport</t>
  </si>
  <si>
    <t xml:space="preserve">Mercedes-Benz C 250 BlueTEC Avantgarde </t>
  </si>
  <si>
    <t>Mercedes-Benz A 180 CDi BE Urban</t>
  </si>
  <si>
    <t xml:space="preserve">Mercedes-Benz CLA 220 CDi AMG Aut. 
</t>
  </si>
  <si>
    <t>Mercedes-Benz GLA 180 cdi urban</t>
  </si>
  <si>
    <t xml:space="preserve">Mercedes-Benz C 43 AMG
</t>
  </si>
  <si>
    <t>Mercedes-Benz Classe E 220 d</t>
  </si>
  <si>
    <t>Mercedes-Benz E 400 4MATIC Coupé</t>
  </si>
  <si>
    <t>Mercedes-Benz E 200 Coupé</t>
  </si>
  <si>
    <t>1- Cálculo do total</t>
  </si>
  <si>
    <t>2- Cópia das fórmulas</t>
  </si>
  <si>
    <t>Cliente</t>
  </si>
  <si>
    <t>REGIÃO</t>
  </si>
  <si>
    <t>TOTAL</t>
  </si>
  <si>
    <t>AMÉRICA DO NORTE</t>
  </si>
  <si>
    <t>AMÉRICA DO SUL</t>
  </si>
  <si>
    <t>EUROPA</t>
  </si>
  <si>
    <t>ÁFRICA</t>
  </si>
  <si>
    <t>ÁSIA</t>
  </si>
  <si>
    <t>2 - Colocar Limites, e formatar os Títulos</t>
  </si>
  <si>
    <t>3- Realizar os Totais</t>
  </si>
  <si>
    <t>Controlo da Conta Bancária</t>
  </si>
  <si>
    <t>Data</t>
  </si>
  <si>
    <t>Descrição</t>
  </si>
  <si>
    <t>depósito</t>
  </si>
  <si>
    <t>multibanco</t>
  </si>
  <si>
    <t>cheque</t>
  </si>
  <si>
    <t>baixo valor</t>
  </si>
  <si>
    <t>pagamento</t>
  </si>
  <si>
    <t>Coloque a Data Actual</t>
  </si>
  <si>
    <t>Crédito</t>
  </si>
  <si>
    <t>Débito</t>
  </si>
  <si>
    <t>RESUMO DAS VENDAS MUNDIAIS</t>
  </si>
  <si>
    <t>Balança Comercial Portuguesa em Biliões de Dólares</t>
  </si>
  <si>
    <t>Ano</t>
  </si>
  <si>
    <t>Exportação</t>
  </si>
  <si>
    <t>Importação</t>
  </si>
  <si>
    <t>Digitar Séries existentes</t>
  </si>
  <si>
    <t>1- Completar Ano até 2022</t>
  </si>
  <si>
    <t>2- Realizar os Cálculos</t>
  </si>
  <si>
    <t>31-04-2023</t>
  </si>
  <si>
    <t>1- Formatar Valores em Euros</t>
  </si>
  <si>
    <t>Ano 2023</t>
  </si>
  <si>
    <t>Ano 2024</t>
  </si>
  <si>
    <t>Controlo de Economias 2024 - Semestre 2</t>
  </si>
  <si>
    <t>Instruções:</t>
  </si>
  <si>
    <t>APELIDO</t>
  </si>
  <si>
    <t>NOME</t>
  </si>
  <si>
    <t>LOCALIDADE</t>
  </si>
  <si>
    <t>SECTOR</t>
  </si>
  <si>
    <t>ESTADO</t>
  </si>
  <si>
    <t>FILHOS</t>
  </si>
  <si>
    <t>SALÁRIO</t>
  </si>
  <si>
    <t>ADMISSÃO</t>
  </si>
  <si>
    <t>1- Coloque os limites na Tabela - e formate em Euros</t>
  </si>
  <si>
    <t>Ramos</t>
  </si>
  <si>
    <t>Pedro</t>
  </si>
  <si>
    <t>Albufeira</t>
  </si>
  <si>
    <t>Comercial</t>
  </si>
  <si>
    <t>Solteiro</t>
  </si>
  <si>
    <t>2- Faça os Totais</t>
  </si>
  <si>
    <t>Inácio</t>
  </si>
  <si>
    <t>Victor</t>
  </si>
  <si>
    <t>Cacela</t>
  </si>
  <si>
    <t>Financeiro</t>
  </si>
  <si>
    <t>Casado</t>
  </si>
  <si>
    <t>Matos</t>
  </si>
  <si>
    <t>Luísa</t>
  </si>
  <si>
    <t>Faro</t>
  </si>
  <si>
    <t>Administrativo</t>
  </si>
  <si>
    <t>Sousa</t>
  </si>
  <si>
    <t>Fernando</t>
  </si>
  <si>
    <t>Abrantes</t>
  </si>
  <si>
    <t>Manuel</t>
  </si>
  <si>
    <t>Nunes</t>
  </si>
  <si>
    <t>Formação</t>
  </si>
  <si>
    <t>Pinto</t>
  </si>
  <si>
    <t>António</t>
  </si>
  <si>
    <t>Pessoal</t>
  </si>
  <si>
    <t>Santos</t>
  </si>
  <si>
    <t>Rita</t>
  </si>
  <si>
    <t>Silva</t>
  </si>
  <si>
    <t>Liberto</t>
  </si>
  <si>
    <t>Produção</t>
  </si>
  <si>
    <t>Soares</t>
  </si>
  <si>
    <t>José</t>
  </si>
  <si>
    <t>Olhão</t>
  </si>
  <si>
    <t>Divorciado</t>
  </si>
  <si>
    <t>Número Factura</t>
  </si>
  <si>
    <t>Data da Factura</t>
  </si>
  <si>
    <t>Modo de Pagamento</t>
  </si>
  <si>
    <t>Data de vencimento</t>
  </si>
  <si>
    <t>Designação do Produto</t>
  </si>
  <si>
    <t>Preço Unitário</t>
  </si>
  <si>
    <t>Total</t>
  </si>
  <si>
    <t>EuroCon, AS</t>
  </si>
  <si>
    <t>a 60 dias</t>
  </si>
  <si>
    <t>Blocos A4</t>
  </si>
  <si>
    <t>AltaGama, Lda</t>
  </si>
  <si>
    <t>a 90 dias</t>
  </si>
  <si>
    <t>IberForma, AS</t>
  </si>
  <si>
    <t>a 30 dias</t>
  </si>
  <si>
    <t>Canetas</t>
  </si>
  <si>
    <t>3- Faça os Totais</t>
  </si>
  <si>
    <t>JotaPaper, Lda</t>
  </si>
  <si>
    <t>pronto pag.</t>
  </si>
  <si>
    <t>Capas A4</t>
  </si>
  <si>
    <t>Cartolina</t>
  </si>
  <si>
    <t>TecnoArte, Lda</t>
  </si>
  <si>
    <t>Média das Vendas</t>
  </si>
  <si>
    <t>Julho</t>
  </si>
  <si>
    <t>Agosto</t>
  </si>
  <si>
    <t>Setembro</t>
  </si>
  <si>
    <t>Outubro</t>
  </si>
  <si>
    <t>Novembro</t>
  </si>
  <si>
    <t>Dezembro</t>
  </si>
  <si>
    <t>Jan.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</si>
  <si>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</si>
  <si>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</si>
  <si>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</si>
  <si>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</si>
  <si>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</si>
  <si>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</si>
  <si>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</si>
  <si>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</si>
  <si>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</si>
  <si>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</si>
  <si>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</si>
  <si>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Janeiro</t>
  </si>
  <si>
    <t>Fevereiro</t>
  </si>
  <si>
    <t>Março</t>
  </si>
  <si>
    <t>Abril</t>
  </si>
  <si>
    <t>Maio</t>
  </si>
  <si>
    <t>Junho</t>
  </si>
  <si>
    <t>Seg.</t>
  </si>
  <si>
    <t>Ter</t>
  </si>
  <si>
    <t>Qua</t>
  </si>
  <si>
    <t>Qui</t>
  </si>
  <si>
    <t>Sex</t>
  </si>
  <si>
    <t>Sáb</t>
  </si>
  <si>
    <t>Dom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</si>
  <si>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</si>
  <si>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</si>
  <si>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</si>
  <si>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</si>
  <si>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</si>
  <si>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</si>
  <si>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</si>
  <si>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Função Agora</t>
  </si>
  <si>
    <t>Função data</t>
  </si>
  <si>
    <t>2- Substitua Ano de 2025 - para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</si>
</sst>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€&quot;;\-#,##0.00\ &quot;€&quot;"/>
    <numFmt numFmtId="165" formatCode="#,##0.00\ &quot;€&quot;;[Red]\-#,##0.00\ &quot;€&quot;"/>
    <numFmt numFmtId="166" formatCode="_-* #,##0.00\ &quot;€&quot;_-;\-* #,##0.00\ &quot;€&quot;_-;_-* &quot;-&quot;??\ &quot;€&quot;_-;_-@_-"/>
    <numFmt numFmtId="167" formatCode="_-* #,##0.00\ [$€-816]_-;\-* #,##0.00\ [$€-816]_-;_-* &quot;-&quot;??\ [$€-816]_-;_-@_-"/>
    <numFmt numFmtId="168" formatCode="_-* #,##0.00\ [$€]_-;\-* #,##0.00\ [$€]_-;_-* &quot;-&quot;??\ [$€]_-;_-@_-"/>
    <numFmt numFmtId="169" formatCode="[$-816]mmmm\ yy;@"/>
    <numFmt numFmtId="170" formatCode="#,##0.00\ [$€-1]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0"/>
      <name val="Times New Roman"/>
      <family val="1"/>
    </font>
    <font>
      <b/>
      <sz val="16"/>
      <color rgb="FFC00000"/>
      <name val="Calibri"/>
      <family val="2"/>
      <scheme val="minor"/>
    </font>
    <font>
      <sz val="16"/>
      <name val="Calibri"/>
      <family val="2"/>
      <scheme val="minor"/>
    </font>
    <font>
      <sz val="1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8"/>
      <name val="Algerian"/>
      <family val="5"/>
    </font>
    <font>
      <sz val="12"/>
      <color indexed="18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Verdana"/>
      <family val="2"/>
    </font>
    <font>
      <b/>
      <sz val="10"/>
      <name val="Arial"/>
      <family val="2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5" fillId="0" borderId="0"/>
    <xf numFmtId="0" fontId="5" fillId="0" borderId="0"/>
  </cellStyleXfs>
  <cellXfs count="96">
    <xf numFmtId="0" fontId="0" fillId="0" borderId="0" xfId="0"/>
    <xf numFmtId="169" fontId="6" fillId="0" borderId="0" xfId="4" applyNumberFormat="1" applyFont="1" applyAlignment="1">
      <alignment horizontal="left"/>
    </xf>
    <xf numFmtId="0" fontId="8" fillId="0" borderId="0" xfId="0" applyFont="1"/>
    <xf numFmtId="0" fontId="12" fillId="0" borderId="0" xfId="0" applyFont="1"/>
    <xf numFmtId="0" fontId="0" fillId="0" borderId="0" xfId="0" applyAlignment="1">
      <alignment horizontal="center" vertical="justify"/>
    </xf>
    <xf numFmtId="0" fontId="4" fillId="4" borderId="1" xfId="0" applyFont="1" applyFill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70" fontId="3" fillId="2" borderId="1" xfId="0" applyNumberFormat="1" applyFont="1" applyFill="1" applyBorder="1"/>
    <xf numFmtId="170" fontId="9" fillId="2" borderId="1" xfId="0" applyNumberFormat="1" applyFont="1" applyFill="1" applyBorder="1"/>
    <xf numFmtId="0" fontId="9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1" fillId="0" borderId="0" xfId="0" applyFont="1" applyProtection="1">
      <protection locked="0"/>
    </xf>
    <xf numFmtId="0" fontId="0" fillId="0" borderId="0" xfId="0" applyProtection="1">
      <protection locked="0"/>
    </xf>
    <xf numFmtId="0" fontId="15" fillId="0" borderId="0" xfId="0" applyFont="1"/>
    <xf numFmtId="14" fontId="0" fillId="0" borderId="2" xfId="0" applyNumberFormat="1" applyBorder="1"/>
    <xf numFmtId="20" fontId="0" fillId="0" borderId="0" xfId="0" applyNumberFormat="1"/>
    <xf numFmtId="0" fontId="7" fillId="0" borderId="1" xfId="3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7" fillId="0" borderId="1" xfId="3" applyFont="1" applyBorder="1" applyAlignment="1">
      <alignment horizontal="center" vertical="center"/>
    </xf>
    <xf numFmtId="166" fontId="7" fillId="0" borderId="1" xfId="1" applyFont="1" applyBorder="1" applyAlignment="1">
      <alignment horizontal="center"/>
    </xf>
    <xf numFmtId="0" fontId="16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18" fillId="0" borderId="0" xfId="3" applyFont="1"/>
    <xf numFmtId="0" fontId="19" fillId="0" borderId="0" xfId="0" applyFont="1"/>
    <xf numFmtId="0" fontId="1" fillId="0" borderId="0" xfId="0" applyFont="1"/>
    <xf numFmtId="0" fontId="18" fillId="0" borderId="0" xfId="3" applyFont="1" applyAlignment="1">
      <alignment horizontal="left"/>
    </xf>
    <xf numFmtId="0" fontId="7" fillId="0" borderId="0" xfId="0" applyFont="1"/>
    <xf numFmtId="0" fontId="20" fillId="0" borderId="0" xfId="0" applyFont="1"/>
    <xf numFmtId="0" fontId="21" fillId="0" borderId="0" xfId="0" applyFont="1"/>
    <xf numFmtId="166" fontId="21" fillId="0" borderId="3" xfId="1" applyFont="1" applyBorder="1"/>
    <xf numFmtId="166" fontId="22" fillId="3" borderId="1" xfId="1" applyFont="1" applyFill="1" applyBorder="1" applyAlignment="1">
      <alignment horizontal="center"/>
    </xf>
    <xf numFmtId="166" fontId="21" fillId="0" borderId="1" xfId="1" applyFont="1" applyBorder="1"/>
    <xf numFmtId="167" fontId="21" fillId="0" borderId="1" xfId="2" applyNumberFormat="1" applyFont="1" applyBorder="1"/>
    <xf numFmtId="166" fontId="21" fillId="0" borderId="1" xfId="1" applyFont="1" applyBorder="1" applyAlignment="1">
      <alignment horizontal="left" vertical="justify"/>
    </xf>
    <xf numFmtId="167" fontId="21" fillId="0" borderId="1" xfId="1" applyNumberFormat="1" applyFont="1" applyBorder="1"/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5" xfId="0" applyFont="1" applyBorder="1"/>
    <xf numFmtId="0" fontId="10" fillId="0" borderId="4" xfId="0" applyFont="1" applyBorder="1" applyAlignment="1">
      <alignment horizontal="center"/>
    </xf>
    <xf numFmtId="0" fontId="23" fillId="0" borderId="0" xfId="0" applyFont="1"/>
    <xf numFmtId="0" fontId="22" fillId="0" borderId="0" xfId="0" applyFont="1"/>
    <xf numFmtId="0" fontId="26" fillId="0" borderId="0" xfId="0" applyFont="1" applyAlignment="1">
      <alignment horizontal="center" vertical="center" wrapText="1"/>
    </xf>
    <xf numFmtId="165" fontId="0" fillId="0" borderId="0" xfId="0" applyNumberFormat="1"/>
    <xf numFmtId="166" fontId="0" fillId="0" borderId="0" xfId="1" applyFont="1"/>
    <xf numFmtId="166" fontId="0" fillId="0" borderId="0" xfId="0" applyNumberFormat="1"/>
    <xf numFmtId="0" fontId="24" fillId="0" borderId="1" xfId="0" applyFont="1" applyBorder="1" applyAlignment="1">
      <alignment horizontal="center"/>
    </xf>
    <xf numFmtId="0" fontId="21" fillId="0" borderId="1" xfId="0" applyFont="1" applyBorder="1"/>
    <xf numFmtId="166" fontId="21" fillId="0" borderId="1" xfId="1" applyFont="1" applyFill="1" applyBorder="1"/>
    <xf numFmtId="0" fontId="19" fillId="0" borderId="1" xfId="0" applyFont="1" applyBorder="1"/>
    <xf numFmtId="166" fontId="21" fillId="0" borderId="1" xfId="0" applyNumberFormat="1" applyFont="1" applyBorder="1"/>
    <xf numFmtId="164" fontId="1" fillId="0" borderId="0" xfId="0" applyNumberFormat="1" applyFont="1"/>
    <xf numFmtId="0" fontId="28" fillId="0" borderId="1" xfId="4" applyFont="1" applyBorder="1" applyAlignment="1">
      <alignment horizontal="center"/>
    </xf>
    <xf numFmtId="0" fontId="28" fillId="0" borderId="7" xfId="4" applyFont="1" applyBorder="1" applyAlignment="1">
      <alignment horizontal="center"/>
    </xf>
    <xf numFmtId="0" fontId="24" fillId="0" borderId="0" xfId="0" applyFont="1"/>
    <xf numFmtId="14" fontId="16" fillId="0" borderId="0" xfId="0" applyNumberFormat="1" applyFont="1" applyAlignment="1">
      <alignment horizontal="left"/>
    </xf>
    <xf numFmtId="0" fontId="4" fillId="4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0" fontId="25" fillId="0" borderId="8" xfId="0" applyFont="1" applyBorder="1" applyAlignment="1">
      <alignment horizontal="left" vertical="center" wrapText="1"/>
    </xf>
    <xf numFmtId="0" fontId="25" fillId="0" borderId="8" xfId="0" applyFont="1" applyBorder="1" applyAlignment="1">
      <alignment horizontal="center" vertical="center" wrapText="1"/>
    </xf>
    <xf numFmtId="14" fontId="25" fillId="0" borderId="8" xfId="0" applyNumberFormat="1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166" fontId="25" fillId="0" borderId="8" xfId="1" applyFont="1" applyBorder="1" applyAlignment="1">
      <alignment horizontal="right" vertical="center"/>
    </xf>
    <xf numFmtId="166" fontId="25" fillId="0" borderId="1" xfId="1" applyFont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6" fontId="0" fillId="0" borderId="1" xfId="1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3" fontId="0" fillId="0" borderId="15" xfId="0" applyNumberFormat="1" applyBorder="1"/>
    <xf numFmtId="166" fontId="0" fillId="0" borderId="15" xfId="1" applyFont="1" applyBorder="1"/>
    <xf numFmtId="166" fontId="0" fillId="0" borderId="16" xfId="0" applyNumberFormat="1" applyBorder="1"/>
    <xf numFmtId="0" fontId="0" fillId="0" borderId="17" xfId="0" applyBorder="1"/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/>
    <xf numFmtId="3" fontId="0" fillId="0" borderId="8" xfId="0" applyNumberFormat="1" applyBorder="1" applyAlignment="1">
      <alignment horizontal="center"/>
    </xf>
    <xf numFmtId="166" fontId="0" fillId="0" borderId="8" xfId="1" applyFont="1" applyBorder="1"/>
    <xf numFmtId="166" fontId="0" fillId="0" borderId="18" xfId="1" applyFont="1" applyBorder="1"/>
    <xf numFmtId="0" fontId="27" fillId="0" borderId="9" xfId="0" applyFont="1" applyBorder="1" applyAlignment="1">
      <alignment horizontal="center" wrapText="1"/>
    </xf>
    <xf numFmtId="0" fontId="27" fillId="0" borderId="10" xfId="0" applyFont="1" applyBorder="1" applyAlignment="1">
      <alignment horizontal="center" vertical="center" wrapText="1"/>
    </xf>
    <xf numFmtId="166" fontId="27" fillId="0" borderId="10" xfId="1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16" fillId="0" borderId="15" xfId="0" applyFont="1" applyBorder="1"/>
  </cellXfs>
  <cellStyles count="5">
    <cellStyle name="Euro" xfId="2" xr:uid="{38D0ED75-D9E7-458B-A20B-ABB45F22B189}"/>
    <cellStyle name="Moeda" xfId="1" builtinId="4"/>
    <cellStyle name="Normal" xfId="0" builtinId="0"/>
    <cellStyle name="Normal_Exercicios" xfId="3" xr:uid="{514F71E9-32C1-45D8-900E-112EDCF541A4}"/>
    <cellStyle name="Normal_Exercicios de Excel - Formador.v13" xfId="4" xr:uid="{726B0093-6506-4D50-93BC-8DDB9BA32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5468-6C97-4B4C-9216-0BABDA121C0B}">
  <dimension ref="A1:D15"/>
  <sheetViews>
    <sheetView workbookViewId="0">
      <selection activeCell="B9" sqref="B9:D9"/>
    </sheetView>
  </sheetViews>
  <sheetFormatPr defaultColWidth="37.140625" defaultRowHeight="23.25" x14ac:dyDescent="0.35"/>
  <cols>
    <col min="1" max="1" width="31.5703125" style="2" customWidth="1"/>
    <col min="2" max="2" width="25.85546875" style="2" customWidth="1"/>
    <col min="3" max="3" width="25.28515625" style="2" customWidth="1"/>
    <col min="4" max="4" width="31.85546875" style="2" customWidth="1"/>
    <col min="5" max="5" width="18.5703125" style="2" customWidth="1"/>
    <col min="6" max="6" width="23.85546875" style="2" customWidth="1"/>
    <col min="7" max="16384" width="37.140625" style="2"/>
  </cols>
  <sheetData>
    <row r="1" spans="1:4" x14ac:dyDescent="0.35">
      <c r="A1" s="60" t="s">
        <v>43</v>
      </c>
      <c r="B1" s="60"/>
      <c r="C1" s="60"/>
      <c r="D1" s="60"/>
    </row>
    <row r="2" spans="1:4" ht="20.25" customHeight="1" x14ac:dyDescent="0.4">
      <c r="B2" s="3"/>
      <c r="C2" s="3"/>
      <c r="D2" s="3"/>
    </row>
    <row r="3" spans="1:4" x14ac:dyDescent="0.35">
      <c r="A3" s="48" t="s">
        <v>23</v>
      </c>
      <c r="B3" s="48" t="s">
        <v>53</v>
      </c>
      <c r="C3" s="48" t="s">
        <v>54</v>
      </c>
      <c r="D3" s="48" t="s">
        <v>24</v>
      </c>
    </row>
    <row r="4" spans="1:4" x14ac:dyDescent="0.35">
      <c r="A4" s="49" t="s">
        <v>25</v>
      </c>
      <c r="B4" s="50">
        <v>36000000</v>
      </c>
      <c r="C4" s="50">
        <v>46800000</v>
      </c>
      <c r="D4" s="33">
        <f>B4+C4</f>
        <v>82800000</v>
      </c>
    </row>
    <row r="5" spans="1:4" x14ac:dyDescent="0.35">
      <c r="A5" s="49" t="s">
        <v>26</v>
      </c>
      <c r="B5" s="50">
        <v>15300000</v>
      </c>
      <c r="C5" s="50">
        <v>19800000</v>
      </c>
      <c r="D5" s="33">
        <f t="shared" ref="D5:D8" si="0">B5+C5</f>
        <v>35100000</v>
      </c>
    </row>
    <row r="6" spans="1:4" x14ac:dyDescent="0.35">
      <c r="A6" s="49" t="s">
        <v>27</v>
      </c>
      <c r="B6" s="50">
        <v>21600000</v>
      </c>
      <c r="C6" s="50">
        <v>13500000</v>
      </c>
      <c r="D6" s="33">
        <f t="shared" si="0"/>
        <v>35100000</v>
      </c>
    </row>
    <row r="7" spans="1:4" x14ac:dyDescent="0.35">
      <c r="A7" s="49" t="s">
        <v>28</v>
      </c>
      <c r="B7" s="50">
        <v>9000000</v>
      </c>
      <c r="C7" s="50">
        <v>9000000</v>
      </c>
      <c r="D7" s="33">
        <f t="shared" si="0"/>
        <v>18000000</v>
      </c>
    </row>
    <row r="8" spans="1:4" x14ac:dyDescent="0.35">
      <c r="A8" s="49" t="s">
        <v>29</v>
      </c>
      <c r="B8" s="50">
        <v>19800000</v>
      </c>
      <c r="C8" s="50">
        <v>41400000</v>
      </c>
      <c r="D8" s="33">
        <f t="shared" si="0"/>
        <v>61200000</v>
      </c>
    </row>
    <row r="9" spans="1:4" x14ac:dyDescent="0.35">
      <c r="A9" s="49" t="s">
        <v>24</v>
      </c>
      <c r="B9" s="52">
        <f>SUM(B4:B8)</f>
        <v>101700000</v>
      </c>
      <c r="C9" s="52">
        <f t="shared" ref="C9:D9" si="1">SUM(C4:C8)</f>
        <v>130500000</v>
      </c>
      <c r="D9" s="52">
        <f t="shared" si="1"/>
        <v>232200000</v>
      </c>
    </row>
    <row r="10" spans="1:4" x14ac:dyDescent="0.35">
      <c r="A10" s="49"/>
      <c r="B10" s="49"/>
      <c r="C10" s="49"/>
      <c r="D10" s="49"/>
    </row>
    <row r="11" spans="1:4" x14ac:dyDescent="0.35">
      <c r="A11" s="51" t="s">
        <v>52</v>
      </c>
      <c r="B11" s="49"/>
      <c r="C11" s="49"/>
      <c r="D11" s="49"/>
    </row>
    <row r="12" spans="1:4" x14ac:dyDescent="0.35">
      <c r="A12" s="51" t="s">
        <v>30</v>
      </c>
      <c r="B12" s="49"/>
      <c r="C12" s="49"/>
      <c r="D12" s="49"/>
    </row>
    <row r="13" spans="1:4" x14ac:dyDescent="0.35">
      <c r="A13" s="51" t="s">
        <v>31</v>
      </c>
      <c r="B13" s="49"/>
      <c r="C13" s="49"/>
      <c r="D13" s="49"/>
    </row>
    <row r="14" spans="1:4" x14ac:dyDescent="0.35">
      <c r="A14" s="42"/>
      <c r="B14" s="42"/>
      <c r="C14" s="42"/>
      <c r="D14" s="42"/>
    </row>
    <row r="15" spans="1:4" x14ac:dyDescent="0.35">
      <c r="A15" s="42"/>
      <c r="B15" s="42"/>
      <c r="C15" s="42"/>
      <c r="D15" s="42"/>
    </row>
  </sheetData>
  <mergeCells count="1">
    <mergeCell ref="A1:D1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1A26-FF8A-4586-B694-7B0FC60FE54D}">
  <dimension ref="A1:G19"/>
  <sheetViews>
    <sheetView workbookViewId="0">
      <selection activeCell="G7" sqref="G7"/>
    </sheetView>
  </sheetViews>
  <sheetFormatPr defaultRowHeight="15" x14ac:dyDescent="0.25"/>
  <cols>
    <col min="1" max="1" width="4" style="26" customWidth="1"/>
    <col min="2" max="2" width="59" style="26" bestFit="1" customWidth="1"/>
    <col min="3" max="3" width="18" style="26" bestFit="1" customWidth="1"/>
    <col min="4" max="4" width="15.7109375" style="26" bestFit="1" customWidth="1"/>
    <col min="5" max="5" width="21.28515625" style="26" customWidth="1"/>
    <col min="6" max="6" width="9.140625" style="26"/>
    <col min="7" max="7" width="26.28515625" style="26" customWidth="1"/>
    <col min="8" max="16384" width="9.140625" style="26"/>
  </cols>
  <sheetData>
    <row r="1" spans="1:7" ht="21.75" customHeight="1" x14ac:dyDescent="0.3">
      <c r="A1" s="24"/>
      <c r="B1" s="25" t="s">
        <v>6</v>
      </c>
      <c r="C1" s="24"/>
      <c r="D1" s="24"/>
      <c r="E1" s="24"/>
    </row>
    <row r="2" spans="1:7" ht="7.5" customHeight="1" x14ac:dyDescent="0.35">
      <c r="A2" s="24"/>
      <c r="B2" s="1"/>
      <c r="C2" s="24"/>
      <c r="D2" s="24"/>
      <c r="E2" s="24"/>
    </row>
    <row r="3" spans="1:7" ht="21" x14ac:dyDescent="0.35">
      <c r="A3" s="27"/>
      <c r="B3" s="54" t="s">
        <v>7</v>
      </c>
      <c r="C3" s="54" t="s">
        <v>0</v>
      </c>
      <c r="D3" s="54" t="s">
        <v>8</v>
      </c>
      <c r="E3" s="54" t="s">
        <v>9</v>
      </c>
      <c r="G3" s="55" t="s">
        <v>120</v>
      </c>
    </row>
    <row r="4" spans="1:7" ht="21" x14ac:dyDescent="0.35">
      <c r="A4" s="24"/>
      <c r="B4" s="16" t="s">
        <v>10</v>
      </c>
      <c r="C4" s="19">
        <v>39000</v>
      </c>
      <c r="D4" s="16">
        <v>5</v>
      </c>
      <c r="E4" s="17">
        <f>C4*D4</f>
        <v>195000</v>
      </c>
      <c r="G4" s="53">
        <f>AVERAGE(E4:E13)</f>
        <v>458113.4</v>
      </c>
    </row>
    <row r="5" spans="1:7" ht="21" x14ac:dyDescent="0.35">
      <c r="A5" s="24"/>
      <c r="B5" s="16" t="s">
        <v>11</v>
      </c>
      <c r="C5" s="19">
        <v>30900</v>
      </c>
      <c r="D5" s="16">
        <v>2</v>
      </c>
      <c r="E5" s="17">
        <f t="shared" ref="E5:E13" si="0">C5*D5</f>
        <v>61800</v>
      </c>
    </row>
    <row r="6" spans="1:7" ht="21" x14ac:dyDescent="0.35">
      <c r="A6" s="24"/>
      <c r="B6" s="16" t="s">
        <v>12</v>
      </c>
      <c r="C6" s="19">
        <v>41900</v>
      </c>
      <c r="D6" s="16">
        <v>4</v>
      </c>
      <c r="E6" s="17">
        <f t="shared" si="0"/>
        <v>167600</v>
      </c>
    </row>
    <row r="7" spans="1:7" ht="21" x14ac:dyDescent="0.35">
      <c r="A7" s="24"/>
      <c r="B7" s="16" t="s">
        <v>13</v>
      </c>
      <c r="C7" s="19">
        <v>28900</v>
      </c>
      <c r="D7" s="16">
        <v>3</v>
      </c>
      <c r="E7" s="17">
        <f t="shared" si="0"/>
        <v>86700</v>
      </c>
    </row>
    <row r="8" spans="1:7" ht="21" x14ac:dyDescent="0.35">
      <c r="A8" s="24"/>
      <c r="B8" s="18" t="s">
        <v>14</v>
      </c>
      <c r="C8" s="19">
        <v>48990</v>
      </c>
      <c r="D8" s="16">
        <v>2</v>
      </c>
      <c r="E8" s="17">
        <f t="shared" si="0"/>
        <v>97980</v>
      </c>
    </row>
    <row r="9" spans="1:7" ht="21" x14ac:dyDescent="0.35">
      <c r="B9" s="16" t="s">
        <v>15</v>
      </c>
      <c r="C9" s="19">
        <v>35959</v>
      </c>
      <c r="D9" s="16">
        <v>6</v>
      </c>
      <c r="E9" s="17">
        <f t="shared" si="0"/>
        <v>215754</v>
      </c>
    </row>
    <row r="10" spans="1:7" ht="21" x14ac:dyDescent="0.35">
      <c r="B10" s="18" t="s">
        <v>16</v>
      </c>
      <c r="C10" s="19">
        <v>82900</v>
      </c>
      <c r="D10" s="16">
        <v>8</v>
      </c>
      <c r="E10" s="17">
        <f t="shared" si="0"/>
        <v>663200</v>
      </c>
    </row>
    <row r="11" spans="1:7" ht="21" x14ac:dyDescent="0.35">
      <c r="B11" s="16" t="s">
        <v>17</v>
      </c>
      <c r="C11" s="19">
        <v>58150</v>
      </c>
      <c r="D11" s="16">
        <v>12</v>
      </c>
      <c r="E11" s="17">
        <f t="shared" si="0"/>
        <v>697800</v>
      </c>
    </row>
    <row r="12" spans="1:7" ht="21" x14ac:dyDescent="0.35">
      <c r="B12" s="18" t="s">
        <v>18</v>
      </c>
      <c r="C12" s="19">
        <v>84500</v>
      </c>
      <c r="D12" s="16">
        <v>18</v>
      </c>
      <c r="E12" s="17">
        <f t="shared" si="0"/>
        <v>1521000</v>
      </c>
    </row>
    <row r="13" spans="1:7" ht="21" x14ac:dyDescent="0.35">
      <c r="B13" s="16" t="s">
        <v>19</v>
      </c>
      <c r="C13" s="19">
        <v>62450</v>
      </c>
      <c r="D13" s="16">
        <v>14</v>
      </c>
      <c r="E13" s="17">
        <f t="shared" si="0"/>
        <v>874300</v>
      </c>
    </row>
    <row r="14" spans="1:7" ht="8.25" customHeight="1" x14ac:dyDescent="0.25"/>
    <row r="16" spans="1:7" ht="21" x14ac:dyDescent="0.35">
      <c r="B16" s="28" t="s">
        <v>20</v>
      </c>
      <c r="E16" s="53">
        <f>SUM(E4:E13)</f>
        <v>4581134</v>
      </c>
    </row>
    <row r="17" spans="2:2" ht="21" x14ac:dyDescent="0.35">
      <c r="B17" s="28" t="s">
        <v>21</v>
      </c>
    </row>
    <row r="18" spans="2:2" ht="21" x14ac:dyDescent="0.35">
      <c r="B18" s="28"/>
    </row>
    <row r="19" spans="2:2" ht="18.75" x14ac:dyDescent="0.3">
      <c r="B19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4F0E-16D0-467B-AE11-A595D8D219CC}">
  <dimension ref="A1:M15"/>
  <sheetViews>
    <sheetView zoomScale="110" zoomScaleNormal="110" workbookViewId="0">
      <selection activeCell="M4" sqref="M4:M15"/>
    </sheetView>
  </sheetViews>
  <sheetFormatPr defaultRowHeight="15.75" x14ac:dyDescent="0.25"/>
  <cols>
    <col min="1" max="1" width="10.7109375" style="30" customWidth="1"/>
    <col min="2" max="2" width="17.85546875" style="30" customWidth="1"/>
    <col min="3" max="3" width="17.28515625" style="30" customWidth="1"/>
    <col min="4" max="4" width="17" style="30" customWidth="1"/>
    <col min="5" max="5" width="15.140625" style="30" customWidth="1"/>
    <col min="6" max="6" width="14.85546875" style="30" bestFit="1" customWidth="1"/>
    <col min="7" max="7" width="16.140625" style="30" customWidth="1"/>
    <col min="8" max="8" width="6.5703125" style="30" customWidth="1"/>
    <col min="9" max="9" width="8.42578125" style="30" customWidth="1"/>
    <col min="10" max="10" width="3.85546875" style="30" customWidth="1"/>
    <col min="11" max="11" width="15.5703125" style="30" customWidth="1"/>
    <col min="12" max="12" width="6.140625" style="30" customWidth="1"/>
    <col min="13" max="13" width="16" style="30" customWidth="1"/>
    <col min="14" max="16384" width="9.140625" style="30"/>
  </cols>
  <sheetData>
    <row r="1" spans="1:13" x14ac:dyDescent="0.25">
      <c r="A1" s="29" t="s">
        <v>55</v>
      </c>
    </row>
    <row r="2" spans="1:13" x14ac:dyDescent="0.25">
      <c r="I2" s="20" t="s">
        <v>48</v>
      </c>
    </row>
    <row r="3" spans="1:13" x14ac:dyDescent="0.25">
      <c r="A3" s="31"/>
      <c r="B3" s="32" t="s">
        <v>121</v>
      </c>
      <c r="C3" s="32" t="s">
        <v>122</v>
      </c>
      <c r="D3" s="32" t="s">
        <v>123</v>
      </c>
      <c r="E3" s="32" t="s">
        <v>124</v>
      </c>
      <c r="F3" s="32" t="s">
        <v>125</v>
      </c>
      <c r="G3" s="32" t="s">
        <v>126</v>
      </c>
    </row>
    <row r="4" spans="1:13" x14ac:dyDescent="0.25">
      <c r="A4" s="33" t="s">
        <v>1</v>
      </c>
      <c r="B4" s="34">
        <v>2250</v>
      </c>
      <c r="C4" s="34">
        <v>2000</v>
      </c>
      <c r="D4" s="34">
        <v>2350</v>
      </c>
      <c r="E4" s="34">
        <v>2400</v>
      </c>
      <c r="F4" s="34">
        <v>2580</v>
      </c>
      <c r="G4" s="34">
        <v>3400</v>
      </c>
      <c r="I4" s="56" t="s">
        <v>127</v>
      </c>
      <c r="K4" s="30" t="s">
        <v>139</v>
      </c>
      <c r="L4" s="30" t="s">
        <v>145</v>
      </c>
      <c r="M4" s="30" t="s">
        <v>152</v>
      </c>
    </row>
    <row r="5" spans="1:13" x14ac:dyDescent="0.25">
      <c r="A5" s="33" t="s">
        <v>2</v>
      </c>
      <c r="B5" s="34">
        <v>1874</v>
      </c>
      <c r="C5" s="34">
        <v>1912</v>
      </c>
      <c r="D5" s="34">
        <v>2000</v>
      </c>
      <c r="E5" s="34">
        <v>1896</v>
      </c>
      <c r="F5" s="34">
        <v>2650</v>
      </c>
      <c r="G5" s="34">
        <v>3200</v>
      </c>
      <c r="I5" s="56" t="s">
        <v>128</v>
      </c>
      <c r="K5" s="30" t="s">
        <v>140</v>
      </c>
      <c r="L5" s="30" t="s">
        <v>146</v>
      </c>
      <c r="M5" s="30" t="s">
        <v>153</v>
      </c>
    </row>
    <row r="6" spans="1:13" x14ac:dyDescent="0.25">
      <c r="A6" s="33"/>
      <c r="B6" s="34"/>
      <c r="C6" s="34"/>
      <c r="D6" s="34"/>
      <c r="E6" s="34"/>
      <c r="F6" s="34"/>
      <c r="G6" s="34"/>
      <c r="I6" s="56" t="s">
        <v>129</v>
      </c>
      <c r="K6" s="30" t="s">
        <v>141</v>
      </c>
      <c r="L6" s="30" t="s">
        <v>147</v>
      </c>
      <c r="M6" s="30" t="s">
        <v>154</v>
      </c>
    </row>
    <row r="7" spans="1:13" ht="20.25" customHeight="1" x14ac:dyDescent="0.25">
      <c r="A7" s="35" t="s">
        <v>3</v>
      </c>
      <c r="B7" s="36">
        <f>B4-B5</f>
        <v>376</v>
      </c>
      <c r="C7" s="36">
        <f t="shared" ref="C7:G7" si="0">C4-C5</f>
        <v>88</v>
      </c>
      <c r="D7" s="36">
        <f t="shared" si="0"/>
        <v>350</v>
      </c>
      <c r="E7" s="36">
        <f t="shared" si="0"/>
        <v>504</v>
      </c>
      <c r="F7" s="36">
        <f t="shared" si="0"/>
        <v>-70</v>
      </c>
      <c r="G7" s="36">
        <f t="shared" si="0"/>
        <v>200</v>
      </c>
      <c r="I7" s="56" t="s">
        <v>130</v>
      </c>
      <c r="K7" s="30" t="s">
        <v>142</v>
      </c>
      <c r="L7" s="30" t="s">
        <v>148</v>
      </c>
      <c r="M7" s="30" t="s">
        <v>155</v>
      </c>
    </row>
    <row r="8" spans="1:13" x14ac:dyDescent="0.25">
      <c r="I8" s="56" t="s">
        <v>131</v>
      </c>
      <c r="K8" s="30" t="s">
        <v>143</v>
      </c>
      <c r="L8" s="30" t="s">
        <v>149</v>
      </c>
      <c r="M8" s="30" t="s">
        <v>156</v>
      </c>
    </row>
    <row r="9" spans="1:13" x14ac:dyDescent="0.25">
      <c r="I9" s="56" t="s">
        <v>132</v>
      </c>
      <c r="K9" s="30" t="s">
        <v>144</v>
      </c>
      <c r="L9" s="30" t="s">
        <v>150</v>
      </c>
      <c r="M9" s="30" t="s">
        <v>157</v>
      </c>
    </row>
    <row r="10" spans="1:13" x14ac:dyDescent="0.25">
      <c r="A10" s="30" t="s">
        <v>4</v>
      </c>
      <c r="I10" s="56" t="s">
        <v>133</v>
      </c>
      <c r="K10" s="30" t="s">
        <v>121</v>
      </c>
      <c r="L10" s="30" t="s">
        <v>151</v>
      </c>
      <c r="M10" s="30" t="s">
        <v>158</v>
      </c>
    </row>
    <row r="11" spans="1:13" x14ac:dyDescent="0.25">
      <c r="A11" s="30" t="s">
        <v>5</v>
      </c>
      <c r="I11" s="56" t="s">
        <v>134</v>
      </c>
      <c r="K11" s="30" t="s">
        <v>122</v>
      </c>
      <c r="M11" s="30" t="s">
        <v>152</v>
      </c>
    </row>
    <row r="12" spans="1:13" x14ac:dyDescent="0.25">
      <c r="I12" s="56" t="s">
        <v>135</v>
      </c>
      <c r="K12" s="30" t="s">
        <v>123</v>
      </c>
      <c r="M12" s="30" t="s">
        <v>153</v>
      </c>
    </row>
    <row r="13" spans="1:13" x14ac:dyDescent="0.25">
      <c r="I13" s="56" t="s">
        <v>136</v>
      </c>
      <c r="K13" s="30" t="s">
        <v>124</v>
      </c>
      <c r="M13" s="30" t="s">
        <v>154</v>
      </c>
    </row>
    <row r="14" spans="1:13" x14ac:dyDescent="0.25">
      <c r="I14" s="56" t="s">
        <v>137</v>
      </c>
      <c r="K14" s="30" t="s">
        <v>125</v>
      </c>
      <c r="M14" s="30" t="s">
        <v>155</v>
      </c>
    </row>
    <row r="15" spans="1:13" x14ac:dyDescent="0.25">
      <c r="I15" s="56" t="s">
        <v>138</v>
      </c>
      <c r="K15" s="30" t="s">
        <v>126</v>
      </c>
      <c r="M15" s="30" t="s">
        <v>156</v>
      </c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F3A8-CF92-4EF6-8B8B-8504E18BCC38}">
  <dimension ref="A1:D19"/>
  <sheetViews>
    <sheetView zoomScale="120" zoomScaleNormal="120" workbookViewId="0">
      <selection activeCell="D4" sqref="D4:D15"/>
    </sheetView>
  </sheetViews>
  <sheetFormatPr defaultRowHeight="15" x14ac:dyDescent="0.25"/>
  <cols>
    <col min="1" max="2" width="15.5703125" customWidth="1"/>
    <col min="3" max="3" width="15" customWidth="1"/>
    <col min="4" max="4" width="15.140625" customWidth="1"/>
  </cols>
  <sheetData>
    <row r="1" spans="1:4" x14ac:dyDescent="0.25">
      <c r="A1" s="11" t="s">
        <v>44</v>
      </c>
      <c r="B1" s="12"/>
      <c r="C1" s="12"/>
      <c r="D1" s="12"/>
    </row>
    <row r="2" spans="1:4" x14ac:dyDescent="0.25">
      <c r="A2" s="12"/>
      <c r="B2" s="12"/>
      <c r="C2" s="12"/>
      <c r="D2" s="12"/>
    </row>
    <row r="3" spans="1:4" x14ac:dyDescent="0.25">
      <c r="A3" s="37" t="s">
        <v>45</v>
      </c>
      <c r="B3" s="37" t="s">
        <v>46</v>
      </c>
      <c r="C3" s="37" t="s">
        <v>47</v>
      </c>
      <c r="D3" s="38" t="s">
        <v>3</v>
      </c>
    </row>
    <row r="4" spans="1:4" x14ac:dyDescent="0.25">
      <c r="A4" s="39">
        <v>2011</v>
      </c>
      <c r="B4" s="39">
        <v>43.5</v>
      </c>
      <c r="C4" s="39">
        <v>33.1</v>
      </c>
      <c r="D4" s="40">
        <f>B4-C4</f>
        <v>10.399999999999999</v>
      </c>
    </row>
    <row r="5" spans="1:4" x14ac:dyDescent="0.25">
      <c r="A5" s="39">
        <v>2012</v>
      </c>
      <c r="B5" s="39">
        <v>46.5</v>
      </c>
      <c r="C5" s="39">
        <v>50</v>
      </c>
      <c r="D5" s="40">
        <f t="shared" ref="D5:D15" si="0">B5-C5</f>
        <v>-3.5</v>
      </c>
    </row>
    <row r="6" spans="1:4" x14ac:dyDescent="0.25">
      <c r="A6" s="39">
        <v>2013</v>
      </c>
      <c r="B6" s="39">
        <v>47.7</v>
      </c>
      <c r="C6" s="39">
        <v>53.3</v>
      </c>
      <c r="D6" s="40">
        <f t="shared" si="0"/>
        <v>-5.5999999999999943</v>
      </c>
    </row>
    <row r="7" spans="1:4" x14ac:dyDescent="0.25">
      <c r="A7" s="39">
        <v>2014</v>
      </c>
      <c r="B7" s="39">
        <v>61</v>
      </c>
      <c r="C7" s="39">
        <v>59.7</v>
      </c>
      <c r="D7" s="40">
        <f t="shared" si="0"/>
        <v>1.2999999999999972</v>
      </c>
    </row>
    <row r="8" spans="1:4" x14ac:dyDescent="0.25">
      <c r="A8" s="39">
        <v>2015</v>
      </c>
      <c r="B8" s="39">
        <v>51.1</v>
      </c>
      <c r="C8" s="39">
        <v>57.8</v>
      </c>
      <c r="D8" s="40">
        <f t="shared" si="0"/>
        <v>-6.6999999999999957</v>
      </c>
    </row>
    <row r="9" spans="1:4" x14ac:dyDescent="0.25">
      <c r="A9" s="39">
        <v>2016</v>
      </c>
      <c r="B9" s="39">
        <v>48</v>
      </c>
      <c r="C9" s="39">
        <v>49.3</v>
      </c>
      <c r="D9" s="40">
        <f t="shared" si="0"/>
        <v>-1.2999999999999972</v>
      </c>
    </row>
    <row r="10" spans="1:4" x14ac:dyDescent="0.25">
      <c r="A10" s="39">
        <v>2017</v>
      </c>
      <c r="B10" s="39">
        <v>57</v>
      </c>
      <c r="C10" s="39">
        <v>55.8</v>
      </c>
      <c r="D10" s="40">
        <f t="shared" si="0"/>
        <v>1.2000000000000028</v>
      </c>
    </row>
    <row r="11" spans="1:4" x14ac:dyDescent="0.25">
      <c r="A11" s="39">
        <v>2018</v>
      </c>
      <c r="B11" s="39">
        <v>58.2</v>
      </c>
      <c r="C11" s="39">
        <v>55.6</v>
      </c>
      <c r="D11" s="40">
        <f t="shared" si="0"/>
        <v>2.6000000000000014</v>
      </c>
    </row>
    <row r="12" spans="1:4" x14ac:dyDescent="0.25">
      <c r="A12" s="39">
        <v>2019</v>
      </c>
      <c r="B12" s="39">
        <v>60.4</v>
      </c>
      <c r="C12" s="39">
        <v>47.2</v>
      </c>
      <c r="D12" s="40">
        <f t="shared" si="0"/>
        <v>13.199999999999996</v>
      </c>
    </row>
    <row r="13" spans="1:4" x14ac:dyDescent="0.25">
      <c r="A13" s="39">
        <v>2020</v>
      </c>
      <c r="B13" s="39">
        <v>73</v>
      </c>
      <c r="C13" s="39">
        <v>48.2</v>
      </c>
      <c r="D13" s="40">
        <f t="shared" si="0"/>
        <v>24.799999999999997</v>
      </c>
    </row>
    <row r="14" spans="1:4" x14ac:dyDescent="0.25">
      <c r="A14" s="39">
        <v>2021</v>
      </c>
      <c r="B14" s="39">
        <v>96.4</v>
      </c>
      <c r="C14" s="39">
        <v>62.7</v>
      </c>
      <c r="D14" s="40">
        <f t="shared" si="0"/>
        <v>33.700000000000003</v>
      </c>
    </row>
    <row r="15" spans="1:4" x14ac:dyDescent="0.25">
      <c r="A15" s="39">
        <v>2022</v>
      </c>
      <c r="B15" s="41">
        <v>85.4</v>
      </c>
      <c r="C15" s="41">
        <v>82.7</v>
      </c>
      <c r="D15" s="40">
        <f t="shared" si="0"/>
        <v>2.7000000000000028</v>
      </c>
    </row>
    <row r="16" spans="1:4" x14ac:dyDescent="0.25">
      <c r="B16" s="12"/>
      <c r="C16" s="12"/>
    </row>
    <row r="18" spans="1:1" x14ac:dyDescent="0.25">
      <c r="A18" s="12" t="s">
        <v>49</v>
      </c>
    </row>
    <row r="19" spans="1:1" x14ac:dyDescent="0.25">
      <c r="A19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E84F-C461-4862-893B-5C961C49B38F}">
  <dimension ref="A1:J23"/>
  <sheetViews>
    <sheetView topLeftCell="A9" workbookViewId="0">
      <selection activeCell="J7" sqref="J7"/>
    </sheetView>
  </sheetViews>
  <sheetFormatPr defaultRowHeight="15" x14ac:dyDescent="0.25"/>
  <cols>
    <col min="1" max="1" width="17.42578125" customWidth="1"/>
    <col min="2" max="2" width="20.28515625" customWidth="1"/>
    <col min="3" max="3" width="12.42578125" customWidth="1"/>
    <col min="4" max="4" width="14.5703125" customWidth="1"/>
    <col min="5" max="5" width="16.85546875" customWidth="1"/>
    <col min="7" max="7" width="18.140625" customWidth="1"/>
    <col min="8" max="8" width="18" customWidth="1"/>
    <col min="10" max="10" width="15.7109375" customWidth="1"/>
  </cols>
  <sheetData>
    <row r="1" spans="1:10" ht="18" x14ac:dyDescent="0.25">
      <c r="A1" s="13" t="s">
        <v>32</v>
      </c>
      <c r="H1" s="57" t="s">
        <v>40</v>
      </c>
    </row>
    <row r="2" spans="1:10" ht="15.75" thickBot="1" x14ac:dyDescent="0.3">
      <c r="A2" s="4"/>
      <c r="B2" s="4"/>
      <c r="C2" s="4"/>
      <c r="D2" s="4"/>
      <c r="E2" s="4"/>
    </row>
    <row r="3" spans="1:10" ht="16.5" thickBot="1" x14ac:dyDescent="0.3">
      <c r="A3" s="5" t="s">
        <v>33</v>
      </c>
      <c r="B3" s="5" t="s">
        <v>34</v>
      </c>
      <c r="C3" s="5" t="s">
        <v>41</v>
      </c>
      <c r="D3" s="5" t="s">
        <v>42</v>
      </c>
      <c r="E3" s="5" t="s">
        <v>3</v>
      </c>
      <c r="G3" s="58" t="s">
        <v>160</v>
      </c>
      <c r="H3" s="14">
        <f ca="1">TODAY()</f>
        <v>45798</v>
      </c>
    </row>
    <row r="4" spans="1:10" ht="15.75" x14ac:dyDescent="0.25">
      <c r="A4" s="6">
        <v>45028</v>
      </c>
      <c r="B4" s="9" t="s">
        <v>35</v>
      </c>
      <c r="C4" s="7">
        <v>220</v>
      </c>
      <c r="D4" s="7"/>
      <c r="E4" s="8">
        <f>C4-D4</f>
        <v>220</v>
      </c>
      <c r="H4" s="15"/>
    </row>
    <row r="5" spans="1:10" ht="15.75" x14ac:dyDescent="0.25">
      <c r="A5" s="6">
        <v>45029</v>
      </c>
      <c r="B5" s="10" t="s">
        <v>36</v>
      </c>
      <c r="C5" s="7"/>
      <c r="D5" s="7">
        <v>25</v>
      </c>
      <c r="E5" s="8">
        <f>E4+C5-D5</f>
        <v>195</v>
      </c>
      <c r="G5" s="59" t="s">
        <v>159</v>
      </c>
      <c r="H5" s="21">
        <f ca="1">NOW()</f>
        <v>45798.790903356479</v>
      </c>
    </row>
    <row r="6" spans="1:10" ht="15.75" x14ac:dyDescent="0.25">
      <c r="A6" s="6">
        <v>45030</v>
      </c>
      <c r="B6" s="10" t="s">
        <v>37</v>
      </c>
      <c r="C6" s="7"/>
      <c r="D6" s="7">
        <v>120</v>
      </c>
      <c r="E6" s="8">
        <f t="shared" ref="E6:E23" si="0">E5+C6-D6</f>
        <v>75</v>
      </c>
    </row>
    <row r="7" spans="1:10" ht="15.75" x14ac:dyDescent="0.25">
      <c r="A7" s="6">
        <v>45031</v>
      </c>
      <c r="B7" s="10" t="s">
        <v>36</v>
      </c>
      <c r="C7" s="7"/>
      <c r="D7" s="7">
        <v>35</v>
      </c>
      <c r="E7" s="8">
        <f t="shared" si="0"/>
        <v>40</v>
      </c>
      <c r="H7" s="22"/>
      <c r="J7" s="15"/>
    </row>
    <row r="8" spans="1:10" ht="15.75" x14ac:dyDescent="0.25">
      <c r="A8" s="6">
        <v>45032</v>
      </c>
      <c r="B8" s="10" t="s">
        <v>36</v>
      </c>
      <c r="C8" s="7"/>
      <c r="D8" s="7">
        <v>10</v>
      </c>
      <c r="E8" s="8">
        <f t="shared" si="0"/>
        <v>30</v>
      </c>
    </row>
    <row r="9" spans="1:10" ht="15.75" x14ac:dyDescent="0.25">
      <c r="A9" s="6">
        <v>45033</v>
      </c>
      <c r="B9" s="10" t="s">
        <v>36</v>
      </c>
      <c r="C9" s="7"/>
      <c r="D9" s="7">
        <v>8.5</v>
      </c>
      <c r="E9" s="8">
        <f t="shared" si="0"/>
        <v>21.5</v>
      </c>
      <c r="H9" s="23"/>
    </row>
    <row r="10" spans="1:10" ht="15.75" x14ac:dyDescent="0.25">
      <c r="A10" s="6">
        <v>45034</v>
      </c>
      <c r="B10" s="10" t="s">
        <v>38</v>
      </c>
      <c r="C10" s="7"/>
      <c r="D10" s="7">
        <v>3.3</v>
      </c>
      <c r="E10" s="8">
        <f t="shared" si="0"/>
        <v>18.2</v>
      </c>
    </row>
    <row r="11" spans="1:10" ht="15.75" x14ac:dyDescent="0.25">
      <c r="A11" s="6">
        <v>45035</v>
      </c>
      <c r="B11" s="10" t="s">
        <v>38</v>
      </c>
      <c r="C11" s="7"/>
      <c r="D11" s="7">
        <v>80</v>
      </c>
      <c r="E11" s="8">
        <f t="shared" si="0"/>
        <v>-61.8</v>
      </c>
    </row>
    <row r="12" spans="1:10" ht="15.75" x14ac:dyDescent="0.25">
      <c r="A12" s="6">
        <v>45036</v>
      </c>
      <c r="B12" s="10" t="s">
        <v>38</v>
      </c>
      <c r="C12" s="7">
        <v>100</v>
      </c>
      <c r="D12" s="7">
        <v>50</v>
      </c>
      <c r="E12" s="8">
        <f t="shared" si="0"/>
        <v>-11.799999999999997</v>
      </c>
    </row>
    <row r="13" spans="1:10" ht="15.75" x14ac:dyDescent="0.25">
      <c r="A13" s="6">
        <v>45037</v>
      </c>
      <c r="B13" s="10" t="s">
        <v>38</v>
      </c>
      <c r="C13" s="7">
        <v>70</v>
      </c>
      <c r="D13" s="7">
        <v>50</v>
      </c>
      <c r="E13" s="8">
        <f t="shared" si="0"/>
        <v>8.2000000000000028</v>
      </c>
    </row>
    <row r="14" spans="1:10" ht="15.75" x14ac:dyDescent="0.25">
      <c r="A14" s="6">
        <v>45038</v>
      </c>
      <c r="B14" s="10" t="s">
        <v>35</v>
      </c>
      <c r="C14" s="7">
        <v>245</v>
      </c>
      <c r="D14" s="7">
        <v>300</v>
      </c>
      <c r="E14" s="8">
        <f t="shared" si="0"/>
        <v>-46.800000000000011</v>
      </c>
    </row>
    <row r="15" spans="1:10" ht="15.75" x14ac:dyDescent="0.25">
      <c r="A15" s="6">
        <v>45039</v>
      </c>
      <c r="B15" s="10" t="s">
        <v>38</v>
      </c>
      <c r="C15" s="7">
        <v>70</v>
      </c>
      <c r="D15" s="7">
        <v>50</v>
      </c>
      <c r="E15" s="8">
        <f t="shared" si="0"/>
        <v>-26.800000000000011</v>
      </c>
    </row>
    <row r="16" spans="1:10" ht="15.75" x14ac:dyDescent="0.25">
      <c r="A16" s="6">
        <v>45040</v>
      </c>
      <c r="B16" s="10" t="s">
        <v>38</v>
      </c>
      <c r="C16" s="7"/>
      <c r="D16" s="7">
        <v>38.5</v>
      </c>
      <c r="E16" s="8">
        <f t="shared" si="0"/>
        <v>-65.300000000000011</v>
      </c>
    </row>
    <row r="17" spans="1:5" ht="15.75" x14ac:dyDescent="0.25">
      <c r="A17" s="6">
        <v>45041</v>
      </c>
      <c r="B17" s="10" t="s">
        <v>38</v>
      </c>
      <c r="C17" s="7">
        <v>300</v>
      </c>
      <c r="D17" s="7"/>
      <c r="E17" s="8">
        <f t="shared" si="0"/>
        <v>234.7</v>
      </c>
    </row>
    <row r="18" spans="1:5" ht="15.75" x14ac:dyDescent="0.25">
      <c r="A18" s="6">
        <v>45042</v>
      </c>
      <c r="B18" s="10" t="s">
        <v>36</v>
      </c>
      <c r="C18" s="7"/>
      <c r="D18" s="7">
        <v>25</v>
      </c>
      <c r="E18" s="8">
        <f t="shared" si="0"/>
        <v>209.7</v>
      </c>
    </row>
    <row r="19" spans="1:5" ht="15.75" x14ac:dyDescent="0.25">
      <c r="A19" s="6">
        <v>45043</v>
      </c>
      <c r="B19" s="10" t="s">
        <v>36</v>
      </c>
      <c r="C19" s="7"/>
      <c r="D19" s="7">
        <v>65</v>
      </c>
      <c r="E19" s="8">
        <f t="shared" si="0"/>
        <v>144.69999999999999</v>
      </c>
    </row>
    <row r="20" spans="1:5" ht="15.75" x14ac:dyDescent="0.25">
      <c r="A20" s="6">
        <v>45044</v>
      </c>
      <c r="B20" s="10" t="s">
        <v>36</v>
      </c>
      <c r="C20" s="7"/>
      <c r="D20" s="7">
        <v>71</v>
      </c>
      <c r="E20" s="8">
        <f t="shared" si="0"/>
        <v>73.699999999999989</v>
      </c>
    </row>
    <row r="21" spans="1:5" ht="15.75" x14ac:dyDescent="0.25">
      <c r="A21" s="6">
        <v>45045</v>
      </c>
      <c r="B21" s="10" t="s">
        <v>39</v>
      </c>
      <c r="C21" s="7">
        <v>204</v>
      </c>
      <c r="D21" s="7">
        <v>147</v>
      </c>
      <c r="E21" s="8">
        <f t="shared" si="0"/>
        <v>130.69999999999999</v>
      </c>
    </row>
    <row r="22" spans="1:5" ht="15.75" x14ac:dyDescent="0.25">
      <c r="A22" s="6">
        <v>45046</v>
      </c>
      <c r="B22" s="10" t="s">
        <v>38</v>
      </c>
      <c r="C22" s="7"/>
      <c r="D22" s="7">
        <v>21</v>
      </c>
      <c r="E22" s="8">
        <f t="shared" si="0"/>
        <v>109.69999999999999</v>
      </c>
    </row>
    <row r="23" spans="1:5" ht="15.75" x14ac:dyDescent="0.25">
      <c r="A23" s="6" t="s">
        <v>51</v>
      </c>
      <c r="B23" s="10" t="s">
        <v>38</v>
      </c>
      <c r="C23" s="7"/>
      <c r="D23" s="7">
        <v>39</v>
      </c>
      <c r="E23" s="8">
        <f t="shared" si="0"/>
        <v>70.699999999999989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F056-68F9-46BE-8181-0AF08EE32C2F}">
  <dimension ref="B1:L14"/>
  <sheetViews>
    <sheetView workbookViewId="0">
      <selection activeCell="N11" sqref="N11"/>
    </sheetView>
  </sheetViews>
  <sheetFormatPr defaultRowHeight="15" x14ac:dyDescent="0.25"/>
  <cols>
    <col min="2" max="2" width="10.85546875" bestFit="1" customWidth="1"/>
    <col min="3" max="3" width="11.28515625" bestFit="1" customWidth="1"/>
    <col min="4" max="4" width="15.42578125" bestFit="1" customWidth="1"/>
    <col min="5" max="5" width="16.5703125" bestFit="1" customWidth="1"/>
    <col min="6" max="6" width="12.42578125" bestFit="1" customWidth="1"/>
    <col min="7" max="7" width="9.7109375" bestFit="1" customWidth="1"/>
    <col min="8" max="8" width="13.5703125" bestFit="1" customWidth="1"/>
    <col min="9" max="9" width="14.85546875" bestFit="1" customWidth="1"/>
  </cols>
  <sheetData>
    <row r="1" spans="2:12" ht="16.5" thickBot="1" x14ac:dyDescent="0.3">
      <c r="L1" s="43" t="s">
        <v>56</v>
      </c>
    </row>
    <row r="2" spans="2:12" ht="15.75" thickBot="1" x14ac:dyDescent="0.3">
      <c r="B2" s="67" t="s">
        <v>57</v>
      </c>
      <c r="C2" s="68" t="s">
        <v>58</v>
      </c>
      <c r="D2" s="68" t="s">
        <v>59</v>
      </c>
      <c r="E2" s="68" t="s">
        <v>60</v>
      </c>
      <c r="F2" s="68" t="s">
        <v>61</v>
      </c>
      <c r="G2" s="68" t="s">
        <v>62</v>
      </c>
      <c r="H2" s="68" t="s">
        <v>63</v>
      </c>
      <c r="I2" s="69" t="s">
        <v>64</v>
      </c>
      <c r="L2" t="s">
        <v>65</v>
      </c>
    </row>
    <row r="3" spans="2:12" x14ac:dyDescent="0.25">
      <c r="B3" s="64" t="s">
        <v>66</v>
      </c>
      <c r="C3" s="64" t="s">
        <v>67</v>
      </c>
      <c r="D3" s="65" t="s">
        <v>68</v>
      </c>
      <c r="E3" s="65" t="s">
        <v>69</v>
      </c>
      <c r="F3" s="65" t="s">
        <v>70</v>
      </c>
      <c r="G3" s="65">
        <v>1</v>
      </c>
      <c r="H3" s="70">
        <v>2793.27</v>
      </c>
      <c r="I3" s="66">
        <v>25662</v>
      </c>
      <c r="L3" t="s">
        <v>71</v>
      </c>
    </row>
    <row r="4" spans="2:12" x14ac:dyDescent="0.25">
      <c r="B4" s="62" t="s">
        <v>72</v>
      </c>
      <c r="C4" s="62" t="s">
        <v>73</v>
      </c>
      <c r="D4" s="61" t="s">
        <v>74</v>
      </c>
      <c r="E4" s="61" t="s">
        <v>75</v>
      </c>
      <c r="F4" s="61" t="s">
        <v>76</v>
      </c>
      <c r="G4" s="61">
        <v>0</v>
      </c>
      <c r="H4" s="71">
        <v>5486.78</v>
      </c>
      <c r="I4" s="63">
        <v>34123</v>
      </c>
    </row>
    <row r="5" spans="2:12" x14ac:dyDescent="0.25">
      <c r="B5" s="62" t="s">
        <v>77</v>
      </c>
      <c r="C5" s="62" t="s">
        <v>78</v>
      </c>
      <c r="D5" s="61" t="s">
        <v>79</v>
      </c>
      <c r="E5" s="61" t="s">
        <v>80</v>
      </c>
      <c r="F5" s="61" t="s">
        <v>76</v>
      </c>
      <c r="G5" s="61">
        <v>2</v>
      </c>
      <c r="H5" s="71">
        <v>947.72</v>
      </c>
      <c r="I5" s="63">
        <v>33087</v>
      </c>
    </row>
    <row r="6" spans="2:12" x14ac:dyDescent="0.25">
      <c r="B6" s="62" t="s">
        <v>81</v>
      </c>
      <c r="C6" s="62" t="s">
        <v>82</v>
      </c>
      <c r="D6" s="61" t="s">
        <v>79</v>
      </c>
      <c r="E6" s="61" t="s">
        <v>75</v>
      </c>
      <c r="F6" s="61" t="s">
        <v>70</v>
      </c>
      <c r="G6" s="61">
        <v>2</v>
      </c>
      <c r="H6" s="71">
        <v>1720.85</v>
      </c>
      <c r="I6" s="63">
        <v>31902</v>
      </c>
    </row>
    <row r="7" spans="2:12" x14ac:dyDescent="0.25">
      <c r="B7" s="62" t="s">
        <v>83</v>
      </c>
      <c r="C7" s="62" t="s">
        <v>84</v>
      </c>
      <c r="D7" s="61" t="s">
        <v>79</v>
      </c>
      <c r="E7" s="61" t="s">
        <v>75</v>
      </c>
      <c r="F7" s="61" t="s">
        <v>76</v>
      </c>
      <c r="G7" s="61">
        <v>2</v>
      </c>
      <c r="H7" s="71">
        <v>673.38</v>
      </c>
      <c r="I7" s="63">
        <v>32874</v>
      </c>
    </row>
    <row r="8" spans="2:12" x14ac:dyDescent="0.25">
      <c r="B8" s="62" t="s">
        <v>85</v>
      </c>
      <c r="C8" s="62" t="s">
        <v>84</v>
      </c>
      <c r="D8" s="61" t="s">
        <v>79</v>
      </c>
      <c r="E8" s="61" t="s">
        <v>86</v>
      </c>
      <c r="F8" s="61" t="s">
        <v>76</v>
      </c>
      <c r="G8" s="61">
        <v>1</v>
      </c>
      <c r="H8" s="71">
        <v>616.02</v>
      </c>
      <c r="I8" s="63">
        <v>35280</v>
      </c>
    </row>
    <row r="9" spans="2:12" x14ac:dyDescent="0.25">
      <c r="B9" s="62" t="s">
        <v>87</v>
      </c>
      <c r="C9" s="62" t="s">
        <v>88</v>
      </c>
      <c r="D9" s="61" t="s">
        <v>79</v>
      </c>
      <c r="E9" s="61" t="s">
        <v>89</v>
      </c>
      <c r="F9" s="61" t="s">
        <v>76</v>
      </c>
      <c r="G9" s="61">
        <v>3</v>
      </c>
      <c r="H9" s="71">
        <v>548.67999999999995</v>
      </c>
      <c r="I9" s="63">
        <v>32874</v>
      </c>
    </row>
    <row r="10" spans="2:12" x14ac:dyDescent="0.25">
      <c r="B10" s="62" t="s">
        <v>90</v>
      </c>
      <c r="C10" s="62" t="s">
        <v>91</v>
      </c>
      <c r="D10" s="61" t="s">
        <v>79</v>
      </c>
      <c r="E10" s="61" t="s">
        <v>89</v>
      </c>
      <c r="F10" s="61" t="s">
        <v>76</v>
      </c>
      <c r="G10" s="61">
        <v>1</v>
      </c>
      <c r="H10" s="71">
        <v>748.2</v>
      </c>
      <c r="I10" s="63">
        <v>31778</v>
      </c>
    </row>
    <row r="11" spans="2:12" x14ac:dyDescent="0.25">
      <c r="B11" s="62" t="s">
        <v>92</v>
      </c>
      <c r="C11" s="62" t="s">
        <v>93</v>
      </c>
      <c r="D11" s="61" t="s">
        <v>79</v>
      </c>
      <c r="E11" s="61" t="s">
        <v>94</v>
      </c>
      <c r="F11" s="61" t="s">
        <v>76</v>
      </c>
      <c r="G11" s="61">
        <v>2</v>
      </c>
      <c r="H11" s="71">
        <v>379.09</v>
      </c>
      <c r="I11" s="63">
        <v>32964</v>
      </c>
    </row>
    <row r="12" spans="2:12" x14ac:dyDescent="0.25">
      <c r="B12" s="62" t="s">
        <v>95</v>
      </c>
      <c r="C12" s="62" t="s">
        <v>96</v>
      </c>
      <c r="D12" s="61" t="s">
        <v>97</v>
      </c>
      <c r="E12" s="61" t="s">
        <v>89</v>
      </c>
      <c r="F12" s="61" t="s">
        <v>98</v>
      </c>
      <c r="G12" s="61">
        <v>4</v>
      </c>
      <c r="H12" s="71">
        <v>1601.14</v>
      </c>
      <c r="I12" s="63">
        <v>32964</v>
      </c>
    </row>
    <row r="13" spans="2:12" x14ac:dyDescent="0.25">
      <c r="H13" s="47">
        <f>SUM(H3:H12)</f>
        <v>15515.13</v>
      </c>
    </row>
    <row r="14" spans="2:12" x14ac:dyDescent="0.25">
      <c r="F14" s="44"/>
      <c r="H14" s="4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0362-8686-41C7-A0A4-F3E56775BD8D}">
  <dimension ref="B1:M17"/>
  <sheetViews>
    <sheetView tabSelected="1" workbookViewId="0">
      <selection activeCell="P13" sqref="P13"/>
    </sheetView>
  </sheetViews>
  <sheetFormatPr defaultRowHeight="15" x14ac:dyDescent="0.25"/>
  <cols>
    <col min="3" max="3" width="14.28515625" bestFit="1" customWidth="1"/>
    <col min="4" max="4" width="10.7109375" bestFit="1" customWidth="1"/>
    <col min="5" max="5" width="11.140625" bestFit="1" customWidth="1"/>
    <col min="6" max="7" width="14.85546875" customWidth="1"/>
    <col min="8" max="8" width="13.85546875" customWidth="1"/>
    <col min="9" max="9" width="9.42578125" style="46" bestFit="1" customWidth="1"/>
    <col min="10" max="10" width="14.7109375" bestFit="1" customWidth="1"/>
  </cols>
  <sheetData>
    <row r="1" spans="2:13" ht="15.75" thickBot="1" x14ac:dyDescent="0.3"/>
    <row r="2" spans="2:13" ht="39" thickBot="1" x14ac:dyDescent="0.3">
      <c r="B2" s="91" t="s">
        <v>99</v>
      </c>
      <c r="C2" s="92" t="s">
        <v>22</v>
      </c>
      <c r="D2" s="92" t="s">
        <v>100</v>
      </c>
      <c r="E2" s="92" t="s">
        <v>101</v>
      </c>
      <c r="F2" s="92" t="s">
        <v>102</v>
      </c>
      <c r="G2" s="92" t="s">
        <v>103</v>
      </c>
      <c r="H2" s="92" t="s">
        <v>8</v>
      </c>
      <c r="I2" s="93" t="s">
        <v>104</v>
      </c>
      <c r="J2" s="94" t="s">
        <v>105</v>
      </c>
      <c r="M2" s="43" t="s">
        <v>56</v>
      </c>
    </row>
    <row r="3" spans="2:13" x14ac:dyDescent="0.25">
      <c r="B3" s="84">
        <v>1254</v>
      </c>
      <c r="C3" s="85" t="s">
        <v>106</v>
      </c>
      <c r="D3" s="86">
        <v>45730</v>
      </c>
      <c r="E3" s="85" t="s">
        <v>107</v>
      </c>
      <c r="F3" s="86">
        <v>45790</v>
      </c>
      <c r="G3" s="87" t="s">
        <v>108</v>
      </c>
      <c r="H3" s="88">
        <v>1200</v>
      </c>
      <c r="I3" s="89">
        <v>200</v>
      </c>
      <c r="J3" s="90">
        <f>H3*I3</f>
        <v>240000</v>
      </c>
      <c r="M3" t="s">
        <v>65</v>
      </c>
    </row>
    <row r="4" spans="2:13" x14ac:dyDescent="0.25">
      <c r="B4" s="77">
        <v>1620</v>
      </c>
      <c r="C4" s="73" t="s">
        <v>109</v>
      </c>
      <c r="D4" s="74">
        <v>45757</v>
      </c>
      <c r="E4" s="73" t="s">
        <v>110</v>
      </c>
      <c r="F4" s="74">
        <v>45847</v>
      </c>
      <c r="G4" s="72" t="s">
        <v>108</v>
      </c>
      <c r="H4" s="75">
        <v>1200</v>
      </c>
      <c r="I4" s="76">
        <v>200</v>
      </c>
      <c r="J4" s="90">
        <f t="shared" ref="J4:J15" si="0">H4*I4</f>
        <v>240000</v>
      </c>
      <c r="M4" t="s">
        <v>161</v>
      </c>
    </row>
    <row r="5" spans="2:13" x14ac:dyDescent="0.25">
      <c r="B5" s="77">
        <v>1532</v>
      </c>
      <c r="C5" s="73" t="s">
        <v>111</v>
      </c>
      <c r="D5" s="74">
        <v>45732</v>
      </c>
      <c r="E5" s="73" t="s">
        <v>112</v>
      </c>
      <c r="F5" s="74">
        <v>45762</v>
      </c>
      <c r="G5" s="72" t="s">
        <v>113</v>
      </c>
      <c r="H5" s="73">
        <v>1000</v>
      </c>
      <c r="I5" s="76">
        <v>50</v>
      </c>
      <c r="J5" s="90">
        <f t="shared" si="0"/>
        <v>50000</v>
      </c>
      <c r="M5" t="s">
        <v>114</v>
      </c>
    </row>
    <row r="6" spans="2:13" x14ac:dyDescent="0.25">
      <c r="B6" s="77">
        <v>1520</v>
      </c>
      <c r="C6" s="73" t="s">
        <v>111</v>
      </c>
      <c r="D6" s="74">
        <v>45732</v>
      </c>
      <c r="E6" s="73" t="s">
        <v>112</v>
      </c>
      <c r="F6" s="74">
        <v>45762</v>
      </c>
      <c r="G6" s="72" t="s">
        <v>113</v>
      </c>
      <c r="H6" s="73">
        <v>300</v>
      </c>
      <c r="I6" s="76">
        <v>250</v>
      </c>
      <c r="J6" s="90">
        <f t="shared" si="0"/>
        <v>75000</v>
      </c>
    </row>
    <row r="7" spans="2:13" x14ac:dyDescent="0.25">
      <c r="B7" s="77">
        <v>1536</v>
      </c>
      <c r="C7" s="73" t="s">
        <v>115</v>
      </c>
      <c r="D7" s="74">
        <v>45735</v>
      </c>
      <c r="E7" s="73" t="s">
        <v>116</v>
      </c>
      <c r="F7" s="74">
        <v>45735</v>
      </c>
      <c r="G7" s="72" t="s">
        <v>113</v>
      </c>
      <c r="H7" s="73">
        <v>250</v>
      </c>
      <c r="I7" s="76">
        <v>45</v>
      </c>
      <c r="J7" s="90">
        <f t="shared" si="0"/>
        <v>11250</v>
      </c>
    </row>
    <row r="8" spans="2:13" x14ac:dyDescent="0.25">
      <c r="B8" s="77">
        <v>1539</v>
      </c>
      <c r="C8" s="73" t="s">
        <v>115</v>
      </c>
      <c r="D8" s="74">
        <v>45740</v>
      </c>
      <c r="E8" s="73" t="s">
        <v>116</v>
      </c>
      <c r="F8" s="74">
        <v>45740</v>
      </c>
      <c r="G8" s="72" t="s">
        <v>113</v>
      </c>
      <c r="H8" s="73">
        <v>100</v>
      </c>
      <c r="I8" s="76">
        <v>200</v>
      </c>
      <c r="J8" s="90">
        <f t="shared" si="0"/>
        <v>20000</v>
      </c>
    </row>
    <row r="9" spans="2:13" x14ac:dyDescent="0.25">
      <c r="B9" s="77">
        <v>1632</v>
      </c>
      <c r="C9" s="73" t="s">
        <v>115</v>
      </c>
      <c r="D9" s="74">
        <v>45757</v>
      </c>
      <c r="E9" s="73" t="s">
        <v>116</v>
      </c>
      <c r="F9" s="74">
        <v>45757</v>
      </c>
      <c r="G9" s="72" t="s">
        <v>113</v>
      </c>
      <c r="H9" s="75">
        <v>1000</v>
      </c>
      <c r="I9" s="76">
        <v>100</v>
      </c>
      <c r="J9" s="90">
        <f t="shared" si="0"/>
        <v>100000</v>
      </c>
    </row>
    <row r="10" spans="2:13" x14ac:dyDescent="0.25">
      <c r="B10" s="77">
        <v>1248</v>
      </c>
      <c r="C10" s="73" t="s">
        <v>109</v>
      </c>
      <c r="D10" s="74">
        <v>45702</v>
      </c>
      <c r="E10" s="73" t="s">
        <v>110</v>
      </c>
      <c r="F10" s="74">
        <v>45793</v>
      </c>
      <c r="G10" s="72" t="s">
        <v>117</v>
      </c>
      <c r="H10" s="75">
        <v>2500</v>
      </c>
      <c r="I10" s="76">
        <v>40</v>
      </c>
      <c r="J10" s="90">
        <f t="shared" si="0"/>
        <v>100000</v>
      </c>
    </row>
    <row r="11" spans="2:13" x14ac:dyDescent="0.25">
      <c r="B11" s="77">
        <v>1480</v>
      </c>
      <c r="C11" s="73" t="s">
        <v>111</v>
      </c>
      <c r="D11" s="74">
        <v>45732</v>
      </c>
      <c r="E11" s="73" t="s">
        <v>112</v>
      </c>
      <c r="F11" s="74">
        <v>45762</v>
      </c>
      <c r="G11" s="72" t="s">
        <v>117</v>
      </c>
      <c r="H11" s="75">
        <v>600</v>
      </c>
      <c r="I11" s="76">
        <v>400</v>
      </c>
      <c r="J11" s="90">
        <f t="shared" si="0"/>
        <v>240000</v>
      </c>
    </row>
    <row r="12" spans="2:13" x14ac:dyDescent="0.25">
      <c r="B12" s="77">
        <v>1586</v>
      </c>
      <c r="C12" s="73" t="s">
        <v>106</v>
      </c>
      <c r="D12" s="74">
        <v>45743</v>
      </c>
      <c r="E12" s="73" t="s">
        <v>107</v>
      </c>
      <c r="F12" s="74">
        <v>45803</v>
      </c>
      <c r="G12" s="72" t="s">
        <v>117</v>
      </c>
      <c r="H12" s="73">
        <v>150</v>
      </c>
      <c r="I12" s="76">
        <v>100</v>
      </c>
      <c r="J12" s="90">
        <f t="shared" si="0"/>
        <v>15000</v>
      </c>
    </row>
    <row r="13" spans="2:13" x14ac:dyDescent="0.25">
      <c r="B13" s="77">
        <v>1251</v>
      </c>
      <c r="C13" s="73" t="s">
        <v>109</v>
      </c>
      <c r="D13" s="74">
        <v>45702</v>
      </c>
      <c r="E13" s="73" t="s">
        <v>110</v>
      </c>
      <c r="F13" s="74">
        <v>45793</v>
      </c>
      <c r="G13" s="72" t="s">
        <v>118</v>
      </c>
      <c r="H13" s="75">
        <v>250</v>
      </c>
      <c r="I13" s="76">
        <v>120</v>
      </c>
      <c r="J13" s="90">
        <f t="shared" si="0"/>
        <v>30000</v>
      </c>
    </row>
    <row r="14" spans="2:13" x14ac:dyDescent="0.25">
      <c r="B14" s="77">
        <v>1585</v>
      </c>
      <c r="C14" s="73" t="s">
        <v>119</v>
      </c>
      <c r="D14" s="74">
        <v>45743</v>
      </c>
      <c r="E14" s="73" t="s">
        <v>107</v>
      </c>
      <c r="F14" s="74">
        <v>45803</v>
      </c>
      <c r="G14" s="72" t="s">
        <v>118</v>
      </c>
      <c r="H14" s="75">
        <v>500</v>
      </c>
      <c r="I14" s="76">
        <v>20</v>
      </c>
      <c r="J14" s="90">
        <f t="shared" si="0"/>
        <v>10000</v>
      </c>
    </row>
    <row r="15" spans="2:13" x14ac:dyDescent="0.25">
      <c r="B15" s="77">
        <v>1591</v>
      </c>
      <c r="C15" s="73" t="s">
        <v>119</v>
      </c>
      <c r="D15" s="74">
        <v>45743</v>
      </c>
      <c r="E15" s="73" t="s">
        <v>107</v>
      </c>
      <c r="F15" s="74">
        <v>45803</v>
      </c>
      <c r="G15" s="72" t="s">
        <v>118</v>
      </c>
      <c r="H15" s="75">
        <v>1500</v>
      </c>
      <c r="I15" s="76">
        <v>10</v>
      </c>
      <c r="J15" s="90">
        <f t="shared" si="0"/>
        <v>15000</v>
      </c>
    </row>
    <row r="16" spans="2:13" x14ac:dyDescent="0.25">
      <c r="B16" s="77"/>
      <c r="C16" s="72"/>
      <c r="D16" s="72"/>
      <c r="E16" s="72"/>
      <c r="F16" s="72"/>
      <c r="G16" s="72"/>
      <c r="H16" s="72"/>
      <c r="I16" s="76"/>
      <c r="J16" s="78"/>
    </row>
    <row r="17" spans="2:10" ht="15.75" thickBot="1" x14ac:dyDescent="0.3">
      <c r="B17" s="79"/>
      <c r="C17" s="80"/>
      <c r="D17" s="80"/>
      <c r="E17" s="80"/>
      <c r="F17" s="80"/>
      <c r="G17" s="95" t="s">
        <v>105</v>
      </c>
      <c r="H17" s="81">
        <f>SUM(H3:H16)</f>
        <v>10550</v>
      </c>
      <c r="I17" s="82"/>
      <c r="J17" s="83">
        <f>SUM(J3:J16)</f>
        <v>1146250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A2DD8C-AC35-4752-AE50-295DF6011766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517C52D8-4FC8-4749-84A2-E41EDFB2F371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9D5ABEFC-C233-4A49-8D41-3926EA709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55B316B-188B-4693-810A-5C3DF96F5D5C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customXml/itemProps5.xml><?xml version="1.0" encoding="utf-8"?>
<ds:datastoreItem xmlns:ds="http://schemas.openxmlformats.org/officeDocument/2006/customXml" ds:itemID="{E8760C8B-AD85-48CF-AADD-EA08E3CA34FA}">
  <ds:schemaRefs>
    <ds:schemaRef ds:uri="http://www.w3.org/2001/XMLSchema"/>
    <ds:schemaRef ds:uri="http://microsoft.data.visualization.Client.Excel.CustomMapList/1.0"/>
  </ds:schemaRefs>
</ds:datastoreItem>
</file>

<file path=customXml/itemProps6.xml><?xml version="1.0" encoding="utf-8"?>
<ds:datastoreItem xmlns:ds="http://schemas.openxmlformats.org/officeDocument/2006/customXml" ds:itemID="{79CE17E9-5098-4865-A514-EF1433B4A92F}">
  <ds:schemaRefs>
    <ds:schemaRef ds:uri="http://schemas.microsoft.com/PowerBIAddIn"/>
  </ds:schemaRefs>
</ds:datastoreItem>
</file>

<file path=customXml/itemProps7.xml><?xml version="1.0" encoding="utf-8"?>
<ds:datastoreItem xmlns:ds="http://schemas.openxmlformats.org/officeDocument/2006/customXml" ds:itemID="{F4A71456-014D-44F5-8368-6D8E611DEACE}">
  <ds:schemaRefs>
    <ds:schemaRef ds:uri="http://www.w3.org/2001/XMLSchema"/>
    <ds:schemaRef ds:uri="http://microsoft.data.visualization.engine.tours/1.0"/>
  </ds:schemaRefs>
</ds:datastoreItem>
</file>

<file path=customXml/itemProps8.xml><?xml version="1.0" encoding="utf-8"?>
<ds:datastoreItem xmlns:ds="http://schemas.openxmlformats.org/officeDocument/2006/customXml" ds:itemID="{4112B209-A8F2-4A52-9C01-004D977D81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Ex</vt:lpstr>
      <vt:lpstr>Ex1</vt:lpstr>
      <vt:lpstr>Ex2</vt:lpstr>
      <vt:lpstr>Ex3</vt:lpstr>
      <vt:lpstr>Ex4</vt:lpstr>
      <vt:lpstr>Ex5</vt:lpstr>
      <vt:lpstr>Ex6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</dc:creator>
  <cp:lastModifiedBy>MANOEL BARATA</cp:lastModifiedBy>
  <dcterms:created xsi:type="dcterms:W3CDTF">2019-12-14T09:55:18Z</dcterms:created>
  <dcterms:modified xsi:type="dcterms:W3CDTF">2025-05-21T18:02:47Z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