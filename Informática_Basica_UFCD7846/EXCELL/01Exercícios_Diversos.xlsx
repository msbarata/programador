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lcoitão IEFP\2025\Isabel Alemão\Turma 25069 Prog\7846\Aula 26 Maio\"/>
    </mc:Choice>
  </mc:AlternateContent>
  <xr:revisionPtr revIDLastSave="0" documentId="13_ncr:1_{A4FE89D9-A4BE-43EA-9124-5B693833FEFD}" xr6:coauthVersionLast="47" xr6:coauthVersionMax="47" xr10:uidLastSave="{00000000-0000-0000-0000-000000000000}"/>
  <bookViews>
    <workbookView xWindow="-120" yWindow="-120" windowWidth="29040" windowHeight="15840" xr2:uid="{FBC04B4F-3E67-4BCA-8AE3-B9A007FCEE89}"/>
  </bookViews>
  <sheets>
    <sheet name="Ex1" sheetId="1" r:id="rId1"/>
    <sheet name="Ex2" sheetId="2" r:id="rId2"/>
    <sheet name="Ex3" sheetId="3" r:id="rId3"/>
    <sheet name="Ex4" sheetId="5" r:id="rId4"/>
    <sheet name="Ex5" sheetId="7" r:id="rId5"/>
    <sheet name="Ex6" sheetId="8" r:id="rId6"/>
  </sheets>
  <definedNames>
    <definedName name="_xlnm._FilterDatabase" localSheetId="1" hidden="1">'Ex2'!$B$2:$G$20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<sst xmlns="http://schemas.openxmlformats.org/spreadsheetml/2006/main" count="167" uniqueCount="157">
  <si>
    <t>Manager</t>
  </si>
  <si>
    <t>Sector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</si>
  <si>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</si>
  <si>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</si>
  <si>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</si>
  <si>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</si>
  <si>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</si>
  <si>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</si>
  <si>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</si>
  <si>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</si>
  <si>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</si>
  <si>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</si>
  <si>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</si>
  <si>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Nome Inicial</t>
  </si>
  <si>
    <t>MARIA TERESA PINTO</t>
  </si>
  <si>
    <t>Marketing</t>
  </si>
  <si>
    <t>MIGUEL AROUCA</t>
  </si>
  <si>
    <t>Jurídico</t>
  </si>
  <si>
    <t>CARLA PROENÇA</t>
  </si>
  <si>
    <t>Informática</t>
  </si>
  <si>
    <t>CARLOS FERNANDES</t>
  </si>
  <si>
    <t>Engenharia</t>
  </si>
  <si>
    <t>CONCEIÇÃO CARVALHO</t>
  </si>
  <si>
    <t>Financeiro</t>
  </si>
  <si>
    <t>CARLOS RAFAEL</t>
  </si>
  <si>
    <t>Recursos Humanos</t>
  </si>
  <si>
    <t>JOÃO FERNANDES</t>
  </si>
  <si>
    <t>FILOMENA CORREIA</t>
  </si>
  <si>
    <t>RUI GUERREIRO</t>
  </si>
  <si>
    <t>Logística</t>
  </si>
  <si>
    <t>LÍLIA CORREIA</t>
  </si>
  <si>
    <t>Produção</t>
  </si>
  <si>
    <t>MÁRIO AFONSO</t>
  </si>
  <si>
    <t>ANA MAGALHÃES</t>
  </si>
  <si>
    <t>ANA DINIS</t>
  </si>
  <si>
    <t>RUTE PIMENTA</t>
  </si>
  <si>
    <t>SÉRGIO LAMEIRAS</t>
  </si>
  <si>
    <t>SANDRA MENDES</t>
  </si>
  <si>
    <t>NOME DO TÍTULO</t>
  </si>
  <si>
    <t>PREÇO</t>
  </si>
  <si>
    <t>% Fecho</t>
  </si>
  <si>
    <t>Altri SGPS SA</t>
  </si>
  <si>
    <t>Banco Comercial Portugues SA (Nom)</t>
  </si>
  <si>
    <t>Corticeira Amorim SGPS SA</t>
  </si>
  <si>
    <t>1- Calcular a Percentagem de Fecho dos Títulos</t>
  </si>
  <si>
    <t>CTT Correios de Portugal SA</t>
  </si>
  <si>
    <t>EDP Energias de Portugal SA (Nom)</t>
  </si>
  <si>
    <t>2- Qual o Maior Valor do Preço Fecho</t>
  </si>
  <si>
    <t>EDP Renováveis SA</t>
  </si>
  <si>
    <t>Galp Energia (Nom)</t>
  </si>
  <si>
    <t>3- Qual o 2º Maior Valor do Preço Fecho</t>
  </si>
  <si>
    <t>Ibersol - SGPS</t>
  </si>
  <si>
    <t>Jeronimo Martins SGPS SA</t>
  </si>
  <si>
    <t>4- Qual o Menor Valor de Fecho</t>
  </si>
  <si>
    <t>MotaEngil SGPS SA</t>
  </si>
  <si>
    <t>NOS SGPS SA</t>
  </si>
  <si>
    <t>3- Qual o 2º Menor Valor do Preço Fecho</t>
  </si>
  <si>
    <t>NovaBase SGPS SA (Nom)</t>
  </si>
  <si>
    <t>PHarol SGPS SA</t>
  </si>
  <si>
    <t>Redes Energéticas Nacionais</t>
  </si>
  <si>
    <t>SEMAPA Soc Inv Gestao SGPS</t>
  </si>
  <si>
    <t>Sonae Capital SGPS SA</t>
  </si>
  <si>
    <t>Sonae SGPS SA</t>
  </si>
  <si>
    <t>The Navigator Company SA</t>
  </si>
  <si>
    <t>Total</t>
  </si>
  <si>
    <t>Exercício - Gráfico 1</t>
  </si>
  <si>
    <t>Crie um Gráfico Circular destacada com Visual 3 D - com Percentagens</t>
  </si>
  <si>
    <t>Meses</t>
  </si>
  <si>
    <t>Jan</t>
  </si>
  <si>
    <t>Fev</t>
  </si>
  <si>
    <t>Mar</t>
  </si>
  <si>
    <t>Abr</t>
  </si>
  <si>
    <t>Mai</t>
  </si>
  <si>
    <t>Jun</t>
  </si>
  <si>
    <t>Ano 2023</t>
  </si>
  <si>
    <t>Gráfico - 2 Eixos</t>
  </si>
  <si>
    <t>Ano</t>
  </si>
  <si>
    <t>Nº Empresas</t>
  </si>
  <si>
    <t>Volume Facturação</t>
  </si>
  <si>
    <t xml:space="preserve">Criar um Gráfico Combinado </t>
  </si>
  <si>
    <t>Alterar um dos Eixos (Nº Empresas) em Linha e (Secundário)</t>
  </si>
  <si>
    <t>Ano 2022</t>
  </si>
  <si>
    <t>NOME</t>
  </si>
  <si>
    <t>Gráficos Sparklines</t>
  </si>
  <si>
    <t>País</t>
  </si>
  <si>
    <t>Trim1</t>
  </si>
  <si>
    <t>Trim2</t>
  </si>
  <si>
    <t>Trim3</t>
  </si>
  <si>
    <t>Trim4</t>
  </si>
  <si>
    <t xml:space="preserve">Sparkline </t>
  </si>
  <si>
    <t>Austria</t>
  </si>
  <si>
    <t>Belgium</t>
  </si>
  <si>
    <t>Denmark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</si>
  <si>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</si>
  <si>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</si>
  <si>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</si>
  <si>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</si>
  <si>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</si>
  <si>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</si>
  <si>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</si>
  <si>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</si>
  <si>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Netherlands</t>
  </si>
  <si>
    <t>Norway</t>
  </si>
  <si>
    <t>Poland</t>
  </si>
  <si>
    <t>Portugal</t>
  </si>
  <si>
    <t>Russia</t>
  </si>
  <si>
    <t>Spain</t>
  </si>
  <si>
    <t>Sweden</t>
  </si>
  <si>
    <t>Switzerland</t>
  </si>
  <si>
    <t>United Kingdom</t>
  </si>
  <si>
    <t>Código</t>
  </si>
  <si>
    <t>Projecto 1</t>
  </si>
  <si>
    <t>Projecto 2</t>
  </si>
  <si>
    <t>Projecto 3</t>
  </si>
  <si>
    <t>Projecto 4</t>
  </si>
  <si>
    <t>MÉDIA</t>
  </si>
  <si>
    <t>Maria Clara</t>
  </si>
  <si>
    <t>Maria Fernanda</t>
  </si>
  <si>
    <t>Ana Maria Isabel</t>
  </si>
  <si>
    <t>Rafael Azevedo</t>
  </si>
  <si>
    <t>Renata Helena</t>
  </si>
  <si>
    <t>Rodrigo Antonio</t>
  </si>
  <si>
    <t>Quantos Gestores Foram avaliados</t>
  </si>
  <si>
    <t>Silvia Maria de Sousa</t>
  </si>
  <si>
    <t>Nº Projectos não finalizados</t>
  </si>
  <si>
    <t>Tania Cabrera</t>
  </si>
  <si>
    <t>Teresa Raquel</t>
  </si>
  <si>
    <t>Valéria Santos</t>
  </si>
  <si>
    <t>Vitor Hugo</t>
  </si>
  <si>
    <t>Fernando Antunes</t>
  </si>
  <si>
    <t>Ana Lúcia Mendes</t>
  </si>
  <si>
    <t>Ana Paula Sousa</t>
  </si>
  <si>
    <t>Andreia Gonçalves</t>
  </si>
  <si>
    <t>António Silva</t>
  </si>
  <si>
    <t>Clara Sousa</t>
  </si>
  <si>
    <t>Cecília Teresa</t>
  </si>
  <si>
    <r>
      <t>Ponderação (%)</t>
    </r>
    <r>
      <rPr>
        <b/>
        <sz val="12"/>
        <color indexed="8"/>
        <rFont val="Calibri"/>
        <family val="2"/>
        <scheme val="minor"/>
      </rPr>
      <t xml:space="preserve"> </t>
    </r>
  </si>
  <si>
    <t>AVALIAÇÃO DA ANÁLISE DE PROJECTOS em 2024</t>
  </si>
  <si>
    <t>Ano 2024</t>
  </si>
  <si>
    <t>Exercício - Gráfico combinado</t>
  </si>
  <si>
    <t>Dados Campanha</t>
  </si>
  <si>
    <t>Tipo</t>
  </si>
  <si>
    <t>SUBTOTAL PROJETADO</t>
  </si>
  <si>
    <t>%</t>
  </si>
  <si>
    <t>Local</t>
  </si>
  <si>
    <t>Viagens</t>
  </si>
  <si>
    <t>Relações Públicas</t>
  </si>
  <si>
    <t>Decoração</t>
  </si>
  <si>
    <t>Programação Evento</t>
  </si>
  <si>
    <t>Meios Publicitários</t>
  </si>
  <si>
    <t>Publicidade</t>
  </si>
  <si>
    <t>Serviço Bar</t>
  </si>
  <si>
    <t>Outros</t>
  </si>
  <si>
    <t>1- Calcular as Percentagens</t>
  </si>
  <si>
    <t>2- Criar um Gráfico Combinado</t>
  </si>
  <si>
    <t>Variação</t>
  </si>
  <si>
    <t>PREÇO.FECHO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</si>
</sst>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[$€-816]_-;\-* #,##0.00\ [$€-816]_-;_-* &quot;-&quot;??\ [$€-816]_-;_-@_-"/>
    <numFmt numFmtId="165" formatCode="0.0%"/>
    <numFmt numFmtId="166" formatCode="_-* #,##0.0\ [$€-816]_-;\-* #,##0.0\ [$€-816]_-;_-* &quot;-&quot;?\ [$€-816]_-;_-@_-"/>
    <numFmt numFmtId="167" formatCode="0.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indexed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Arial"/>
      <family val="2"/>
    </font>
    <font>
      <b/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6" tint="-0.249977111117893"/>
      <name val="Century Gothic"/>
      <family val="2"/>
    </font>
    <font>
      <sz val="9"/>
      <color theme="1"/>
      <name val="Century Gothic"/>
      <family val="2"/>
    </font>
    <font>
      <b/>
      <sz val="12"/>
      <color theme="1"/>
      <name val="Century Gothic"/>
      <family val="2"/>
    </font>
    <font>
      <b/>
      <sz val="12"/>
      <color theme="0"/>
      <name val="Century Gothic"/>
      <family val="2"/>
    </font>
    <font>
      <sz val="12"/>
      <color theme="1"/>
      <name val="Century Gothic"/>
      <family val="2"/>
    </font>
    <font>
      <b/>
      <sz val="10"/>
      <color theme="1"/>
      <name val="Century Gothic"/>
      <family val="2"/>
    </font>
    <font>
      <b/>
      <sz val="14"/>
      <color theme="0" tint="-0.499984740745262"/>
      <name val="Century Gothic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</cellStyleXfs>
  <cellXfs count="7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left"/>
    </xf>
    <xf numFmtId="1" fontId="5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1" fontId="5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0" fillId="4" borderId="1" xfId="0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4" fontId="7" fillId="0" borderId="1" xfId="0" applyNumberFormat="1" applyFont="1" applyBorder="1"/>
    <xf numFmtId="0" fontId="8" fillId="0" borderId="0" xfId="0" applyFont="1"/>
    <xf numFmtId="164" fontId="0" fillId="4" borderId="1" xfId="0" applyNumberFormat="1" applyFill="1" applyBorder="1"/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4" applyFont="1"/>
    <xf numFmtId="0" fontId="10" fillId="0" borderId="0" xfId="4" applyFont="1" applyAlignment="1">
      <alignment horizontal="center"/>
    </xf>
    <xf numFmtId="0" fontId="11" fillId="0" borderId="0" xfId="0" applyFont="1"/>
    <xf numFmtId="0" fontId="12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4" fontId="9" fillId="0" borderId="2" xfId="1" applyNumberFormat="1" applyFont="1" applyFill="1" applyBorder="1" applyAlignment="1">
      <alignment horizontal="center"/>
    </xf>
    <xf numFmtId="0" fontId="9" fillId="0" borderId="3" xfId="5" applyFont="1" applyBorder="1" applyAlignment="1">
      <alignment horizontal="center"/>
    </xf>
    <xf numFmtId="0" fontId="14" fillId="5" borderId="0" xfId="5" applyFont="1" applyFill="1" applyAlignment="1">
      <alignment horizontal="center"/>
    </xf>
    <xf numFmtId="0" fontId="14" fillId="5" borderId="4" xfId="5" applyFont="1" applyFill="1" applyBorder="1" applyAlignment="1">
      <alignment horizontal="center"/>
    </xf>
    <xf numFmtId="0" fontId="10" fillId="6" borderId="0" xfId="5" applyFont="1" applyFill="1"/>
    <xf numFmtId="166" fontId="10" fillId="6" borderId="5" xfId="5" applyNumberFormat="1" applyFont="1" applyFill="1" applyBorder="1"/>
    <xf numFmtId="0" fontId="10" fillId="6" borderId="6" xfId="5" applyFont="1" applyFill="1" applyBorder="1"/>
    <xf numFmtId="166" fontId="10" fillId="6" borderId="7" xfId="5" applyNumberFormat="1" applyFont="1" applyFill="1" applyBorder="1"/>
    <xf numFmtId="0" fontId="15" fillId="0" borderId="0" xfId="0" applyFont="1"/>
    <xf numFmtId="0" fontId="18" fillId="0" borderId="0" xfId="0" applyFont="1"/>
    <xf numFmtId="0" fontId="2" fillId="0" borderId="1" xfId="0" applyFont="1" applyBorder="1" applyAlignment="1">
      <alignment horizontal="center"/>
    </xf>
    <xf numFmtId="0" fontId="19" fillId="0" borderId="0" xfId="0" applyFont="1"/>
    <xf numFmtId="1" fontId="20" fillId="0" borderId="1" xfId="0" applyNumberFormat="1" applyFont="1" applyBorder="1" applyAlignment="1" applyProtection="1">
      <alignment horizontal="center" vertical="center" wrapText="1" readingOrder="1"/>
      <protection locked="0"/>
    </xf>
    <xf numFmtId="10" fontId="3" fillId="7" borderId="10" xfId="0" applyNumberFormat="1" applyFont="1" applyFill="1" applyBorder="1" applyAlignment="1" applyProtection="1">
      <alignment horizontal="center" vertical="center" wrapText="1" readingOrder="1"/>
      <protection locked="0"/>
    </xf>
    <xf numFmtId="10" fontId="3" fillId="7" borderId="1" xfId="0" applyNumberFormat="1" applyFont="1" applyFill="1" applyBorder="1" applyAlignment="1" applyProtection="1">
      <alignment horizontal="center" vertical="center" wrapText="1" readingOrder="1"/>
      <protection locked="0"/>
    </xf>
    <xf numFmtId="0" fontId="22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>
      <alignment horizontal="left"/>
    </xf>
    <xf numFmtId="167" fontId="22" fillId="8" borderId="1" xfId="0" applyNumberFormat="1" applyFont="1" applyFill="1" applyBorder="1" applyAlignment="1">
      <alignment horizontal="center" vertical="center" wrapText="1" readingOrder="1"/>
    </xf>
    <xf numFmtId="0" fontId="17" fillId="2" borderId="1" xfId="0" applyFont="1" applyFill="1" applyBorder="1"/>
    <xf numFmtId="1" fontId="2" fillId="0" borderId="1" xfId="0" applyNumberFormat="1" applyFont="1" applyBorder="1" applyAlignment="1" applyProtection="1">
      <alignment horizontal="center" vertical="center" wrapText="1" readingOrder="1"/>
      <protection locked="0"/>
    </xf>
    <xf numFmtId="0" fontId="2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4" fontId="7" fillId="0" borderId="1" xfId="6" applyFont="1" applyBorder="1"/>
    <xf numFmtId="0" fontId="17" fillId="0" borderId="0" xfId="0" applyFont="1"/>
    <xf numFmtId="0" fontId="24" fillId="0" borderId="0" xfId="0" applyFont="1" applyAlignment="1">
      <alignment vertical="center"/>
    </xf>
    <xf numFmtId="0" fontId="25" fillId="0" borderId="0" xfId="0" applyFont="1" applyAlignment="1">
      <alignment horizontal="right" vertical="center" wrapText="1"/>
    </xf>
    <xf numFmtId="44" fontId="26" fillId="0" borderId="0" xfId="6" applyFont="1" applyAlignment="1">
      <alignment horizontal="left" vertical="center" wrapText="1" indent="1"/>
    </xf>
    <xf numFmtId="0" fontId="27" fillId="5" borderId="11" xfId="0" applyFont="1" applyFill="1" applyBorder="1" applyAlignment="1">
      <alignment horizontal="center" vertical="center" wrapText="1"/>
    </xf>
    <xf numFmtId="0" fontId="27" fillId="9" borderId="11" xfId="0" applyFont="1" applyFill="1" applyBorder="1" applyAlignment="1">
      <alignment horizontal="center" vertical="center" wrapText="1"/>
    </xf>
    <xf numFmtId="0" fontId="27" fillId="10" borderId="11" xfId="0" applyFont="1" applyFill="1" applyBorder="1" applyAlignment="1">
      <alignment horizontal="center" vertical="center" wrapText="1"/>
    </xf>
    <xf numFmtId="0" fontId="28" fillId="0" borderId="0" xfId="0" applyFont="1"/>
    <xf numFmtId="164" fontId="29" fillId="2" borderId="11" xfId="6" applyNumberFormat="1" applyFont="1" applyFill="1" applyBorder="1" applyAlignment="1">
      <alignment horizontal="right" vertical="center" wrapText="1" indent="1"/>
    </xf>
    <xf numFmtId="9" fontId="29" fillId="8" borderId="11" xfId="2" applyFont="1" applyFill="1" applyBorder="1" applyAlignment="1">
      <alignment horizontal="center"/>
    </xf>
    <xf numFmtId="0" fontId="30" fillId="0" borderId="0" xfId="0" applyFont="1" applyAlignment="1">
      <alignment vertical="center"/>
    </xf>
    <xf numFmtId="0" fontId="29" fillId="8" borderId="11" xfId="0" applyFont="1" applyFill="1" applyBorder="1" applyAlignment="1">
      <alignment horizontal="left" vertical="center" wrapText="1" indent="1"/>
    </xf>
    <xf numFmtId="164" fontId="29" fillId="0" borderId="0" xfId="0" applyNumberFormat="1" applyFont="1" applyAlignment="1">
      <alignment vertical="center" wrapText="1"/>
    </xf>
    <xf numFmtId="0" fontId="29" fillId="0" borderId="0" xfId="0" applyFont="1" applyAlignment="1">
      <alignment vertical="center" wrapText="1"/>
    </xf>
    <xf numFmtId="164" fontId="0" fillId="0" borderId="0" xfId="0" applyNumberFormat="1"/>
    <xf numFmtId="165" fontId="0" fillId="0" borderId="1" xfId="2" applyNumberFormat="1" applyFont="1" applyBorder="1" applyAlignment="1">
      <alignment horizontal="center"/>
    </xf>
    <xf numFmtId="10" fontId="0" fillId="0" borderId="1" xfId="2" applyNumberFormat="1" applyFont="1" applyBorder="1"/>
    <xf numFmtId="167" fontId="13" fillId="0" borderId="0" xfId="0" applyNumberFormat="1" applyFont="1"/>
    <xf numFmtId="0" fontId="13" fillId="0" borderId="12" xfId="0" applyFont="1" applyBorder="1" applyAlignment="1">
      <alignment horizontal="center" wrapText="1"/>
    </xf>
    <xf numFmtId="0" fontId="20" fillId="7" borderId="1" xfId="0" applyFont="1" applyFill="1" applyBorder="1" applyAlignment="1" applyProtection="1">
      <alignment horizontal="center" vertical="center" wrapText="1" readingOrder="1"/>
      <protection locked="0"/>
    </xf>
    <xf numFmtId="0" fontId="21" fillId="2" borderId="8" xfId="0" applyFont="1" applyFill="1" applyBorder="1" applyAlignment="1" applyProtection="1">
      <alignment horizontal="right" vertical="center" wrapText="1" readingOrder="1"/>
      <protection hidden="1"/>
    </xf>
    <xf numFmtId="0" fontId="15" fillId="2" borderId="9" xfId="0" applyFont="1" applyFill="1" applyBorder="1" applyAlignment="1" applyProtection="1">
      <alignment horizontal="right" vertical="center" wrapText="1" readingOrder="1"/>
      <protection hidden="1"/>
    </xf>
    <xf numFmtId="0" fontId="20" fillId="7" borderId="1" xfId="0" applyFont="1" applyFill="1" applyBorder="1" applyAlignment="1" applyProtection="1">
      <alignment horizontal="center" vertical="center" wrapText="1" readingOrder="1"/>
      <protection hidden="1"/>
    </xf>
  </cellXfs>
  <cellStyles count="8">
    <cellStyle name="Euro" xfId="3" xr:uid="{9E9C3375-D8D4-4B7C-A2A0-046CA12E3E33}"/>
    <cellStyle name="Moeda" xfId="6" builtinId="4"/>
    <cellStyle name="Normal" xfId="0" builtinId="0"/>
    <cellStyle name="Normal 3" xfId="5" xr:uid="{2E3F454C-CB22-4CC6-B4D2-94F59678C26E}"/>
    <cellStyle name="Normal 4" xfId="7" xr:uid="{785A637F-CB5B-46B1-B41A-72EC837BF508}"/>
    <cellStyle name="Normal_Ex4" xfId="4" xr:uid="{654CBAF7-B388-4BCF-891B-8E4F9EF3FCC0}"/>
    <cellStyle name="Percentagem" xfId="2" builtinId="5"/>
    <cellStyle name="Vírgula" xfId="1" builtinId="3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980BB-FD5E-4FBD-95CB-DF3CFEC7B894}">
  <dimension ref="A1:R62"/>
  <sheetViews>
    <sheetView tabSelected="1" zoomScale="120" zoomScaleNormal="120" workbookViewId="0">
      <selection activeCell="N2" sqref="N2"/>
    </sheetView>
  </sheetViews>
  <sheetFormatPr defaultColWidth="9.140625" defaultRowHeight="12.75" x14ac:dyDescent="0.25"/>
  <cols>
    <col min="1" max="1" width="21.85546875" style="6" bestFit="1" customWidth="1"/>
    <col min="2" max="2" width="16.7109375" style="6" bestFit="1" customWidth="1"/>
    <col min="3" max="3" width="7.5703125" style="6" bestFit="1" customWidth="1"/>
    <col min="4" max="4" width="9.5703125" style="6" bestFit="1" customWidth="1"/>
    <col min="5" max="5" width="7.5703125" style="6" customWidth="1"/>
    <col min="6" max="6" width="6.42578125" style="6" customWidth="1"/>
    <col min="7" max="7" width="7.28515625" style="6" customWidth="1"/>
    <col min="8" max="8" width="6.42578125" style="6" customWidth="1"/>
    <col min="9" max="9" width="6" style="6" customWidth="1"/>
    <col min="10" max="10" width="7.42578125" style="6" bestFit="1" customWidth="1"/>
    <col min="11" max="11" width="9.85546875" style="6" bestFit="1" customWidth="1"/>
    <col min="12" max="12" width="8.28515625" style="6" bestFit="1" customWidth="1"/>
    <col min="13" max="13" width="10.140625" style="6" bestFit="1" customWidth="1"/>
    <col min="14" max="14" width="19.85546875" style="2" customWidth="1"/>
    <col min="15" max="17" width="9.140625" style="2"/>
    <col min="18" max="18" width="13.7109375" style="2" customWidth="1"/>
    <col min="19" max="16384" width="9.140625" style="2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R1" s="45"/>
    </row>
    <row r="2" spans="1:18" s="6" customFormat="1" ht="20.100000000000001" customHeight="1" x14ac:dyDescent="0.2">
      <c r="A2" s="3" t="s">
        <v>14</v>
      </c>
      <c r="B2" s="3" t="s">
        <v>15</v>
      </c>
      <c r="C2" s="4">
        <v>24</v>
      </c>
      <c r="D2" s="4">
        <v>26</v>
      </c>
      <c r="E2" s="4">
        <v>25</v>
      </c>
      <c r="F2" s="4">
        <v>30</v>
      </c>
      <c r="G2" s="4">
        <v>32</v>
      </c>
      <c r="H2" s="4">
        <v>18</v>
      </c>
      <c r="I2" s="4">
        <v>24</v>
      </c>
      <c r="J2" s="4">
        <v>28</v>
      </c>
      <c r="K2" s="4">
        <v>26</v>
      </c>
      <c r="L2" s="4">
        <v>30</v>
      </c>
      <c r="M2" s="4">
        <v>35</v>
      </c>
      <c r="N2" s="5"/>
    </row>
    <row r="3" spans="1:18" s="6" customFormat="1" ht="20.100000000000001" customHeight="1" x14ac:dyDescent="0.2">
      <c r="A3" s="3" t="s">
        <v>16</v>
      </c>
      <c r="B3" s="3" t="s">
        <v>17</v>
      </c>
      <c r="C3" s="4">
        <v>12</v>
      </c>
      <c r="D3" s="4">
        <v>17</v>
      </c>
      <c r="E3" s="4">
        <v>12</v>
      </c>
      <c r="F3" s="4">
        <v>16</v>
      </c>
      <c r="G3" s="4">
        <v>13</v>
      </c>
      <c r="H3" s="4">
        <v>20</v>
      </c>
      <c r="I3" s="4">
        <v>14</v>
      </c>
      <c r="J3" s="4">
        <v>16</v>
      </c>
      <c r="K3" s="4">
        <v>18</v>
      </c>
      <c r="L3" s="4">
        <v>15</v>
      </c>
      <c r="M3" s="4">
        <v>12</v>
      </c>
      <c r="N3" s="5"/>
    </row>
    <row r="4" spans="1:18" s="6" customFormat="1" ht="20.100000000000001" customHeight="1" x14ac:dyDescent="0.2">
      <c r="A4" s="3" t="s">
        <v>18</v>
      </c>
      <c r="B4" s="3" t="s">
        <v>19</v>
      </c>
      <c r="C4" s="4">
        <v>12</v>
      </c>
      <c r="D4" s="4">
        <v>10</v>
      </c>
      <c r="E4" s="4">
        <v>12</v>
      </c>
      <c r="F4" s="4">
        <v>10</v>
      </c>
      <c r="G4" s="4">
        <v>12</v>
      </c>
      <c r="H4" s="4">
        <v>10</v>
      </c>
      <c r="I4" s="4">
        <v>12</v>
      </c>
      <c r="J4" s="4">
        <v>10</v>
      </c>
      <c r="K4" s="4">
        <v>12</v>
      </c>
      <c r="L4" s="4">
        <v>10</v>
      </c>
      <c r="M4" s="4">
        <v>12</v>
      </c>
      <c r="N4" s="5"/>
    </row>
    <row r="5" spans="1:18" s="6" customFormat="1" ht="20.100000000000001" customHeight="1" x14ac:dyDescent="0.2">
      <c r="A5" s="3" t="s">
        <v>20</v>
      </c>
      <c r="B5" s="3" t="s">
        <v>21</v>
      </c>
      <c r="C5" s="4">
        <v>60</v>
      </c>
      <c r="D5" s="4">
        <v>72</v>
      </c>
      <c r="E5" s="4">
        <v>60</v>
      </c>
      <c r="F5" s="4">
        <v>72</v>
      </c>
      <c r="G5" s="4">
        <v>60</v>
      </c>
      <c r="H5" s="4">
        <v>72</v>
      </c>
      <c r="I5" s="4">
        <v>60</v>
      </c>
      <c r="J5" s="4">
        <v>72</v>
      </c>
      <c r="K5" s="4">
        <v>60</v>
      </c>
      <c r="L5" s="4">
        <v>72</v>
      </c>
      <c r="M5" s="4">
        <v>60</v>
      </c>
      <c r="N5" s="5"/>
    </row>
    <row r="6" spans="1:18" s="6" customFormat="1" ht="20.100000000000001" customHeight="1" x14ac:dyDescent="0.2">
      <c r="A6" s="3" t="s">
        <v>22</v>
      </c>
      <c r="B6" s="3" t="s">
        <v>23</v>
      </c>
      <c r="C6" s="4">
        <v>50</v>
      </c>
      <c r="D6" s="4">
        <v>45</v>
      </c>
      <c r="E6" s="4">
        <v>50</v>
      </c>
      <c r="F6" s="4">
        <v>45</v>
      </c>
      <c r="G6" s="4">
        <v>50</v>
      </c>
      <c r="H6" s="4">
        <v>45</v>
      </c>
      <c r="I6" s="4">
        <v>50</v>
      </c>
      <c r="J6" s="4">
        <v>45</v>
      </c>
      <c r="K6" s="4">
        <v>50</v>
      </c>
      <c r="L6" s="4">
        <v>45</v>
      </c>
      <c r="M6" s="4">
        <v>50</v>
      </c>
      <c r="N6" s="5"/>
    </row>
    <row r="7" spans="1:18" s="6" customFormat="1" ht="20.100000000000001" customHeight="1" x14ac:dyDescent="0.2">
      <c r="A7" s="3" t="s">
        <v>24</v>
      </c>
      <c r="B7" s="3" t="s">
        <v>25</v>
      </c>
      <c r="C7" s="4">
        <v>45</v>
      </c>
      <c r="D7" s="4">
        <v>40</v>
      </c>
      <c r="E7" s="4">
        <v>45</v>
      </c>
      <c r="F7" s="4">
        <v>40</v>
      </c>
      <c r="G7" s="4">
        <v>45</v>
      </c>
      <c r="H7" s="4">
        <v>40</v>
      </c>
      <c r="I7" s="4">
        <v>45</v>
      </c>
      <c r="J7" s="4">
        <v>40</v>
      </c>
      <c r="K7" s="4">
        <v>45</v>
      </c>
      <c r="L7" s="4">
        <v>40</v>
      </c>
      <c r="M7" s="4">
        <v>45</v>
      </c>
      <c r="N7" s="5"/>
    </row>
    <row r="8" spans="1:18" s="6" customFormat="1" ht="20.100000000000001" customHeight="1" x14ac:dyDescent="0.2">
      <c r="A8" s="3" t="s">
        <v>26</v>
      </c>
      <c r="B8" s="3" t="s">
        <v>15</v>
      </c>
      <c r="C8" s="7">
        <v>15</v>
      </c>
      <c r="D8" s="7">
        <v>18</v>
      </c>
      <c r="E8" s="7">
        <v>15</v>
      </c>
      <c r="F8" s="7">
        <v>18</v>
      </c>
      <c r="G8" s="7">
        <v>15</v>
      </c>
      <c r="H8" s="7">
        <v>18</v>
      </c>
      <c r="I8" s="7">
        <v>15</v>
      </c>
      <c r="J8" s="7">
        <v>18</v>
      </c>
      <c r="K8" s="7">
        <v>15</v>
      </c>
      <c r="L8" s="7">
        <v>18</v>
      </c>
      <c r="M8" s="7">
        <v>15</v>
      </c>
      <c r="N8" s="5"/>
    </row>
    <row r="9" spans="1:18" s="6" customFormat="1" ht="20.100000000000001" customHeight="1" x14ac:dyDescent="0.2">
      <c r="A9" s="3" t="s">
        <v>27</v>
      </c>
      <c r="B9" s="3" t="s">
        <v>19</v>
      </c>
      <c r="C9" s="7">
        <v>15</v>
      </c>
      <c r="D9" s="7">
        <v>18</v>
      </c>
      <c r="E9" s="7">
        <v>15</v>
      </c>
      <c r="F9" s="7">
        <v>18</v>
      </c>
      <c r="G9" s="7">
        <v>15</v>
      </c>
      <c r="H9" s="7">
        <v>18</v>
      </c>
      <c r="I9" s="7">
        <v>15</v>
      </c>
      <c r="J9" s="7">
        <v>18</v>
      </c>
      <c r="K9" s="7">
        <v>15</v>
      </c>
      <c r="L9" s="7">
        <v>18</v>
      </c>
      <c r="M9" s="7">
        <v>15</v>
      </c>
      <c r="N9" s="5"/>
    </row>
    <row r="10" spans="1:18" s="6" customFormat="1" ht="20.100000000000001" customHeight="1" x14ac:dyDescent="0.2">
      <c r="A10" s="3" t="s">
        <v>28</v>
      </c>
      <c r="B10" s="3" t="s">
        <v>29</v>
      </c>
      <c r="C10" s="7">
        <v>18</v>
      </c>
      <c r="D10" s="7">
        <v>20</v>
      </c>
      <c r="E10" s="7">
        <v>18</v>
      </c>
      <c r="F10" s="7">
        <v>20</v>
      </c>
      <c r="G10" s="7">
        <v>18</v>
      </c>
      <c r="H10" s="7">
        <v>20</v>
      </c>
      <c r="I10" s="7">
        <v>18</v>
      </c>
      <c r="J10" s="7">
        <v>20</v>
      </c>
      <c r="K10" s="7">
        <v>18</v>
      </c>
      <c r="L10" s="7">
        <v>20</v>
      </c>
      <c r="M10" s="7">
        <v>18</v>
      </c>
      <c r="N10" s="5"/>
    </row>
    <row r="11" spans="1:18" s="6" customFormat="1" ht="20.100000000000001" customHeight="1" x14ac:dyDescent="0.2">
      <c r="A11" s="3" t="s">
        <v>30</v>
      </c>
      <c r="B11" s="3" t="s">
        <v>31</v>
      </c>
      <c r="C11" s="7">
        <v>30</v>
      </c>
      <c r="D11" s="7">
        <v>32</v>
      </c>
      <c r="E11" s="7">
        <v>30</v>
      </c>
      <c r="F11" s="7">
        <v>32</v>
      </c>
      <c r="G11" s="7">
        <v>30</v>
      </c>
      <c r="H11" s="7">
        <v>32</v>
      </c>
      <c r="I11" s="7">
        <v>30</v>
      </c>
      <c r="J11" s="7">
        <v>32</v>
      </c>
      <c r="K11" s="7">
        <v>30</v>
      </c>
      <c r="L11" s="7">
        <v>32</v>
      </c>
      <c r="M11" s="7">
        <v>30</v>
      </c>
      <c r="N11" s="5"/>
    </row>
    <row r="12" spans="1:18" s="6" customFormat="1" ht="20.100000000000001" customHeight="1" x14ac:dyDescent="0.2">
      <c r="A12" s="3" t="s">
        <v>32</v>
      </c>
      <c r="B12" s="3" t="s">
        <v>21</v>
      </c>
      <c r="C12" s="7">
        <v>35</v>
      </c>
      <c r="D12" s="7">
        <v>38</v>
      </c>
      <c r="E12" s="7">
        <v>35</v>
      </c>
      <c r="F12" s="7">
        <v>38</v>
      </c>
      <c r="G12" s="7">
        <v>35</v>
      </c>
      <c r="H12" s="7">
        <v>38</v>
      </c>
      <c r="I12" s="7">
        <v>35</v>
      </c>
      <c r="J12" s="7">
        <v>38</v>
      </c>
      <c r="K12" s="7">
        <v>35</v>
      </c>
      <c r="L12" s="7">
        <v>38</v>
      </c>
      <c r="M12" s="7">
        <v>35</v>
      </c>
      <c r="N12" s="5"/>
    </row>
    <row r="13" spans="1:18" s="6" customFormat="1" ht="20.100000000000001" customHeight="1" x14ac:dyDescent="0.2">
      <c r="A13" s="3" t="s">
        <v>33</v>
      </c>
      <c r="B13" s="3" t="s">
        <v>15</v>
      </c>
      <c r="C13" s="7">
        <v>42</v>
      </c>
      <c r="D13" s="7">
        <v>40</v>
      </c>
      <c r="E13" s="7">
        <v>42</v>
      </c>
      <c r="F13" s="7">
        <v>40</v>
      </c>
      <c r="G13" s="7">
        <v>42</v>
      </c>
      <c r="H13" s="7">
        <v>40</v>
      </c>
      <c r="I13" s="7">
        <v>42</v>
      </c>
      <c r="J13" s="7">
        <v>40</v>
      </c>
      <c r="K13" s="7">
        <v>42</v>
      </c>
      <c r="L13" s="7">
        <v>40</v>
      </c>
      <c r="M13" s="7">
        <v>42</v>
      </c>
      <c r="N13" s="5"/>
    </row>
    <row r="14" spans="1:18" s="6" customFormat="1" ht="20.100000000000001" customHeight="1" x14ac:dyDescent="0.2">
      <c r="A14" s="3" t="s">
        <v>34</v>
      </c>
      <c r="B14" s="3" t="s">
        <v>15</v>
      </c>
      <c r="C14" s="7">
        <v>40</v>
      </c>
      <c r="D14" s="7">
        <v>38</v>
      </c>
      <c r="E14" s="7">
        <v>40</v>
      </c>
      <c r="F14" s="7">
        <v>38</v>
      </c>
      <c r="G14" s="7">
        <v>40</v>
      </c>
      <c r="H14" s="7">
        <v>38</v>
      </c>
      <c r="I14" s="7">
        <v>40</v>
      </c>
      <c r="J14" s="7">
        <v>38</v>
      </c>
      <c r="K14" s="7">
        <v>40</v>
      </c>
      <c r="L14" s="7">
        <v>38</v>
      </c>
      <c r="M14" s="7">
        <v>40</v>
      </c>
      <c r="N14" s="5"/>
    </row>
    <row r="15" spans="1:18" s="6" customFormat="1" ht="20.100000000000001" customHeight="1" x14ac:dyDescent="0.2">
      <c r="A15" s="3" t="s">
        <v>35</v>
      </c>
      <c r="B15" s="3" t="s">
        <v>19</v>
      </c>
      <c r="C15" s="4">
        <v>50</v>
      </c>
      <c r="D15" s="4">
        <v>55</v>
      </c>
      <c r="E15" s="4">
        <v>50</v>
      </c>
      <c r="F15" s="4">
        <v>55</v>
      </c>
      <c r="G15" s="4">
        <v>50</v>
      </c>
      <c r="H15" s="4">
        <v>55</v>
      </c>
      <c r="I15" s="4">
        <v>50</v>
      </c>
      <c r="J15" s="4">
        <v>55</v>
      </c>
      <c r="K15" s="4">
        <v>50</v>
      </c>
      <c r="L15" s="4">
        <v>55</v>
      </c>
      <c r="M15" s="4">
        <v>50</v>
      </c>
      <c r="N15" s="5"/>
    </row>
    <row r="16" spans="1:18" s="6" customFormat="1" ht="20.100000000000001" customHeight="1" x14ac:dyDescent="0.2">
      <c r="A16" s="3" t="s">
        <v>36</v>
      </c>
      <c r="B16" s="3" t="s">
        <v>31</v>
      </c>
      <c r="C16" s="4">
        <v>80</v>
      </c>
      <c r="D16" s="4">
        <v>75</v>
      </c>
      <c r="E16" s="4">
        <v>80</v>
      </c>
      <c r="F16" s="4">
        <v>75</v>
      </c>
      <c r="G16" s="4">
        <v>80</v>
      </c>
      <c r="H16" s="4">
        <v>75</v>
      </c>
      <c r="I16" s="4">
        <v>80</v>
      </c>
      <c r="J16" s="4">
        <v>75</v>
      </c>
      <c r="K16" s="4">
        <v>80</v>
      </c>
      <c r="L16" s="4">
        <v>75</v>
      </c>
      <c r="M16" s="4">
        <v>80</v>
      </c>
      <c r="N16" s="5"/>
    </row>
    <row r="17" spans="1:14" s="6" customFormat="1" ht="20.100000000000001" customHeight="1" x14ac:dyDescent="0.2">
      <c r="A17" s="3" t="s">
        <v>37</v>
      </c>
      <c r="B17" s="3" t="s">
        <v>21</v>
      </c>
      <c r="C17" s="4">
        <v>45</v>
      </c>
      <c r="D17" s="4">
        <v>40</v>
      </c>
      <c r="E17" s="4">
        <v>45</v>
      </c>
      <c r="F17" s="4">
        <v>40</v>
      </c>
      <c r="G17" s="4">
        <v>45</v>
      </c>
      <c r="H17" s="4">
        <v>40</v>
      </c>
      <c r="I17" s="4">
        <v>45</v>
      </c>
      <c r="J17" s="4">
        <v>40</v>
      </c>
      <c r="K17" s="4">
        <v>45</v>
      </c>
      <c r="L17" s="4">
        <v>40</v>
      </c>
      <c r="M17" s="4">
        <v>45</v>
      </c>
      <c r="N17" s="5"/>
    </row>
    <row r="18" spans="1:14" s="6" customFormat="1" ht="7.5" customHeight="1" x14ac:dyDescent="0.25"/>
    <row r="19" spans="1:14" ht="20.100000000000001" customHeight="1" x14ac:dyDescent="0.25">
      <c r="A19" s="2"/>
      <c r="B19" s="2"/>
    </row>
    <row r="20" spans="1:14" ht="20.100000000000001" customHeight="1" x14ac:dyDescent="0.25">
      <c r="A20" s="2"/>
      <c r="B20" s="2"/>
      <c r="N20" s="46"/>
    </row>
    <row r="21" spans="1:14" ht="20.100000000000001" customHeight="1" x14ac:dyDescent="0.25">
      <c r="A21" s="2"/>
      <c r="B21" s="2"/>
    </row>
    <row r="22" spans="1:14" ht="20.100000000000001" customHeight="1" x14ac:dyDescent="0.25">
      <c r="A22" s="2"/>
      <c r="B22" s="2"/>
    </row>
    <row r="23" spans="1:14" ht="20.100000000000001" customHeight="1" x14ac:dyDescent="0.25">
      <c r="A23" s="2"/>
      <c r="B23" s="2"/>
    </row>
    <row r="24" spans="1:14" ht="20.100000000000001" customHeight="1" x14ac:dyDescent="0.25">
      <c r="A24" s="2"/>
      <c r="B24" s="2"/>
    </row>
    <row r="25" spans="1:14" ht="20.100000000000001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4" ht="20.100000000000001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4" ht="20.100000000000001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4" ht="20.100000000000001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4" ht="20.100000000000001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4" ht="20.100000000000001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4" ht="20.100000000000001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4" ht="20.100000000000001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="2" customFormat="1" ht="20.100000000000001" customHeight="1" x14ac:dyDescent="0.25"/>
    <row r="34" s="2" customFormat="1" ht="20.100000000000001" customHeight="1" x14ac:dyDescent="0.25"/>
    <row r="35" s="2" customFormat="1" ht="20.100000000000001" customHeight="1" x14ac:dyDescent="0.25"/>
    <row r="36" s="2" customFormat="1" ht="20.100000000000001" customHeight="1" x14ac:dyDescent="0.25"/>
    <row r="37" s="2" customFormat="1" ht="20.100000000000001" customHeight="1" x14ac:dyDescent="0.25"/>
    <row r="38" s="2" customFormat="1" ht="20.100000000000001" customHeight="1" x14ac:dyDescent="0.25"/>
    <row r="39" s="2" customFormat="1" ht="20.100000000000001" customHeight="1" x14ac:dyDescent="0.25"/>
    <row r="40" s="2" customFormat="1" ht="20.100000000000001" customHeight="1" x14ac:dyDescent="0.25"/>
    <row r="41" s="2" customFormat="1" ht="20.100000000000001" customHeight="1" x14ac:dyDescent="0.25"/>
    <row r="42" s="2" customFormat="1" ht="20.100000000000001" customHeight="1" x14ac:dyDescent="0.25"/>
    <row r="43" s="2" customFormat="1" ht="20.100000000000001" customHeight="1" x14ac:dyDescent="0.25"/>
    <row r="44" s="2" customFormat="1" ht="20.100000000000001" customHeight="1" x14ac:dyDescent="0.25"/>
    <row r="45" s="2" customFormat="1" ht="20.100000000000001" customHeight="1" x14ac:dyDescent="0.25"/>
    <row r="46" s="2" customFormat="1" ht="20.100000000000001" customHeight="1" x14ac:dyDescent="0.25"/>
    <row r="47" s="2" customFormat="1" ht="20.100000000000001" customHeight="1" x14ac:dyDescent="0.25"/>
    <row r="48" s="2" customFormat="1" ht="20.100000000000001" customHeight="1" x14ac:dyDescent="0.25"/>
    <row r="49" s="2" customFormat="1" ht="20.100000000000001" customHeight="1" x14ac:dyDescent="0.25"/>
    <row r="50" s="2" customFormat="1" ht="20.100000000000001" customHeight="1" x14ac:dyDescent="0.25"/>
    <row r="51" s="2" customFormat="1" ht="20.100000000000001" customHeight="1" x14ac:dyDescent="0.25"/>
    <row r="52" s="2" customFormat="1" ht="20.100000000000001" customHeight="1" x14ac:dyDescent="0.25"/>
    <row r="53" s="2" customFormat="1" ht="20.100000000000001" customHeight="1" x14ac:dyDescent="0.25"/>
    <row r="54" s="2" customFormat="1" ht="20.100000000000001" customHeight="1" x14ac:dyDescent="0.25"/>
    <row r="55" s="2" customFormat="1" ht="20.100000000000001" customHeight="1" x14ac:dyDescent="0.25"/>
    <row r="56" s="2" customFormat="1" ht="20.100000000000001" customHeight="1" x14ac:dyDescent="0.25"/>
    <row r="57" s="2" customFormat="1" ht="20.100000000000001" customHeight="1" x14ac:dyDescent="0.25"/>
    <row r="58" s="2" customFormat="1" ht="20.100000000000001" customHeight="1" x14ac:dyDescent="0.25"/>
    <row r="59" s="2" customFormat="1" ht="20.100000000000001" customHeight="1" x14ac:dyDescent="0.25"/>
    <row r="60" s="2" customFormat="1" ht="20.100000000000001" customHeight="1" x14ac:dyDescent="0.25"/>
    <row r="61" s="2" customFormat="1" ht="20.100000000000001" customHeight="1" x14ac:dyDescent="0.25"/>
    <row r="62" s="2" customFormat="1" ht="20.100000000000001" customHeight="1" x14ac:dyDescent="0.25"/>
  </sheetData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F6732-87B7-4840-8DF3-4B5A0FD86A83}">
  <dimension ref="B2:M24"/>
  <sheetViews>
    <sheetView topLeftCell="A2" zoomScale="150" zoomScaleNormal="150" workbookViewId="0">
      <selection activeCell="E8" sqref="E8"/>
    </sheetView>
  </sheetViews>
  <sheetFormatPr defaultRowHeight="15.75" x14ac:dyDescent="0.25"/>
  <cols>
    <col min="1" max="1" width="2.42578125" customWidth="1"/>
    <col min="2" max="2" width="33.5703125" bestFit="1" customWidth="1"/>
    <col min="3" max="3" width="11.5703125" customWidth="1"/>
    <col min="4" max="4" width="14.85546875" customWidth="1"/>
    <col min="5" max="5" width="14.42578125" customWidth="1"/>
    <col min="6" max="6" width="18.140625" customWidth="1"/>
    <col min="10" max="10" width="11.140625" customWidth="1"/>
    <col min="11" max="11" width="9.5703125" style="8" bestFit="1" customWidth="1"/>
    <col min="12" max="12" width="4.42578125" customWidth="1"/>
    <col min="13" max="13" width="3.42578125" customWidth="1"/>
    <col min="15" max="15" width="4.7109375" customWidth="1"/>
  </cols>
  <sheetData>
    <row r="2" spans="2:13" x14ac:dyDescent="0.25">
      <c r="B2" s="9" t="s">
        <v>38</v>
      </c>
      <c r="C2" s="9" t="s">
        <v>39</v>
      </c>
      <c r="D2" s="9" t="s">
        <v>156</v>
      </c>
      <c r="E2" s="9" t="s">
        <v>40</v>
      </c>
      <c r="F2" s="9" t="s">
        <v>155</v>
      </c>
    </row>
    <row r="3" spans="2:13" x14ac:dyDescent="0.25">
      <c r="B3" s="10" t="s">
        <v>41</v>
      </c>
      <c r="C3" s="11">
        <v>4.66</v>
      </c>
      <c r="D3" s="11">
        <v>4.7300000000000004</v>
      </c>
      <c r="E3" s="64"/>
      <c r="F3" s="63"/>
    </row>
    <row r="4" spans="2:13" x14ac:dyDescent="0.25">
      <c r="B4" s="10" t="s">
        <v>42</v>
      </c>
      <c r="C4" s="11">
        <v>0.28199999999999997</v>
      </c>
      <c r="D4" s="11">
        <v>0.28589999999999999</v>
      </c>
      <c r="E4" s="64"/>
      <c r="F4" s="63"/>
    </row>
    <row r="5" spans="2:13" x14ac:dyDescent="0.25">
      <c r="B5" s="10" t="s">
        <v>43</v>
      </c>
      <c r="C5" s="11">
        <v>10.119999999999999</v>
      </c>
      <c r="D5" s="11">
        <v>8</v>
      </c>
      <c r="E5" s="64"/>
      <c r="F5" s="63"/>
      <c r="G5" t="s">
        <v>44</v>
      </c>
    </row>
    <row r="6" spans="2:13" x14ac:dyDescent="0.25">
      <c r="B6" s="10" t="s">
        <v>45</v>
      </c>
      <c r="C6" s="11">
        <v>3.3580000000000001</v>
      </c>
      <c r="D6" s="11">
        <v>3.3940000000000001</v>
      </c>
      <c r="E6" s="64"/>
      <c r="F6" s="63"/>
    </row>
    <row r="7" spans="2:13" x14ac:dyDescent="0.25">
      <c r="B7" s="10" t="s">
        <v>46</v>
      </c>
      <c r="C7" s="11">
        <v>2.7610000000000001</v>
      </c>
      <c r="D7" s="11">
        <v>2.7989999999999999</v>
      </c>
      <c r="E7" s="64"/>
      <c r="F7" s="63"/>
      <c r="G7" t="s">
        <v>47</v>
      </c>
      <c r="K7" s="12"/>
      <c r="M7" s="62"/>
    </row>
    <row r="8" spans="2:13" x14ac:dyDescent="0.25">
      <c r="B8" s="10" t="s">
        <v>48</v>
      </c>
      <c r="C8" s="11">
        <v>7.23</v>
      </c>
      <c r="D8" s="11">
        <v>7.15</v>
      </c>
      <c r="E8" s="64"/>
      <c r="F8" s="63"/>
    </row>
    <row r="9" spans="2:13" ht="18.75" x14ac:dyDescent="0.3">
      <c r="B9" s="10" t="s">
        <v>49</v>
      </c>
      <c r="C9" s="11">
        <v>14.97</v>
      </c>
      <c r="D9" s="11">
        <v>14.984999999999999</v>
      </c>
      <c r="E9" s="64"/>
      <c r="F9" s="63"/>
      <c r="G9" t="s">
        <v>50</v>
      </c>
      <c r="K9" s="47"/>
      <c r="M9" s="13"/>
    </row>
    <row r="10" spans="2:13" x14ac:dyDescent="0.25">
      <c r="B10" s="10" t="s">
        <v>51</v>
      </c>
      <c r="C10" s="11">
        <v>11.8</v>
      </c>
      <c r="D10" s="11">
        <v>12</v>
      </c>
      <c r="E10" s="64"/>
      <c r="F10" s="63"/>
    </row>
    <row r="11" spans="2:13" x14ac:dyDescent="0.25">
      <c r="B11" s="10" t="s">
        <v>52</v>
      </c>
      <c r="C11" s="11">
        <v>17.375</v>
      </c>
      <c r="D11" s="11">
        <v>15</v>
      </c>
      <c r="E11" s="64"/>
      <c r="F11" s="63"/>
      <c r="G11" t="s">
        <v>53</v>
      </c>
      <c r="K11" s="12"/>
      <c r="M11" s="62"/>
    </row>
    <row r="12" spans="2:13" x14ac:dyDescent="0.25">
      <c r="B12" s="10" t="s">
        <v>54</v>
      </c>
      <c r="C12" s="11">
        <v>3.9950000000000001</v>
      </c>
      <c r="D12" s="11">
        <v>4.0149999999999997</v>
      </c>
      <c r="E12" s="64"/>
      <c r="F12" s="63"/>
    </row>
    <row r="13" spans="2:13" ht="18.75" x14ac:dyDescent="0.3">
      <c r="B13" s="10" t="s">
        <v>55</v>
      </c>
      <c r="C13" s="11">
        <v>4.9619999999999997</v>
      </c>
      <c r="D13" s="11">
        <v>5.03</v>
      </c>
      <c r="E13" s="64"/>
      <c r="F13" s="63"/>
      <c r="G13" t="s">
        <v>56</v>
      </c>
      <c r="K13" s="47"/>
      <c r="M13" s="13"/>
    </row>
    <row r="14" spans="2:13" x14ac:dyDescent="0.25">
      <c r="B14" s="10" t="s">
        <v>57</v>
      </c>
      <c r="C14" s="11">
        <v>2.98</v>
      </c>
      <c r="D14" s="11">
        <v>2.96</v>
      </c>
      <c r="E14" s="64"/>
      <c r="F14" s="63"/>
    </row>
    <row r="15" spans="2:13" x14ac:dyDescent="0.25">
      <c r="B15" s="10" t="s">
        <v>58</v>
      </c>
      <c r="C15" s="11">
        <v>0.22850000000000001</v>
      </c>
      <c r="D15" s="11">
        <v>0.23200000000000001</v>
      </c>
      <c r="E15" s="64"/>
      <c r="F15" s="63"/>
    </row>
    <row r="16" spans="2:13" x14ac:dyDescent="0.25">
      <c r="B16" s="10" t="s">
        <v>59</v>
      </c>
      <c r="C16" s="11">
        <v>2.492</v>
      </c>
      <c r="D16" s="11">
        <v>2.4500000000000002</v>
      </c>
      <c r="E16" s="64"/>
      <c r="F16" s="63"/>
    </row>
    <row r="17" spans="2:6" x14ac:dyDescent="0.25">
      <c r="B17" s="10" t="s">
        <v>60</v>
      </c>
      <c r="C17" s="11">
        <v>19.38</v>
      </c>
      <c r="D17" s="11">
        <v>19.7</v>
      </c>
      <c r="E17" s="64"/>
      <c r="F17" s="63"/>
    </row>
    <row r="18" spans="2:6" x14ac:dyDescent="0.25">
      <c r="B18" s="10" t="s">
        <v>61</v>
      </c>
      <c r="C18" s="11">
        <v>1.0660000000000001</v>
      </c>
      <c r="D18" s="11">
        <v>1.05</v>
      </c>
      <c r="E18" s="64"/>
      <c r="F18" s="63"/>
    </row>
    <row r="19" spans="2:6" x14ac:dyDescent="0.25">
      <c r="B19" s="10" t="s">
        <v>62</v>
      </c>
      <c r="C19" s="11">
        <v>1.1950000000000001</v>
      </c>
      <c r="D19" s="11">
        <v>1.2110000000000001</v>
      </c>
      <c r="E19" s="64"/>
      <c r="F19" s="63"/>
    </row>
    <row r="20" spans="2:6" x14ac:dyDescent="0.25">
      <c r="B20" s="10" t="s">
        <v>63</v>
      </c>
      <c r="C20" s="11">
        <v>4.41</v>
      </c>
      <c r="D20" s="11">
        <v>4.476</v>
      </c>
      <c r="E20" s="64"/>
      <c r="F20" s="63"/>
    </row>
    <row r="22" spans="2:6" x14ac:dyDescent="0.25">
      <c r="B22" s="10" t="s">
        <v>64</v>
      </c>
      <c r="C22" s="14"/>
      <c r="D22" s="14"/>
      <c r="E22" s="10"/>
    </row>
    <row r="24" spans="2:6" x14ac:dyDescent="0.25">
      <c r="C24" s="6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33BC0-A638-47CE-8C70-C7D7C7830986}">
  <dimension ref="A1:F11"/>
  <sheetViews>
    <sheetView zoomScale="130" zoomScaleNormal="130" workbookViewId="0">
      <selection activeCell="C5" sqref="C5"/>
    </sheetView>
  </sheetViews>
  <sheetFormatPr defaultRowHeight="18.75" x14ac:dyDescent="0.3"/>
  <cols>
    <col min="1" max="1" width="9.140625" style="15"/>
    <col min="2" max="2" width="17.140625" style="15" customWidth="1"/>
    <col min="3" max="3" width="16.42578125" style="16" bestFit="1" customWidth="1"/>
    <col min="4" max="4" width="12.28515625" style="16" customWidth="1"/>
    <col min="5" max="5" width="13.28515625" style="16" customWidth="1"/>
    <col min="6" max="6" width="17" style="15" customWidth="1"/>
    <col min="7" max="16384" width="9.140625" style="15"/>
  </cols>
  <sheetData>
    <row r="1" spans="1:6" x14ac:dyDescent="0.3">
      <c r="A1" s="13" t="s">
        <v>65</v>
      </c>
    </row>
    <row r="2" spans="1:6" x14ac:dyDescent="0.3">
      <c r="B2" s="17"/>
      <c r="C2" s="18"/>
      <c r="D2" s="18"/>
      <c r="E2" s="18"/>
      <c r="F2" s="17"/>
    </row>
    <row r="3" spans="1:6" x14ac:dyDescent="0.3">
      <c r="B3" s="13" t="s">
        <v>66</v>
      </c>
      <c r="C3" s="19"/>
      <c r="D3" s="15"/>
      <c r="E3" s="18"/>
      <c r="F3" s="17"/>
    </row>
    <row r="4" spans="1:6" ht="19.5" thickBot="1" x14ac:dyDescent="0.35">
      <c r="B4" s="13"/>
      <c r="C4" s="19"/>
      <c r="D4" s="15"/>
      <c r="E4" s="18"/>
      <c r="F4" s="17"/>
    </row>
    <row r="5" spans="1:6" ht="19.5" thickBot="1" x14ac:dyDescent="0.35">
      <c r="B5" s="20" t="s">
        <v>67</v>
      </c>
      <c r="C5" s="20" t="s">
        <v>138</v>
      </c>
      <c r="D5" s="15"/>
    </row>
    <row r="6" spans="1:6" ht="19.5" thickBot="1" x14ac:dyDescent="0.35">
      <c r="B6" s="21" t="s">
        <v>68</v>
      </c>
      <c r="C6" s="22">
        <v>50000</v>
      </c>
      <c r="D6" s="15"/>
    </row>
    <row r="7" spans="1:6" ht="19.5" thickBot="1" x14ac:dyDescent="0.35">
      <c r="B7" s="21" t="s">
        <v>69</v>
      </c>
      <c r="C7" s="22">
        <v>57000</v>
      </c>
      <c r="D7" s="15"/>
    </row>
    <row r="8" spans="1:6" ht="19.5" thickBot="1" x14ac:dyDescent="0.35">
      <c r="B8" s="21" t="s">
        <v>70</v>
      </c>
      <c r="C8" s="22">
        <v>60000</v>
      </c>
      <c r="D8" s="15"/>
    </row>
    <row r="9" spans="1:6" ht="19.5" thickBot="1" x14ac:dyDescent="0.35">
      <c r="B9" s="21" t="s">
        <v>71</v>
      </c>
      <c r="C9" s="22">
        <v>51000</v>
      </c>
      <c r="D9" s="15"/>
    </row>
    <row r="10" spans="1:6" ht="19.5" thickBot="1" x14ac:dyDescent="0.35">
      <c r="B10" s="21" t="s">
        <v>72</v>
      </c>
      <c r="C10" s="22">
        <v>47000</v>
      </c>
      <c r="D10" s="15"/>
    </row>
    <row r="11" spans="1:6" ht="19.5" thickBot="1" x14ac:dyDescent="0.35">
      <c r="B11" s="21" t="s">
        <v>73</v>
      </c>
      <c r="C11" s="22">
        <v>46000</v>
      </c>
      <c r="D11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53908-1C85-4C92-987D-F99FAA24FEA0}">
  <dimension ref="A1:D27"/>
  <sheetViews>
    <sheetView zoomScale="115" zoomScaleNormal="115" workbookViewId="0">
      <selection activeCell="C19" sqref="C19"/>
    </sheetView>
  </sheetViews>
  <sheetFormatPr defaultRowHeight="15" x14ac:dyDescent="0.25"/>
  <cols>
    <col min="1" max="1" width="20.28515625" customWidth="1"/>
    <col min="2" max="2" width="19.140625" customWidth="1"/>
    <col min="3" max="3" width="22.85546875" bestFit="1" customWidth="1"/>
  </cols>
  <sheetData>
    <row r="1" spans="1:4" ht="15.75" x14ac:dyDescent="0.25">
      <c r="A1" s="8" t="s">
        <v>139</v>
      </c>
    </row>
    <row r="2" spans="1:4" ht="4.5" customHeight="1" x14ac:dyDescent="0.25"/>
    <row r="3" spans="1:4" ht="15.75" x14ac:dyDescent="0.25">
      <c r="A3" s="8" t="s">
        <v>75</v>
      </c>
    </row>
    <row r="4" spans="1:4" ht="18.75" x14ac:dyDescent="0.3">
      <c r="A4" s="23" t="s">
        <v>76</v>
      </c>
      <c r="B4" s="24" t="s">
        <v>77</v>
      </c>
      <c r="C4" s="24" t="s">
        <v>78</v>
      </c>
    </row>
    <row r="5" spans="1:4" ht="18.75" x14ac:dyDescent="0.3">
      <c r="A5" s="25" t="s">
        <v>81</v>
      </c>
      <c r="B5" s="26">
        <v>1562</v>
      </c>
      <c r="C5" s="27">
        <v>150323.23000000001</v>
      </c>
    </row>
    <row r="6" spans="1:4" ht="18.75" x14ac:dyDescent="0.3">
      <c r="A6" s="25" t="s">
        <v>74</v>
      </c>
      <c r="B6" s="26">
        <v>1751</v>
      </c>
      <c r="C6" s="27">
        <v>230151.1</v>
      </c>
    </row>
    <row r="7" spans="1:4" ht="18.75" x14ac:dyDescent="0.3">
      <c r="A7" s="25" t="s">
        <v>138</v>
      </c>
      <c r="B7" s="28">
        <v>2541</v>
      </c>
      <c r="C7" s="29">
        <v>542023.69999999995</v>
      </c>
    </row>
    <row r="8" spans="1:4" ht="8.25" customHeight="1" x14ac:dyDescent="0.25"/>
    <row r="9" spans="1:4" ht="15.75" x14ac:dyDescent="0.25">
      <c r="A9" s="30" t="s">
        <v>79</v>
      </c>
    </row>
    <row r="10" spans="1:4" ht="15.75" x14ac:dyDescent="0.25">
      <c r="A10" s="30" t="s">
        <v>80</v>
      </c>
    </row>
    <row r="11" spans="1:4" ht="4.5" customHeight="1" x14ac:dyDescent="0.25"/>
    <row r="12" spans="1:4" ht="28.5" x14ac:dyDescent="0.25">
      <c r="A12" s="58" t="s">
        <v>140</v>
      </c>
      <c r="B12" s="49"/>
      <c r="C12" s="49"/>
    </row>
    <row r="13" spans="1:4" ht="4.5" customHeight="1" x14ac:dyDescent="0.25">
      <c r="A13" s="50"/>
      <c r="B13" s="51"/>
      <c r="C13" s="51"/>
    </row>
    <row r="14" spans="1:4" ht="30" x14ac:dyDescent="0.3">
      <c r="A14" s="52" t="s">
        <v>141</v>
      </c>
      <c r="B14" s="53" t="s">
        <v>142</v>
      </c>
      <c r="C14" s="54" t="s">
        <v>143</v>
      </c>
      <c r="D14" s="55"/>
    </row>
    <row r="15" spans="1:4" ht="17.25" x14ac:dyDescent="0.3">
      <c r="A15" s="59" t="s">
        <v>144</v>
      </c>
      <c r="B15" s="56">
        <v>1500</v>
      </c>
      <c r="C15" s="57"/>
      <c r="D15" s="55"/>
    </row>
    <row r="16" spans="1:4" ht="17.25" x14ac:dyDescent="0.3">
      <c r="A16" s="59" t="s">
        <v>145</v>
      </c>
      <c r="B16" s="56">
        <v>1600</v>
      </c>
      <c r="C16" s="57"/>
      <c r="D16" s="55"/>
    </row>
    <row r="17" spans="1:4" ht="17.25" x14ac:dyDescent="0.3">
      <c r="A17" s="59" t="s">
        <v>146</v>
      </c>
      <c r="B17" s="56">
        <v>1250</v>
      </c>
      <c r="C17" s="57"/>
      <c r="D17" s="55"/>
    </row>
    <row r="18" spans="1:4" ht="17.25" x14ac:dyDescent="0.3">
      <c r="A18" s="59" t="s">
        <v>147</v>
      </c>
      <c r="B18" s="56">
        <v>300</v>
      </c>
      <c r="C18" s="57"/>
      <c r="D18" s="55"/>
    </row>
    <row r="19" spans="1:4" ht="25.5" x14ac:dyDescent="0.3">
      <c r="A19" s="59" t="s">
        <v>148</v>
      </c>
      <c r="B19" s="56">
        <v>2000</v>
      </c>
      <c r="C19" s="57"/>
      <c r="D19" s="55"/>
    </row>
    <row r="20" spans="1:4" ht="17.25" x14ac:dyDescent="0.3">
      <c r="A20" s="59" t="s">
        <v>149</v>
      </c>
      <c r="B20" s="56">
        <v>350</v>
      </c>
      <c r="C20" s="57"/>
      <c r="D20" s="55"/>
    </row>
    <row r="21" spans="1:4" ht="17.25" x14ac:dyDescent="0.3">
      <c r="A21" s="59" t="s">
        <v>150</v>
      </c>
      <c r="B21" s="56">
        <v>1400</v>
      </c>
      <c r="C21" s="57"/>
      <c r="D21" s="55"/>
    </row>
    <row r="22" spans="1:4" ht="17.25" x14ac:dyDescent="0.3">
      <c r="A22" s="59" t="s">
        <v>151</v>
      </c>
      <c r="B22" s="56">
        <v>500</v>
      </c>
      <c r="C22" s="57"/>
      <c r="D22" s="55"/>
    </row>
    <row r="23" spans="1:4" ht="17.25" x14ac:dyDescent="0.3">
      <c r="A23" s="59" t="s">
        <v>152</v>
      </c>
      <c r="B23" s="56">
        <v>600</v>
      </c>
      <c r="C23" s="57"/>
      <c r="D23" s="55"/>
    </row>
    <row r="24" spans="1:4" ht="17.25" x14ac:dyDescent="0.3">
      <c r="A24" s="59" t="s">
        <v>64</v>
      </c>
      <c r="B24" s="60"/>
      <c r="C24" s="61"/>
      <c r="D24" s="55"/>
    </row>
    <row r="25" spans="1:4" ht="17.25" x14ac:dyDescent="0.3">
      <c r="A25" s="55"/>
      <c r="B25" s="55"/>
      <c r="C25" s="55"/>
      <c r="D25" s="55"/>
    </row>
    <row r="26" spans="1:4" ht="17.25" x14ac:dyDescent="0.3">
      <c r="A26" s="30" t="s">
        <v>153</v>
      </c>
      <c r="B26" s="55"/>
      <c r="C26" s="55"/>
      <c r="D26" s="55"/>
    </row>
    <row r="27" spans="1:4" ht="17.25" x14ac:dyDescent="0.3">
      <c r="A27" s="30" t="s">
        <v>154</v>
      </c>
      <c r="B27" s="55"/>
      <c r="C27" s="55"/>
      <c r="D27" s="55"/>
    </row>
  </sheetData>
  <conditionalFormatting sqref="C5:C7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E8A0B-DAA2-4D1C-8945-9AF22E26C0C5}">
  <dimension ref="A1:F22"/>
  <sheetViews>
    <sheetView zoomScale="120" zoomScaleNormal="120" workbookViewId="0">
      <selection activeCell="F13" sqref="F13"/>
    </sheetView>
  </sheetViews>
  <sheetFormatPr defaultRowHeight="15" x14ac:dyDescent="0.25"/>
  <cols>
    <col min="1" max="1" width="15.42578125" bestFit="1" customWidth="1"/>
    <col min="2" max="5" width="12.5703125" bestFit="1" customWidth="1"/>
    <col min="6" max="6" width="43.140625" customWidth="1"/>
  </cols>
  <sheetData>
    <row r="1" spans="1:6" x14ac:dyDescent="0.25">
      <c r="A1" s="31" t="s">
        <v>83</v>
      </c>
    </row>
    <row r="2" spans="1:6" x14ac:dyDescent="0.25">
      <c r="A2" s="32" t="s">
        <v>84</v>
      </c>
      <c r="B2" s="32" t="s">
        <v>85</v>
      </c>
      <c r="C2" s="32" t="s">
        <v>86</v>
      </c>
      <c r="D2" s="32" t="s">
        <v>87</v>
      </c>
      <c r="E2" s="32" t="s">
        <v>88</v>
      </c>
      <c r="F2" s="32" t="s">
        <v>89</v>
      </c>
    </row>
    <row r="3" spans="1:6" ht="21" customHeight="1" x14ac:dyDescent="0.25">
      <c r="A3" s="10" t="s">
        <v>90</v>
      </c>
      <c r="B3" s="11">
        <v>14726</v>
      </c>
      <c r="C3" s="11">
        <v>7298</v>
      </c>
      <c r="D3" s="11">
        <v>13977</v>
      </c>
      <c r="E3" s="11">
        <v>8056</v>
      </c>
      <c r="F3" s="10"/>
    </row>
    <row r="4" spans="1:6" ht="21" customHeight="1" x14ac:dyDescent="0.25">
      <c r="A4" s="10" t="s">
        <v>91</v>
      </c>
      <c r="B4" s="11">
        <v>11628</v>
      </c>
      <c r="C4" s="11">
        <v>9212</v>
      </c>
      <c r="D4" s="11">
        <v>7591</v>
      </c>
      <c r="E4" s="11">
        <v>8879</v>
      </c>
      <c r="F4" s="10"/>
    </row>
    <row r="5" spans="1:6" ht="21" customHeight="1" x14ac:dyDescent="0.25">
      <c r="A5" s="10" t="s">
        <v>92</v>
      </c>
      <c r="B5" s="11">
        <v>13224</v>
      </c>
      <c r="C5" s="11">
        <v>11049</v>
      </c>
      <c r="D5" s="11">
        <v>12959</v>
      </c>
      <c r="E5" s="11">
        <v>6252</v>
      </c>
      <c r="F5" s="10"/>
    </row>
    <row r="6" spans="1:6" ht="21" customHeight="1" x14ac:dyDescent="0.25">
      <c r="A6" s="10" t="s">
        <v>93</v>
      </c>
      <c r="B6" s="11">
        <v>6633</v>
      </c>
      <c r="C6" s="11">
        <v>7719</v>
      </c>
      <c r="D6" s="11">
        <v>8291</v>
      </c>
      <c r="E6" s="11">
        <v>8113</v>
      </c>
      <c r="F6" s="10"/>
    </row>
    <row r="7" spans="1:6" ht="21" customHeight="1" x14ac:dyDescent="0.25">
      <c r="A7" s="10" t="s">
        <v>94</v>
      </c>
      <c r="B7" s="11">
        <v>6425</v>
      </c>
      <c r="C7" s="11">
        <v>12721</v>
      </c>
      <c r="D7" s="11">
        <v>11098</v>
      </c>
      <c r="E7" s="11">
        <v>11852</v>
      </c>
      <c r="F7" s="10"/>
    </row>
    <row r="8" spans="1:6" ht="21" customHeight="1" x14ac:dyDescent="0.25">
      <c r="A8" s="10" t="s">
        <v>95</v>
      </c>
      <c r="B8" s="11">
        <v>12330</v>
      </c>
      <c r="C8" s="11">
        <v>12924</v>
      </c>
      <c r="D8" s="11">
        <v>13979</v>
      </c>
      <c r="E8" s="11">
        <v>6973</v>
      </c>
      <c r="F8" s="10"/>
    </row>
    <row r="9" spans="1:6" ht="21" customHeight="1" x14ac:dyDescent="0.25">
      <c r="A9" s="10" t="s">
        <v>96</v>
      </c>
      <c r="B9" s="11">
        <v>11228</v>
      </c>
      <c r="C9" s="11">
        <v>9491</v>
      </c>
      <c r="D9" s="11">
        <v>8570</v>
      </c>
      <c r="E9" s="11">
        <v>7704</v>
      </c>
      <c r="F9" s="10"/>
    </row>
    <row r="10" spans="1:6" ht="21" customHeight="1" x14ac:dyDescent="0.25">
      <c r="A10" s="10" t="s">
        <v>97</v>
      </c>
      <c r="B10" s="11">
        <v>14127</v>
      </c>
      <c r="C10" s="11">
        <v>7665</v>
      </c>
      <c r="D10" s="11">
        <v>8671</v>
      </c>
      <c r="E10" s="11">
        <v>7322</v>
      </c>
      <c r="F10" s="10"/>
    </row>
    <row r="11" spans="1:6" ht="21" customHeight="1" x14ac:dyDescent="0.25">
      <c r="A11" s="10" t="s">
        <v>98</v>
      </c>
      <c r="B11" s="11">
        <v>14898</v>
      </c>
      <c r="C11" s="11">
        <v>7702</v>
      </c>
      <c r="D11" s="11">
        <v>11067</v>
      </c>
      <c r="E11" s="11">
        <v>8478</v>
      </c>
      <c r="F11" s="10"/>
    </row>
    <row r="12" spans="1:6" ht="21" customHeight="1" x14ac:dyDescent="0.25">
      <c r="A12" s="10" t="s">
        <v>99</v>
      </c>
      <c r="B12" s="11">
        <v>6668</v>
      </c>
      <c r="C12" s="11">
        <v>12893</v>
      </c>
      <c r="D12" s="11">
        <v>11093</v>
      </c>
      <c r="E12" s="11">
        <v>13900</v>
      </c>
      <c r="F12" s="10"/>
    </row>
    <row r="13" spans="1:6" ht="21" customHeight="1" x14ac:dyDescent="0.25">
      <c r="A13" s="10" t="s">
        <v>100</v>
      </c>
      <c r="B13" s="11">
        <v>8648</v>
      </c>
      <c r="C13" s="11">
        <v>11443</v>
      </c>
      <c r="D13" s="11">
        <v>10367</v>
      </c>
      <c r="E13" s="11">
        <v>8446</v>
      </c>
      <c r="F13" s="10"/>
    </row>
    <row r="14" spans="1:6" ht="21" customHeight="1" x14ac:dyDescent="0.25">
      <c r="A14" s="10" t="s">
        <v>101</v>
      </c>
      <c r="B14" s="11">
        <v>10033</v>
      </c>
      <c r="C14" s="11">
        <v>8510</v>
      </c>
      <c r="D14" s="11">
        <v>10430</v>
      </c>
      <c r="E14" s="11">
        <v>9799</v>
      </c>
      <c r="F14" s="10"/>
    </row>
    <row r="15" spans="1:6" ht="21" customHeight="1" x14ac:dyDescent="0.25">
      <c r="A15" s="10" t="s">
        <v>102</v>
      </c>
      <c r="B15" s="11">
        <v>12001</v>
      </c>
      <c r="C15" s="11">
        <v>9170</v>
      </c>
      <c r="D15" s="11">
        <v>6862</v>
      </c>
      <c r="E15" s="11">
        <v>8503</v>
      </c>
      <c r="F15" s="10"/>
    </row>
    <row r="16" spans="1:6" ht="21" customHeight="1" x14ac:dyDescent="0.25">
      <c r="A16" s="10" t="s">
        <v>103</v>
      </c>
      <c r="B16" s="11">
        <v>13486</v>
      </c>
      <c r="C16" s="11">
        <v>14483</v>
      </c>
      <c r="D16" s="11">
        <v>10195</v>
      </c>
      <c r="E16" s="11">
        <v>9846</v>
      </c>
      <c r="F16" s="10"/>
    </row>
    <row r="17" spans="1:6" ht="21" customHeight="1" x14ac:dyDescent="0.25">
      <c r="A17" s="10" t="s">
        <v>104</v>
      </c>
      <c r="B17" s="11">
        <v>8041</v>
      </c>
      <c r="C17" s="11">
        <v>12138</v>
      </c>
      <c r="D17" s="11">
        <v>8409</v>
      </c>
      <c r="E17" s="11">
        <v>7804</v>
      </c>
      <c r="F17" s="10"/>
    </row>
    <row r="18" spans="1:6" ht="21" customHeight="1" x14ac:dyDescent="0.25">
      <c r="A18" s="10" t="s">
        <v>105</v>
      </c>
      <c r="B18" s="11">
        <v>9810</v>
      </c>
      <c r="C18" s="11">
        <v>9366</v>
      </c>
      <c r="D18" s="11">
        <v>7517</v>
      </c>
      <c r="E18" s="11">
        <v>12707</v>
      </c>
      <c r="F18" s="10"/>
    </row>
    <row r="19" spans="1:6" ht="21" customHeight="1" x14ac:dyDescent="0.25">
      <c r="A19" s="10" t="s">
        <v>106</v>
      </c>
      <c r="B19" s="11">
        <v>9827</v>
      </c>
      <c r="C19" s="11">
        <v>12904</v>
      </c>
      <c r="D19" s="11">
        <v>8345</v>
      </c>
      <c r="E19" s="11">
        <v>10471</v>
      </c>
      <c r="F19" s="10"/>
    </row>
    <row r="20" spans="1:6" ht="21" customHeight="1" x14ac:dyDescent="0.25">
      <c r="A20" s="10" t="s">
        <v>107</v>
      </c>
      <c r="B20" s="11">
        <v>11475</v>
      </c>
      <c r="C20" s="11">
        <v>14667</v>
      </c>
      <c r="D20" s="11">
        <v>13843</v>
      </c>
      <c r="E20" s="11">
        <v>12005</v>
      </c>
      <c r="F20" s="10"/>
    </row>
    <row r="21" spans="1:6" ht="21" customHeight="1" x14ac:dyDescent="0.25">
      <c r="A21" s="10" t="s">
        <v>108</v>
      </c>
      <c r="B21" s="11">
        <v>11262</v>
      </c>
      <c r="C21" s="11">
        <v>10479</v>
      </c>
      <c r="D21" s="11">
        <v>12780</v>
      </c>
      <c r="E21" s="11">
        <v>11003</v>
      </c>
      <c r="F21" s="10"/>
    </row>
    <row r="22" spans="1:6" ht="21" customHeight="1" x14ac:dyDescent="0.25">
      <c r="A22" s="10" t="s">
        <v>109</v>
      </c>
      <c r="B22" s="11">
        <v>12166</v>
      </c>
      <c r="C22" s="11">
        <v>11049</v>
      </c>
      <c r="D22" s="11">
        <v>9974</v>
      </c>
      <c r="E22" s="11">
        <v>8485</v>
      </c>
      <c r="F22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5E61D-FCE5-4816-A3A2-2E0F6FB115A2}">
  <dimension ref="B1:L23"/>
  <sheetViews>
    <sheetView zoomScale="120" zoomScaleNormal="120" workbookViewId="0">
      <selection activeCell="H5" sqref="H5"/>
    </sheetView>
  </sheetViews>
  <sheetFormatPr defaultRowHeight="15.75" x14ac:dyDescent="0.25"/>
  <cols>
    <col min="1" max="1" width="1.28515625" style="38" customWidth="1"/>
    <col min="2" max="2" width="12.85546875" style="38" customWidth="1"/>
    <col min="3" max="3" width="23.42578125" style="38" customWidth="1"/>
    <col min="4" max="4" width="14.7109375" style="39" customWidth="1"/>
    <col min="5" max="7" width="14.7109375" style="38" customWidth="1"/>
    <col min="8" max="8" width="21.42578125" style="38" customWidth="1"/>
    <col min="9" max="9" width="15.7109375" style="38" customWidth="1"/>
    <col min="10" max="10" width="2.42578125" style="38" customWidth="1"/>
    <col min="11" max="11" width="31.5703125" style="38" customWidth="1"/>
    <col min="12" max="12" width="8.42578125" style="38" customWidth="1"/>
    <col min="13" max="13" width="5.7109375" style="38" customWidth="1"/>
    <col min="14" max="16384" width="9.140625" style="38"/>
  </cols>
  <sheetData>
    <row r="1" spans="2:12" x14ac:dyDescent="0.25">
      <c r="B1" s="37" t="s">
        <v>137</v>
      </c>
    </row>
    <row r="2" spans="2:12" ht="5.25" customHeight="1" x14ac:dyDescent="0.25"/>
    <row r="3" spans="2:12" ht="15" customHeight="1" x14ac:dyDescent="0.25">
      <c r="B3" s="70" t="s">
        <v>110</v>
      </c>
      <c r="C3" s="70" t="s">
        <v>82</v>
      </c>
      <c r="D3" s="70" t="s">
        <v>111</v>
      </c>
      <c r="E3" s="70" t="s">
        <v>112</v>
      </c>
      <c r="F3" s="70" t="s">
        <v>113</v>
      </c>
      <c r="G3" s="70" t="s">
        <v>114</v>
      </c>
      <c r="H3" s="67" t="s">
        <v>115</v>
      </c>
      <c r="I3" s="66"/>
    </row>
    <row r="4" spans="2:12" x14ac:dyDescent="0.25">
      <c r="B4" s="70"/>
      <c r="C4" s="70"/>
      <c r="D4" s="70"/>
      <c r="E4" s="70"/>
      <c r="F4" s="70"/>
      <c r="G4" s="70"/>
      <c r="H4" s="67"/>
      <c r="I4" s="66"/>
    </row>
    <row r="5" spans="2:12" x14ac:dyDescent="0.25">
      <c r="B5" s="40">
        <v>1025</v>
      </c>
      <c r="C5" s="41" t="s">
        <v>116</v>
      </c>
      <c r="D5" s="34">
        <v>15</v>
      </c>
      <c r="E5" s="34">
        <v>16</v>
      </c>
      <c r="F5" s="34">
        <v>15</v>
      </c>
      <c r="G5" s="34">
        <v>17</v>
      </c>
      <c r="H5" s="42"/>
      <c r="I5" s="65"/>
    </row>
    <row r="6" spans="2:12" x14ac:dyDescent="0.25">
      <c r="B6" s="40">
        <v>1125</v>
      </c>
      <c r="C6" s="41" t="s">
        <v>117</v>
      </c>
      <c r="D6" s="34">
        <v>14</v>
      </c>
      <c r="E6" s="34">
        <v>12</v>
      </c>
      <c r="F6" s="34">
        <v>16</v>
      </c>
      <c r="G6" s="34">
        <v>15</v>
      </c>
      <c r="H6" s="42"/>
      <c r="I6" s="65"/>
      <c r="K6" s="33" t="s">
        <v>122</v>
      </c>
      <c r="L6" s="43"/>
    </row>
    <row r="7" spans="2:12" x14ac:dyDescent="0.25">
      <c r="B7" s="40">
        <v>1452</v>
      </c>
      <c r="C7" s="41" t="s">
        <v>118</v>
      </c>
      <c r="D7" s="34">
        <v>17</v>
      </c>
      <c r="E7" s="34">
        <v>15</v>
      </c>
      <c r="F7" s="34">
        <v>13</v>
      </c>
      <c r="G7" s="34">
        <v>16</v>
      </c>
      <c r="H7" s="42"/>
      <c r="I7" s="65"/>
      <c r="K7" s="33" t="s">
        <v>124</v>
      </c>
      <c r="L7" s="43"/>
    </row>
    <row r="8" spans="2:12" x14ac:dyDescent="0.25">
      <c r="B8" s="40">
        <v>1024</v>
      </c>
      <c r="C8" s="41" t="s">
        <v>119</v>
      </c>
      <c r="D8" s="34">
        <v>16</v>
      </c>
      <c r="E8" s="34">
        <v>14</v>
      </c>
      <c r="F8" s="34">
        <v>15</v>
      </c>
      <c r="G8" s="34"/>
      <c r="H8" s="42"/>
      <c r="I8" s="65"/>
    </row>
    <row r="9" spans="2:12" x14ac:dyDescent="0.25">
      <c r="B9" s="40">
        <v>1065</v>
      </c>
      <c r="C9" s="41" t="s">
        <v>120</v>
      </c>
      <c r="D9" s="34">
        <v>15</v>
      </c>
      <c r="E9" s="34">
        <v>15</v>
      </c>
      <c r="F9" s="34">
        <v>16</v>
      </c>
      <c r="G9" s="34">
        <v>15</v>
      </c>
      <c r="H9" s="42"/>
      <c r="I9" s="65"/>
    </row>
    <row r="10" spans="2:12" x14ac:dyDescent="0.25">
      <c r="B10" s="40">
        <v>1250</v>
      </c>
      <c r="C10" s="41" t="s">
        <v>121</v>
      </c>
      <c r="D10" s="34">
        <v>14</v>
      </c>
      <c r="E10" s="34">
        <v>14</v>
      </c>
      <c r="F10" s="34"/>
      <c r="G10" s="34">
        <v>14</v>
      </c>
      <c r="H10" s="42"/>
      <c r="I10" s="65"/>
    </row>
    <row r="11" spans="2:12" x14ac:dyDescent="0.25">
      <c r="B11" s="40">
        <v>1780</v>
      </c>
      <c r="C11" s="41" t="s">
        <v>123</v>
      </c>
      <c r="D11" s="34">
        <v>17</v>
      </c>
      <c r="E11" s="34">
        <v>15</v>
      </c>
      <c r="F11" s="34">
        <v>16</v>
      </c>
      <c r="G11" s="34">
        <v>15</v>
      </c>
      <c r="H11" s="42"/>
      <c r="I11" s="65"/>
    </row>
    <row r="12" spans="2:12" x14ac:dyDescent="0.25">
      <c r="B12" s="40">
        <v>2150</v>
      </c>
      <c r="C12" s="41" t="s">
        <v>125</v>
      </c>
      <c r="D12" s="34">
        <v>15</v>
      </c>
      <c r="E12" s="34">
        <v>14</v>
      </c>
      <c r="F12" s="34"/>
      <c r="G12" s="34">
        <v>15</v>
      </c>
      <c r="H12" s="42"/>
      <c r="I12" s="65"/>
      <c r="K12" s="48"/>
    </row>
    <row r="13" spans="2:12" x14ac:dyDescent="0.25">
      <c r="B13" s="40">
        <v>2140</v>
      </c>
      <c r="C13" s="41" t="s">
        <v>126</v>
      </c>
      <c r="D13" s="34">
        <v>15</v>
      </c>
      <c r="E13" s="34">
        <v>16</v>
      </c>
      <c r="F13" s="34">
        <v>18</v>
      </c>
      <c r="G13" s="34"/>
      <c r="H13" s="42"/>
      <c r="I13" s="65"/>
    </row>
    <row r="14" spans="2:12" x14ac:dyDescent="0.25">
      <c r="B14" s="40">
        <v>1365</v>
      </c>
      <c r="C14" s="41" t="s">
        <v>127</v>
      </c>
      <c r="D14" s="34">
        <v>17</v>
      </c>
      <c r="E14" s="34">
        <v>14</v>
      </c>
      <c r="F14" s="34">
        <v>16</v>
      </c>
      <c r="G14" s="34">
        <v>14</v>
      </c>
      <c r="H14" s="42"/>
      <c r="I14" s="65"/>
    </row>
    <row r="15" spans="2:12" x14ac:dyDescent="0.25">
      <c r="B15" s="40">
        <v>1478</v>
      </c>
      <c r="C15" s="41" t="s">
        <v>128</v>
      </c>
      <c r="D15" s="34">
        <v>15</v>
      </c>
      <c r="E15" s="34">
        <v>14</v>
      </c>
      <c r="F15" s="34">
        <v>15</v>
      </c>
      <c r="G15" s="34">
        <v>15</v>
      </c>
      <c r="H15" s="42"/>
      <c r="I15" s="65"/>
    </row>
    <row r="16" spans="2:12" x14ac:dyDescent="0.25">
      <c r="B16" s="40">
        <v>2165</v>
      </c>
      <c r="C16" s="41" t="s">
        <v>129</v>
      </c>
      <c r="D16" s="34">
        <v>16</v>
      </c>
      <c r="E16" s="34">
        <v>17</v>
      </c>
      <c r="F16" s="34">
        <v>18</v>
      </c>
      <c r="G16" s="34">
        <v>16</v>
      </c>
      <c r="H16" s="42"/>
      <c r="I16" s="65"/>
    </row>
    <row r="17" spans="2:9" x14ac:dyDescent="0.25">
      <c r="B17" s="40">
        <v>1895</v>
      </c>
      <c r="C17" s="41" t="s">
        <v>130</v>
      </c>
      <c r="D17" s="34">
        <v>17</v>
      </c>
      <c r="E17" s="34">
        <v>15</v>
      </c>
      <c r="F17" s="34">
        <v>15</v>
      </c>
      <c r="G17" s="34">
        <v>15</v>
      </c>
      <c r="H17" s="42"/>
      <c r="I17" s="65"/>
    </row>
    <row r="18" spans="2:9" x14ac:dyDescent="0.25">
      <c r="B18" s="40">
        <v>2200</v>
      </c>
      <c r="C18" s="41" t="s">
        <v>131</v>
      </c>
      <c r="D18" s="34">
        <v>19</v>
      </c>
      <c r="E18" s="34">
        <v>16</v>
      </c>
      <c r="F18" s="34">
        <v>16</v>
      </c>
      <c r="G18" s="34">
        <v>18</v>
      </c>
      <c r="H18" s="42"/>
      <c r="I18" s="65"/>
    </row>
    <row r="19" spans="2:9" x14ac:dyDescent="0.25">
      <c r="B19" s="40">
        <v>2350</v>
      </c>
      <c r="C19" s="41" t="s">
        <v>132</v>
      </c>
      <c r="D19" s="34">
        <v>18</v>
      </c>
      <c r="E19" s="34">
        <v>17</v>
      </c>
      <c r="F19" s="34"/>
      <c r="G19" s="34">
        <v>18</v>
      </c>
      <c r="H19" s="42"/>
      <c r="I19" s="65"/>
    </row>
    <row r="20" spans="2:9" x14ac:dyDescent="0.25">
      <c r="B20" s="40">
        <v>2425</v>
      </c>
      <c r="C20" s="41" t="s">
        <v>133</v>
      </c>
      <c r="D20" s="34">
        <v>19</v>
      </c>
      <c r="E20" s="34">
        <v>18</v>
      </c>
      <c r="F20" s="34">
        <v>19</v>
      </c>
      <c r="G20" s="34">
        <v>18</v>
      </c>
      <c r="H20" s="42"/>
      <c r="I20" s="65"/>
    </row>
    <row r="21" spans="2:9" x14ac:dyDescent="0.25">
      <c r="B21" s="40">
        <v>2500</v>
      </c>
      <c r="C21" s="41" t="s">
        <v>134</v>
      </c>
      <c r="D21" s="44"/>
      <c r="E21" s="44">
        <v>15</v>
      </c>
      <c r="F21" s="44">
        <v>14</v>
      </c>
      <c r="G21" s="44">
        <v>15</v>
      </c>
      <c r="H21" s="42"/>
      <c r="I21" s="65"/>
    </row>
    <row r="22" spans="2:9" x14ac:dyDescent="0.25">
      <c r="B22" s="40">
        <v>2575</v>
      </c>
      <c r="C22" s="41" t="s">
        <v>135</v>
      </c>
      <c r="D22" s="34">
        <v>12</v>
      </c>
      <c r="E22" s="34">
        <v>15</v>
      </c>
      <c r="F22" s="34">
        <v>15</v>
      </c>
      <c r="G22" s="34">
        <v>15</v>
      </c>
      <c r="H22" s="42"/>
      <c r="I22" s="65"/>
    </row>
    <row r="23" spans="2:9" x14ac:dyDescent="0.25">
      <c r="B23" s="68" t="s">
        <v>136</v>
      </c>
      <c r="C23" s="69"/>
      <c r="D23" s="35"/>
      <c r="E23" s="36"/>
      <c r="F23" s="36"/>
      <c r="G23" s="36"/>
      <c r="H23" s="42"/>
      <c r="I23" s="65"/>
    </row>
  </sheetData>
  <mergeCells count="9">
    <mergeCell ref="I3:I4"/>
    <mergeCell ref="H3:H4"/>
    <mergeCell ref="B23:C23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F220B92F7DD4A9677D49F520C0184" ma:contentTypeVersion="10" ma:contentTypeDescription="Criar um novo documento." ma:contentTypeScope="" ma:versionID="a44d36c34d9a817dd3d53b0650d759b4">
  <xsd:schema xmlns:xsd="http://www.w3.org/2001/XMLSchema" xmlns:xs="http://www.w3.org/2001/XMLSchema" xmlns:p="http://schemas.microsoft.com/office/2006/metadata/properties" xmlns:ns2="c84505af-92a9-49b7-b861-d76ad642db97" xmlns:ns3="2faecd36-d5e6-4ac1-b266-74ab24c6ce22" targetNamespace="http://schemas.microsoft.com/office/2006/metadata/properties" ma:root="true" ma:fieldsID="639cdb29bc4aa3b1068eec3318efa942" ns2:_="" ns3:_="">
    <xsd:import namespace="c84505af-92a9-49b7-b861-d76ad642db97"/>
    <xsd:import namespace="2faecd36-d5e6-4ac1-b266-74ab24c6ce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4505af-92a9-49b7-b861-d76ad642d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939aa9ce-4eee-40d5-89e8-ba2504be5a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ecd36-d5e6-4ac1-b266-74ab24c6ce2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07541e-a30d-4222-9576-44bb4f1b0360}" ma:internalName="TaxCatchAll" ma:showField="CatchAllData" ma:web="2faecd36-d5e6-4ac1-b266-74ab24c6c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4505af-92a9-49b7-b861-d76ad642db97">
      <Terms xmlns="http://schemas.microsoft.com/office/infopath/2007/PartnerControls"/>
    </lcf76f155ced4ddcb4097134ff3c332f>
    <TaxCatchAll xmlns="2faecd36-d5e6-4ac1-b266-74ab24c6ce22" xsi:nil="true"/>
  </documentManagement>
</p:properties>
</file>

<file path=customXml/itemProps1.xml><?xml version="1.0" encoding="utf-8"?>
<ds:datastoreItem xmlns:ds="http://schemas.openxmlformats.org/officeDocument/2006/customXml" ds:itemID="{FA95CF0A-8616-4DCD-8D42-E394C47CAA5B}"/>
</file>

<file path=customXml/itemProps2.xml><?xml version="1.0" encoding="utf-8"?>
<ds:datastoreItem xmlns:ds="http://schemas.openxmlformats.org/officeDocument/2006/customXml" ds:itemID="{51E74140-A097-4BCF-B67F-EACBB84F0EEC}"/>
</file>

<file path=customXml/itemProps3.xml><?xml version="1.0" encoding="utf-8"?>
<ds:datastoreItem xmlns:ds="http://schemas.openxmlformats.org/officeDocument/2006/customXml" ds:itemID="{226A6241-FFB5-482F-BB96-77947A8CAF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Ex1</vt:lpstr>
      <vt:lpstr>Ex2</vt:lpstr>
      <vt:lpstr>Ex3</vt:lpstr>
      <vt:lpstr>Ex4</vt:lpstr>
      <vt:lpstr>Ex5</vt:lpstr>
      <vt:lpstr>Ex6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Kundan Narendra</cp:lastModifiedBy>
  <dcterms:created xsi:type="dcterms:W3CDTF">2023-09-14T09:05:12Z</dcterms:created>
  <dcterms:modified xsi:type="dcterms:W3CDTF">2025-06-04T15:16:50Z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0x0101006F8F220B92F7DD4A9677D49F520C0184</vt:lpwstr>
  </property>
</Properties>
</file>