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805FC303-DA78-426F-9B7E-C7EA4D4BC13B}" xr6:coauthVersionLast="47" xr6:coauthVersionMax="47" xr10:uidLastSave="{00000000-0000-0000-0000-000000000000}"/>
  <bookViews>
    <workbookView xWindow="-120" yWindow="-120" windowWidth="20730" windowHeight="11160" tabRatio="672" activeTab="8" xr2:uid="{00000000-000D-0000-FFFF-FFFF00000000}"/>
  </bookViews>
  <sheets>
    <sheet name="RefAbsIntro" sheetId="20" r:id="rId1"/>
    <sheet name="RefAbs1" sheetId="21" r:id="rId2"/>
    <sheet name="RefAbs2" sheetId="22" r:id="rId3"/>
    <sheet name="RefAbs3" sheetId="14" r:id="rId4"/>
    <sheet name="RefAbs4" sheetId="12" r:id="rId5"/>
    <sheet name="RefAbs5" sheetId="19" r:id="rId6"/>
    <sheet name="RefAbs6" sheetId="11" r:id="rId7"/>
    <sheet name="RefAbs7" sheetId="15" r:id="rId8"/>
    <sheet name="RefAbs8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10" i="16"/>
  <c r="G11" i="16"/>
  <c r="G5" i="16"/>
  <c r="F6" i="16"/>
  <c r="F7" i="16"/>
  <c r="F8" i="16"/>
  <c r="F9" i="16"/>
  <c r="F10" i="16"/>
  <c r="F11" i="16"/>
  <c r="F5" i="16"/>
  <c r="D6" i="16"/>
  <c r="D7" i="16"/>
  <c r="D8" i="16"/>
  <c r="D9" i="16"/>
  <c r="D10" i="16"/>
  <c r="D11" i="16"/>
  <c r="D5" i="16"/>
  <c r="D6" i="15"/>
  <c r="D7" i="15"/>
  <c r="D8" i="15"/>
  <c r="D9" i="15"/>
  <c r="D10" i="15"/>
  <c r="D11" i="15"/>
  <c r="D12" i="15"/>
  <c r="D13" i="15"/>
  <c r="D5" i="15"/>
  <c r="C13" i="15"/>
  <c r="C6" i="15"/>
  <c r="C7" i="15"/>
  <c r="C8" i="15"/>
  <c r="C9" i="15"/>
  <c r="C10" i="15"/>
  <c r="C11" i="15"/>
  <c r="C12" i="15"/>
  <c r="C5" i="15"/>
  <c r="G6" i="11" a="1"/>
  <c r="G6" i="11" s="1"/>
  <c r="G7" i="11" a="1"/>
  <c r="G7" i="11" s="1"/>
  <c r="G8" i="11" a="1"/>
  <c r="G8" i="11" s="1"/>
  <c r="G9" i="11" a="1"/>
  <c r="G9" i="11" s="1"/>
  <c r="G10" i="11" a="1"/>
  <c r="G10" i="11" s="1"/>
  <c r="G11" i="11" a="1"/>
  <c r="G11" i="11" s="1"/>
  <c r="G5" i="11" a="1"/>
  <c r="G5" i="11" s="1"/>
  <c r="F6" i="11"/>
  <c r="F7" i="11"/>
  <c r="F8" i="11"/>
  <c r="F9" i="11"/>
  <c r="F10" i="11"/>
  <c r="F11" i="11"/>
  <c r="F5" i="11"/>
  <c r="E6" i="11"/>
  <c r="E7" i="11"/>
  <c r="E8" i="11"/>
  <c r="E9" i="11"/>
  <c r="E10" i="11"/>
  <c r="E11" i="11"/>
  <c r="E5" i="11"/>
  <c r="D6" i="11"/>
  <c r="D7" i="11"/>
  <c r="D8" i="11"/>
  <c r="D9" i="11"/>
  <c r="D10" i="11"/>
  <c r="D11" i="11"/>
  <c r="D5" i="11"/>
  <c r="F17" i="19" l="1"/>
  <c r="F13" i="19"/>
  <c r="F9" i="19"/>
  <c r="F3" i="19"/>
  <c r="F4" i="19"/>
  <c r="F5" i="19"/>
  <c r="F6" i="19"/>
  <c r="F2" i="19"/>
  <c r="E3" i="19"/>
  <c r="E4" i="19"/>
  <c r="E5" i="19"/>
  <c r="E6" i="19"/>
  <c r="E2" i="19"/>
  <c r="D3" i="19"/>
  <c r="D4" i="19"/>
  <c r="D5" i="19"/>
  <c r="D6" i="19"/>
  <c r="D2" i="19"/>
  <c r="C3" i="19"/>
  <c r="C4" i="19"/>
  <c r="C5" i="19"/>
  <c r="C6" i="19"/>
  <c r="C2" i="19"/>
  <c r="D19" i="12"/>
  <c r="E19" i="12"/>
  <c r="F19" i="12"/>
  <c r="G19" i="12"/>
  <c r="H19" i="12"/>
  <c r="I19" i="12"/>
  <c r="C19" i="12"/>
  <c r="I7" i="12"/>
  <c r="I8" i="12"/>
  <c r="I9" i="12"/>
  <c r="I10" i="12"/>
  <c r="I11" i="12"/>
  <c r="I12" i="12"/>
  <c r="I13" i="12"/>
  <c r="I14" i="12"/>
  <c r="I15" i="12"/>
  <c r="I16" i="12"/>
  <c r="I17" i="12"/>
  <c r="I6" i="12"/>
  <c r="H7" i="12"/>
  <c r="H8" i="12"/>
  <c r="H9" i="12"/>
  <c r="H10" i="12"/>
  <c r="H11" i="12"/>
  <c r="H12" i="12"/>
  <c r="H13" i="12"/>
  <c r="H14" i="12"/>
  <c r="H15" i="12"/>
  <c r="H16" i="12"/>
  <c r="H17" i="12"/>
  <c r="H6" i="12"/>
  <c r="G7" i="12"/>
  <c r="G8" i="12"/>
  <c r="G9" i="12"/>
  <c r="G10" i="12"/>
  <c r="G11" i="12"/>
  <c r="G12" i="12"/>
  <c r="G13" i="12"/>
  <c r="G14" i="12"/>
  <c r="G15" i="12"/>
  <c r="G16" i="12"/>
  <c r="G17" i="12"/>
  <c r="G6" i="12"/>
  <c r="E17" i="12"/>
  <c r="E7" i="12"/>
  <c r="E8" i="12"/>
  <c r="E9" i="12"/>
  <c r="E10" i="12"/>
  <c r="E11" i="12"/>
  <c r="E12" i="12"/>
  <c r="E13" i="12"/>
  <c r="E14" i="12"/>
  <c r="E15" i="12"/>
  <c r="E16" i="12"/>
  <c r="E6" i="12"/>
  <c r="I7" i="14"/>
  <c r="I8" i="14"/>
  <c r="I9" i="14"/>
  <c r="I10" i="14"/>
  <c r="I11" i="14"/>
  <c r="I12" i="14"/>
  <c r="I6" i="14"/>
  <c r="J7" i="21"/>
  <c r="K7" i="21"/>
  <c r="L7" i="21"/>
  <c r="M7" i="21"/>
  <c r="N7" i="21"/>
  <c r="I7" i="21"/>
  <c r="E7" i="21"/>
  <c r="E8" i="21"/>
  <c r="E9" i="21"/>
  <c r="E10" i="21"/>
  <c r="E11" i="21"/>
  <c r="E6" i="21"/>
  <c r="H9" i="14"/>
  <c r="H10" i="14"/>
  <c r="H11" i="14"/>
  <c r="H12" i="14"/>
  <c r="H8" i="14"/>
  <c r="G7" i="14"/>
  <c r="G8" i="14"/>
  <c r="G9" i="14"/>
  <c r="G10" i="14"/>
  <c r="G11" i="14"/>
  <c r="G12" i="14"/>
  <c r="H7" i="14"/>
  <c r="H6" i="14"/>
  <c r="G6" i="14"/>
  <c r="F7" i="14"/>
  <c r="F8" i="14"/>
  <c r="F9" i="14"/>
  <c r="F10" i="14"/>
  <c r="F11" i="14"/>
  <c r="F12" i="14"/>
  <c r="F6" i="14"/>
  <c r="C8" i="22"/>
  <c r="D8" i="22"/>
  <c r="C6" i="22"/>
  <c r="D6" i="22"/>
  <c r="B8" i="22"/>
  <c r="B6" i="22"/>
  <c r="E7" i="20"/>
  <c r="E8" i="20"/>
  <c r="E9" i="20"/>
  <c r="E10" i="20"/>
  <c r="E6" i="20"/>
  <c r="D7" i="20"/>
  <c r="D8" i="20"/>
  <c r="D9" i="20"/>
  <c r="D10" i="20"/>
  <c r="D6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<sst xmlns="http://schemas.openxmlformats.org/spreadsheetml/2006/main" count="147" uniqueCount="130">
  <si>
    <t>Rita</t>
  </si>
  <si>
    <t>IVA</t>
  </si>
  <si>
    <t>Total</t>
  </si>
  <si>
    <t>Trabalhador</t>
  </si>
  <si>
    <t>Vencimento Mensal</t>
  </si>
  <si>
    <t>Electricidade</t>
  </si>
  <si>
    <t>Água</t>
  </si>
  <si>
    <t>Gás</t>
  </si>
  <si>
    <t>Liquido</t>
  </si>
  <si>
    <t>Maria</t>
  </si>
  <si>
    <t>Manuel</t>
  </si>
  <si>
    <t>Joaquim</t>
  </si>
  <si>
    <t>Francisco</t>
  </si>
  <si>
    <t>Despesas da casa</t>
  </si>
  <si>
    <t xml:space="preserve">Água </t>
  </si>
  <si>
    <t>Luz</t>
  </si>
  <si>
    <t>Luz com desconto</t>
  </si>
  <si>
    <t>Telefone</t>
  </si>
  <si>
    <t>Telefone com tarifa desconto reformado</t>
  </si>
  <si>
    <t>Média Mensal</t>
  </si>
  <si>
    <t>Total 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</si>
  <si>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</si>
  <si>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</si>
  <si>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</si>
  <si>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</si>
  <si>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</si>
  <si>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</si>
  <si>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</si>
  <si>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</si>
  <si>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</si>
  <si>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</si>
  <si>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</si>
  <si>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</si>
  <si>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</si>
  <si>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Desconto para a luz:</t>
  </si>
  <si>
    <t>observação: total mensal = água  + luz com desconto+ telefone com desconto</t>
  </si>
  <si>
    <t>António</t>
  </si>
  <si>
    <t>Folha de Salário - Trabalhadores independentes</t>
  </si>
  <si>
    <t>Sector</t>
  </si>
  <si>
    <t>Nome</t>
  </si>
  <si>
    <t>Valor/hora</t>
  </si>
  <si>
    <t>Horas Realizadas</t>
  </si>
  <si>
    <t>Salário</t>
  </si>
  <si>
    <t>IRS</t>
  </si>
  <si>
    <t>Seg.Social</t>
  </si>
  <si>
    <t>Vencimento</t>
  </si>
  <si>
    <t>Gestão</t>
  </si>
  <si>
    <t>Marques</t>
  </si>
  <si>
    <t>Carlos</t>
  </si>
  <si>
    <t>Pires</t>
  </si>
  <si>
    <t>Publicidade</t>
  </si>
  <si>
    <t>Ferreira</t>
  </si>
  <si>
    <t>Armazém</t>
  </si>
  <si>
    <t>Bernardo</t>
  </si>
  <si>
    <t>Vendas</t>
  </si>
  <si>
    <t>Abel</t>
  </si>
  <si>
    <t>S.Social</t>
  </si>
  <si>
    <t>AUTOCAR</t>
  </si>
  <si>
    <t>Folha de salários</t>
  </si>
  <si>
    <t>Salário Base</t>
  </si>
  <si>
    <t>Prémio</t>
  </si>
  <si>
    <t>Salário Total</t>
  </si>
  <si>
    <t>Percentagem do Prémio</t>
  </si>
  <si>
    <t>Celeste</t>
  </si>
  <si>
    <t>Mário</t>
  </si>
  <si>
    <t>José António</t>
  </si>
  <si>
    <t>António Manuel</t>
  </si>
  <si>
    <t>João</t>
  </si>
  <si>
    <t>Victor</t>
  </si>
  <si>
    <t>Lucas</t>
  </si>
  <si>
    <t>Taxa IVA</t>
  </si>
  <si>
    <t>Folha de Salários</t>
  </si>
  <si>
    <t>Carla</t>
  </si>
  <si>
    <t>Eduardo</t>
  </si>
  <si>
    <t>Clara Sousa</t>
  </si>
  <si>
    <t>Rute</t>
  </si>
  <si>
    <t>Data</t>
  </si>
  <si>
    <t>Nº Bilhetes Vendidos</t>
  </si>
  <si>
    <t>% Ocupação</t>
  </si>
  <si>
    <t>Receita Liquida</t>
  </si>
  <si>
    <t>Valor do IVA</t>
  </si>
  <si>
    <t>Receita Bruta</t>
  </si>
  <si>
    <t>Capacidade Sala =</t>
  </si>
  <si>
    <t>(para calcular a ocupação)</t>
  </si>
  <si>
    <t xml:space="preserve">Preço Bilhete = </t>
  </si>
  <si>
    <t>(para calcular a Receita Líquida)</t>
  </si>
  <si>
    <t>Melhor venda de Bilhetes</t>
  </si>
  <si>
    <t>(para calcular o Valor do IVA)</t>
  </si>
  <si>
    <t>Receita Bruta = Receita Líquida, acrescida de IVA</t>
  </si>
  <si>
    <t>Mapa de Pagamentos de Clientes</t>
  </si>
  <si>
    <t>Nome do cliente</t>
  </si>
  <si>
    <t>Total s/IVA</t>
  </si>
  <si>
    <t>Total a Pagar</t>
  </si>
  <si>
    <t>António Santos</t>
  </si>
  <si>
    <t>José Silva</t>
  </si>
  <si>
    <t>Manuel Mendes</t>
  </si>
  <si>
    <t>Margarida Pinheiro</t>
  </si>
  <si>
    <t>Teresa Duarte</t>
  </si>
  <si>
    <t>Total Global</t>
  </si>
  <si>
    <t>Pr. Unit.</t>
  </si>
  <si>
    <t>ID</t>
  </si>
  <si>
    <t>Quantidade</t>
  </si>
  <si>
    <t>Marca</t>
  </si>
  <si>
    <t>Honda</t>
  </si>
  <si>
    <t>Suzuki</t>
  </si>
  <si>
    <t>Yamaha</t>
  </si>
  <si>
    <t>preço base</t>
  </si>
  <si>
    <t>Preço c/ IVA</t>
  </si>
  <si>
    <t>Valor de IVA</t>
  </si>
  <si>
    <t>Calcular o preço de venda</t>
  </si>
  <si>
    <t>Artigo</t>
  </si>
  <si>
    <t>Preço Compra</t>
  </si>
  <si>
    <t>Margem</t>
  </si>
  <si>
    <t>Valor de Lucro</t>
  </si>
  <si>
    <t>Valor IVA</t>
  </si>
  <si>
    <t>HTC Touch II</t>
  </si>
  <si>
    <t>LG GW520 Etna 3G</t>
  </si>
  <si>
    <t>Nokia 2220</t>
  </si>
  <si>
    <t>Nokia 7100 Supernova</t>
  </si>
  <si>
    <t>BlackBerry Storm II 9520</t>
  </si>
  <si>
    <t>HTC Tattoo</t>
  </si>
  <si>
    <t>Samsung Wave</t>
  </si>
  <si>
    <t>Despesas</t>
  </si>
  <si>
    <t>Função Média</t>
  </si>
  <si>
    <t>Função Soma</t>
  </si>
  <si>
    <t>FN/F4 Cria Fixador de Valor $G$</t>
  </si>
  <si>
    <t>Média % Ocupação</t>
  </si>
  <si>
    <t>Menor venda de Bilhetes</t>
  </si>
  <si>
    <t>Função Máximo</t>
  </si>
  <si>
    <t>Função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</si>
</sst>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#,##0.00\ &quot;€&quot;"/>
    <numFmt numFmtId="167" formatCode="_([$€]* #,##0.00_);_([$€]* \(#,##0.00\);_([$€]* &quot;-&quot;??_);_(@_)"/>
    <numFmt numFmtId="168" formatCode="0.0%"/>
    <numFmt numFmtId="169" formatCode="_-* #,##0.00\ [$€-816]_-;\-* #,##0.00\ [$€-816]_-;_-* &quot;-&quot;??\ [$€-816]_-;_-@_-"/>
    <numFmt numFmtId="170" formatCode="#,##0.00\ [$€-1]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u/>
      <sz val="22"/>
      <name val="Berlin Sans FB"/>
      <family val="2"/>
    </font>
    <font>
      <b/>
      <sz val="11"/>
      <name val="Aharoni"/>
      <charset val="177"/>
    </font>
    <font>
      <sz val="11"/>
      <name val="Berlin Sans FB"/>
      <family val="2"/>
    </font>
    <font>
      <b/>
      <sz val="11"/>
      <name val="Berlin Sans FB"/>
      <family val="2"/>
    </font>
    <font>
      <b/>
      <sz val="13"/>
      <color theme="1"/>
      <name val="Arial"/>
      <family val="2"/>
    </font>
    <font>
      <b/>
      <sz val="13"/>
      <color theme="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5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9" fillId="3" borderId="0" applyNumberFormat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9" fontId="6" fillId="0" borderId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165" fontId="11" fillId="0" borderId="0" applyFont="0" applyFill="0" applyBorder="0" applyAlignment="0" applyProtection="0"/>
    <xf numFmtId="0" fontId="4" fillId="0" borderId="0"/>
    <xf numFmtId="165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136">
    <xf numFmtId="0" fontId="0" fillId="0" borderId="0" xfId="0"/>
    <xf numFmtId="165" fontId="0" fillId="0" borderId="3" xfId="7" applyFont="1" applyBorder="1"/>
    <xf numFmtId="165" fontId="0" fillId="0" borderId="4" xfId="7" applyFont="1" applyBorder="1"/>
    <xf numFmtId="0" fontId="0" fillId="0" borderId="5" xfId="0" applyBorder="1"/>
    <xf numFmtId="0" fontId="0" fillId="0" borderId="6" xfId="0" applyBorder="1"/>
    <xf numFmtId="165" fontId="0" fillId="0" borderId="6" xfId="7" applyFont="1" applyBorder="1"/>
    <xf numFmtId="165" fontId="0" fillId="0" borderId="7" xfId="7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164" fontId="0" fillId="0" borderId="0" xfId="0" applyNumberFormat="1"/>
    <xf numFmtId="0" fontId="0" fillId="2" borderId="0" xfId="0" applyFill="1"/>
    <xf numFmtId="165" fontId="0" fillId="0" borderId="12" xfId="7" applyFont="1" applyBorder="1"/>
    <xf numFmtId="165" fontId="0" fillId="0" borderId="13" xfId="7" applyFont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9" fontId="0" fillId="0" borderId="17" xfId="0" applyNumberFormat="1" applyBorder="1" applyAlignment="1">
      <alignment horizontal="center"/>
    </xf>
    <xf numFmtId="0" fontId="8" fillId="0" borderId="18" xfId="0" applyFont="1" applyBorder="1" applyAlignment="1">
      <alignment wrapText="1"/>
    </xf>
    <xf numFmtId="0" fontId="7" fillId="0" borderId="0" xfId="0" applyFont="1"/>
    <xf numFmtId="165" fontId="0" fillId="4" borderId="24" xfId="7" applyFont="1" applyFill="1" applyBorder="1"/>
    <xf numFmtId="0" fontId="4" fillId="0" borderId="0" xfId="8"/>
    <xf numFmtId="0" fontId="13" fillId="4" borderId="1" xfId="8" applyFont="1" applyFill="1" applyBorder="1" applyAlignment="1">
      <alignment horizontal="center" vertical="center" wrapText="1"/>
    </xf>
    <xf numFmtId="0" fontId="14" fillId="0" borderId="1" xfId="8" applyFont="1" applyBorder="1"/>
    <xf numFmtId="165" fontId="14" fillId="0" borderId="1" xfId="9" applyFont="1" applyBorder="1" applyAlignment="1">
      <alignment horizontal="center"/>
    </xf>
    <xf numFmtId="0" fontId="14" fillId="0" borderId="1" xfId="8" applyFont="1" applyBorder="1" applyAlignment="1">
      <alignment horizontal="center"/>
    </xf>
    <xf numFmtId="165" fontId="14" fillId="0" borderId="1" xfId="8" applyNumberFormat="1" applyFont="1" applyBorder="1" applyAlignment="1">
      <alignment horizontal="center"/>
    </xf>
    <xf numFmtId="0" fontId="14" fillId="0" borderId="0" xfId="8" applyFont="1"/>
    <xf numFmtId="0" fontId="13" fillId="0" borderId="1" xfId="8" applyFont="1" applyBorder="1"/>
    <xf numFmtId="0" fontId="15" fillId="0" borderId="1" xfId="8" applyFont="1" applyBorder="1"/>
    <xf numFmtId="9" fontId="14" fillId="0" borderId="1" xfId="8" applyNumberFormat="1" applyFont="1" applyBorder="1"/>
    <xf numFmtId="0" fontId="13" fillId="0" borderId="0" xfId="8" applyFont="1"/>
    <xf numFmtId="0" fontId="15" fillId="0" borderId="0" xfId="8" applyFont="1"/>
    <xf numFmtId="0" fontId="3" fillId="0" borderId="0" xfId="11"/>
    <xf numFmtId="166" fontId="3" fillId="0" borderId="0" xfId="11" applyNumberFormat="1"/>
    <xf numFmtId="0" fontId="17" fillId="6" borderId="0" xfId="11" applyFont="1" applyFill="1"/>
    <xf numFmtId="0" fontId="9" fillId="0" borderId="0" xfId="11" applyFont="1"/>
    <xf numFmtId="10" fontId="19" fillId="0" borderId="0" xfId="11" applyNumberFormat="1" applyFont="1"/>
    <xf numFmtId="166" fontId="18" fillId="0" borderId="0" xfId="11" applyNumberFormat="1" applyFont="1"/>
    <xf numFmtId="0" fontId="6" fillId="0" borderId="0" xfId="0" applyFont="1"/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5" fontId="0" fillId="4" borderId="25" xfId="0" applyNumberFormat="1" applyFill="1" applyBorder="1"/>
    <xf numFmtId="165" fontId="0" fillId="0" borderId="0" xfId="0" applyNumberFormat="1"/>
    <xf numFmtId="165" fontId="0" fillId="4" borderId="13" xfId="0" applyNumberFormat="1" applyFill="1" applyBorder="1"/>
    <xf numFmtId="165" fontId="0" fillId="4" borderId="11" xfId="0" applyNumberFormat="1" applyFill="1" applyBorder="1" applyAlignment="1">
      <alignment vertical="center"/>
    </xf>
    <xf numFmtId="0" fontId="2" fillId="0" borderId="0" xfId="12"/>
    <xf numFmtId="0" fontId="10" fillId="0" borderId="1" xfId="12" applyFont="1" applyBorder="1" applyAlignment="1">
      <alignment horizontal="center"/>
    </xf>
    <xf numFmtId="14" fontId="2" fillId="0" borderId="1" xfId="12" applyNumberFormat="1" applyBorder="1" applyAlignment="1">
      <alignment horizontal="center"/>
    </xf>
    <xf numFmtId="0" fontId="2" fillId="0" borderId="1" xfId="12" applyBorder="1" applyAlignment="1">
      <alignment horizontal="center"/>
    </xf>
    <xf numFmtId="9" fontId="27" fillId="7" borderId="1" xfId="13" applyFont="1" applyFill="1" applyBorder="1" applyAlignment="1">
      <alignment horizontal="center"/>
    </xf>
    <xf numFmtId="165" fontId="27" fillId="8" borderId="1" xfId="12" applyNumberFormat="1" applyFont="1" applyFill="1" applyBorder="1" applyAlignment="1">
      <alignment horizontal="center"/>
    </xf>
    <xf numFmtId="165" fontId="27" fillId="9" borderId="1" xfId="12" applyNumberFormat="1" applyFont="1" applyFill="1" applyBorder="1" applyAlignment="1">
      <alignment horizontal="center"/>
    </xf>
    <xf numFmtId="165" fontId="27" fillId="2" borderId="1" xfId="12" applyNumberFormat="1" applyFont="1" applyFill="1" applyBorder="1" applyAlignment="1">
      <alignment horizontal="center"/>
    </xf>
    <xf numFmtId="0" fontId="10" fillId="0" borderId="1" xfId="12" applyFont="1" applyBorder="1"/>
    <xf numFmtId="0" fontId="2" fillId="7" borderId="1" xfId="12" applyFill="1" applyBorder="1" applyAlignment="1">
      <alignment horizontal="center"/>
    </xf>
    <xf numFmtId="0" fontId="27" fillId="0" borderId="0" xfId="12" applyFont="1"/>
    <xf numFmtId="0" fontId="10" fillId="0" borderId="1" xfId="12" applyFont="1" applyBorder="1" applyAlignment="1">
      <alignment horizontal="right"/>
    </xf>
    <xf numFmtId="9" fontId="2" fillId="9" borderId="1" xfId="12" applyNumberFormat="1" applyFill="1" applyBorder="1" applyAlignment="1">
      <alignment horizontal="center"/>
    </xf>
    <xf numFmtId="0" fontId="10" fillId="2" borderId="0" xfId="12" applyFont="1" applyFill="1"/>
    <xf numFmtId="0" fontId="2" fillId="2" borderId="0" xfId="12" applyFill="1"/>
    <xf numFmtId="168" fontId="14" fillId="0" borderId="1" xfId="8" applyNumberFormat="1" applyFont="1" applyBorder="1"/>
    <xf numFmtId="0" fontId="8" fillId="0" borderId="0" xfId="0" applyFont="1"/>
    <xf numFmtId="166" fontId="19" fillId="0" borderId="1" xfId="11" applyNumberFormat="1" applyFont="1" applyBorder="1"/>
    <xf numFmtId="0" fontId="28" fillId="0" borderId="1" xfId="11" applyFont="1" applyBorder="1" applyAlignment="1">
      <alignment horizontal="center"/>
    </xf>
    <xf numFmtId="0" fontId="19" fillId="0" borderId="1" xfId="11" applyFont="1" applyBorder="1"/>
    <xf numFmtId="0" fontId="24" fillId="0" borderId="1" xfId="11" applyFont="1" applyBorder="1"/>
    <xf numFmtId="166" fontId="25" fillId="0" borderId="1" xfId="11" applyNumberFormat="1" applyFont="1" applyBorder="1"/>
    <xf numFmtId="0" fontId="21" fillId="0" borderId="0" xfId="0" applyFont="1"/>
    <xf numFmtId="0" fontId="21" fillId="0" borderId="0" xfId="2" applyFont="1"/>
    <xf numFmtId="0" fontId="20" fillId="5" borderId="1" xfId="2" applyFont="1" applyFill="1" applyBorder="1" applyAlignment="1">
      <alignment horizontal="center"/>
    </xf>
    <xf numFmtId="0" fontId="21" fillId="0" borderId="1" xfId="2" applyFont="1" applyBorder="1"/>
    <xf numFmtId="165" fontId="21" fillId="0" borderId="1" xfId="3" applyNumberFormat="1" applyFont="1" applyFill="1" applyBorder="1"/>
    <xf numFmtId="165" fontId="21" fillId="0" borderId="1" xfId="2" applyNumberFormat="1" applyFont="1" applyBorder="1"/>
    <xf numFmtId="0" fontId="20" fillId="0" borderId="1" xfId="2" applyFont="1" applyBorder="1"/>
    <xf numFmtId="9" fontId="21" fillId="0" borderId="1" xfId="2" applyNumberFormat="1" applyFont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0" fontId="30" fillId="10" borderId="33" xfId="0" applyFont="1" applyFill="1" applyBorder="1" applyAlignment="1">
      <alignment horizontal="center"/>
    </xf>
    <xf numFmtId="0" fontId="30" fillId="10" borderId="34" xfId="0" applyFont="1" applyFill="1" applyBorder="1" applyAlignment="1">
      <alignment horizontal="center"/>
    </xf>
    <xf numFmtId="0" fontId="30" fillId="10" borderId="35" xfId="0" applyFont="1" applyFill="1" applyBorder="1" applyAlignment="1">
      <alignment horizontal="center"/>
    </xf>
    <xf numFmtId="0" fontId="21" fillId="5" borderId="34" xfId="0" applyFont="1" applyFill="1" applyBorder="1"/>
    <xf numFmtId="0" fontId="21" fillId="5" borderId="35" xfId="0" applyFont="1" applyFill="1" applyBorder="1"/>
    <xf numFmtId="0" fontId="21" fillId="5" borderId="36" xfId="0" applyFont="1" applyFill="1" applyBorder="1" applyAlignment="1">
      <alignment horizontal="center"/>
    </xf>
    <xf numFmtId="0" fontId="21" fillId="5" borderId="37" xfId="0" applyFont="1" applyFill="1" applyBorder="1" applyAlignment="1">
      <alignment horizontal="center"/>
    </xf>
    <xf numFmtId="166" fontId="21" fillId="0" borderId="38" xfId="0" applyNumberFormat="1" applyFont="1" applyBorder="1"/>
    <xf numFmtId="0" fontId="30" fillId="10" borderId="36" xfId="0" applyFont="1" applyFill="1" applyBorder="1" applyAlignment="1">
      <alignment horizontal="center"/>
    </xf>
    <xf numFmtId="0" fontId="21" fillId="5" borderId="37" xfId="0" applyFont="1" applyFill="1" applyBorder="1"/>
    <xf numFmtId="0" fontId="21" fillId="5" borderId="38" xfId="0" applyFont="1" applyFill="1" applyBorder="1"/>
    <xf numFmtId="0" fontId="30" fillId="10" borderId="39" xfId="0" applyFont="1" applyFill="1" applyBorder="1" applyAlignment="1">
      <alignment horizontal="center"/>
    </xf>
    <xf numFmtId="166" fontId="21" fillId="0" borderId="40" xfId="0" applyNumberFormat="1" applyFont="1" applyBorder="1"/>
    <xf numFmtId="0" fontId="21" fillId="5" borderId="39" xfId="0" applyFont="1" applyFill="1" applyBorder="1" applyAlignment="1">
      <alignment horizontal="center"/>
    </xf>
    <xf numFmtId="0" fontId="21" fillId="5" borderId="4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1" xfId="0" applyFont="1" applyBorder="1"/>
    <xf numFmtId="169" fontId="20" fillId="0" borderId="1" xfId="0" applyNumberFormat="1" applyFont="1" applyBorder="1"/>
    <xf numFmtId="169" fontId="20" fillId="7" borderId="1" xfId="0" applyNumberFormat="1" applyFont="1" applyFill="1" applyBorder="1"/>
    <xf numFmtId="0" fontId="20" fillId="5" borderId="1" xfId="0" applyFont="1" applyFill="1" applyBorder="1"/>
    <xf numFmtId="9" fontId="20" fillId="5" borderId="1" xfId="0" applyNumberFormat="1" applyFont="1" applyFill="1" applyBorder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9" fontId="8" fillId="0" borderId="0" xfId="0" applyNumberFormat="1" applyFont="1"/>
    <xf numFmtId="0" fontId="31" fillId="0" borderId="26" xfId="0" applyFont="1" applyBorder="1"/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1" fillId="0" borderId="28" xfId="0" applyFont="1" applyBorder="1"/>
    <xf numFmtId="0" fontId="8" fillId="0" borderId="29" xfId="0" applyFont="1" applyBorder="1"/>
    <xf numFmtId="3" fontId="8" fillId="0" borderId="0" xfId="0" applyNumberFormat="1" applyFont="1"/>
    <xf numFmtId="166" fontId="31" fillId="0" borderId="30" xfId="0" applyNumberFormat="1" applyFont="1" applyBorder="1"/>
    <xf numFmtId="0" fontId="8" fillId="0" borderId="31" xfId="0" applyFont="1" applyBorder="1"/>
    <xf numFmtId="3" fontId="8" fillId="0" borderId="32" xfId="0" applyNumberFormat="1" applyFont="1" applyBorder="1"/>
    <xf numFmtId="166" fontId="31" fillId="0" borderId="28" xfId="0" applyNumberFormat="1" applyFont="1" applyBorder="1"/>
    <xf numFmtId="0" fontId="0" fillId="0" borderId="0" xfId="0" applyAlignment="1">
      <alignment horizontal="center" vertical="justify"/>
    </xf>
    <xf numFmtId="0" fontId="23" fillId="0" borderId="1" xfId="0" applyFont="1" applyBorder="1" applyAlignment="1">
      <alignment horizontal="center"/>
    </xf>
    <xf numFmtId="0" fontId="22" fillId="0" borderId="1" xfId="0" applyFont="1" applyBorder="1"/>
    <xf numFmtId="0" fontId="6" fillId="0" borderId="1" xfId="0" applyFont="1" applyBorder="1"/>
    <xf numFmtId="170" fontId="6" fillId="0" borderId="1" xfId="0" applyNumberFormat="1" applyFont="1" applyBorder="1"/>
    <xf numFmtId="9" fontId="22" fillId="0" borderId="1" xfId="15" applyFont="1" applyBorder="1"/>
    <xf numFmtId="3" fontId="8" fillId="0" borderId="27" xfId="0" applyNumberFormat="1" applyFont="1" applyBorder="1"/>
    <xf numFmtId="0" fontId="20" fillId="11" borderId="1" xfId="0" applyFont="1" applyFill="1" applyBorder="1" applyAlignment="1">
      <alignment horizontal="center"/>
    </xf>
    <xf numFmtId="165" fontId="26" fillId="8" borderId="1" xfId="14" applyFill="1" applyBorder="1" applyAlignment="1">
      <alignment vertical="center"/>
    </xf>
    <xf numFmtId="0" fontId="12" fillId="0" borderId="0" xfId="8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12" applyBorder="1" applyAlignment="1">
      <alignment horizontal="center" wrapText="1"/>
    </xf>
    <xf numFmtId="0" fontId="20" fillId="0" borderId="2" xfId="2" applyFont="1" applyBorder="1" applyAlignment="1">
      <alignment horizontal="center"/>
    </xf>
    <xf numFmtId="0" fontId="16" fillId="0" borderId="0" xfId="11" applyFont="1" applyAlignment="1">
      <alignment horizontal="center"/>
    </xf>
    <xf numFmtId="0" fontId="16" fillId="0" borderId="0" xfId="11" applyFont="1"/>
    <xf numFmtId="165" fontId="10" fillId="0" borderId="0" xfId="0" applyNumberFormat="1" applyFont="1"/>
    <xf numFmtId="0" fontId="10" fillId="0" borderId="0" xfId="0" applyFont="1"/>
    <xf numFmtId="0" fontId="1" fillId="0" borderId="1" xfId="12" applyFont="1" applyBorder="1" applyAlignment="1">
      <alignment horizontal="center" wrapText="1"/>
    </xf>
    <xf numFmtId="170" fontId="22" fillId="0" borderId="1" xfId="0" applyNumberFormat="1" applyFont="1" applyBorder="1"/>
  </cellXfs>
  <cellStyles count="16">
    <cellStyle name="Cor1" xfId="1" builtinId="29" customBuiltin="1"/>
    <cellStyle name="Euro" xfId="3" xr:uid="{00000000-0005-0000-0000-000001000000}"/>
    <cellStyle name="Euro 2" xfId="7" xr:uid="{00000000-0005-0000-0000-000002000000}"/>
    <cellStyle name="Euro 3" xfId="9" xr:uid="{00000000-0005-0000-0000-000003000000}"/>
    <cellStyle name="Euro 4" xfId="14" xr:uid="{00000000-0005-0000-0000-000004000000}"/>
    <cellStyle name="Moeda 2" xfId="5" xr:uid="{00000000-0005-0000-0000-000005000000}"/>
    <cellStyle name="Normal" xfId="0" builtinId="0"/>
    <cellStyle name="Normal 2" xfId="6" xr:uid="{00000000-0005-0000-0000-000007000000}"/>
    <cellStyle name="Normal 3" xfId="2" xr:uid="{00000000-0005-0000-0000-000008000000}"/>
    <cellStyle name="Normal 4" xfId="8" xr:uid="{00000000-0005-0000-0000-000009000000}"/>
    <cellStyle name="Normal 5" xfId="11" xr:uid="{00000000-0005-0000-0000-00000A000000}"/>
    <cellStyle name="Normal 6" xfId="12" xr:uid="{00000000-0005-0000-0000-00000B000000}"/>
    <cellStyle name="Percentagem" xfId="15" builtinId="5"/>
    <cellStyle name="Percentagem 2" xfId="4" xr:uid="{00000000-0005-0000-0000-00000D000000}"/>
    <cellStyle name="Percentagem 3" xfId="10" xr:uid="{00000000-0005-0000-0000-00000E000000}"/>
    <cellStyle name="Percentagem 4" xfId="13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14</xdr:row>
      <xdr:rowOff>9525</xdr:rowOff>
    </xdr:from>
    <xdr:to>
      <xdr:col>7</xdr:col>
      <xdr:colOff>295275</xdr:colOff>
      <xdr:row>19</xdr:row>
      <xdr:rowOff>47625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038600" y="2276475"/>
          <a:ext cx="32575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PT" sz="1100">
              <a:solidFill>
                <a:schemeClr val="dk1"/>
              </a:solidFill>
              <a:latin typeface="+mn-lt"/>
              <a:ea typeface="+mn-ea"/>
              <a:cs typeface="+mn-cs"/>
            </a:rPr>
            <a:t>Sabendo que, do vencimento mensal, é necessário retirar 5% para a electricidade, 2% para a água e 1% para o gás, preencha a tabela, utilizando referências absolutas. 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104775</xdr:rowOff>
    </xdr:from>
    <xdr:to>
      <xdr:col>9</xdr:col>
      <xdr:colOff>491290</xdr:colOff>
      <xdr:row>11</xdr:row>
      <xdr:rowOff>76200</xdr:rowOff>
    </xdr:to>
    <xdr:pic>
      <xdr:nvPicPr>
        <xdr:cNvPr id="2" name="Picture 1" descr="BlackBerry Storm II 952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00950" y="104775"/>
          <a:ext cx="1358064" cy="2400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2"/>
  <sheetViews>
    <sheetView workbookViewId="0">
      <selection activeCell="E6" sqref="E6:E10"/>
    </sheetView>
  </sheetViews>
  <sheetFormatPr defaultRowHeight="18" x14ac:dyDescent="0.25"/>
  <cols>
    <col min="1" max="1" width="9.140625" style="67"/>
    <col min="2" max="2" width="23.42578125" style="67" customWidth="1"/>
    <col min="3" max="3" width="18" style="67" customWidth="1"/>
    <col min="4" max="4" width="18.140625" style="67" customWidth="1"/>
    <col min="5" max="5" width="16.7109375" style="67" customWidth="1"/>
    <col min="6" max="6" width="12.42578125" style="67" bestFit="1" customWidth="1"/>
    <col min="7" max="16384" width="9.140625" style="67"/>
  </cols>
  <sheetData>
    <row r="3" spans="2:7" ht="18.75" x14ac:dyDescent="0.3">
      <c r="B3" s="104"/>
      <c r="C3" s="105" t="s">
        <v>89</v>
      </c>
      <c r="D3" s="105"/>
      <c r="E3" s="105"/>
      <c r="F3" s="67" t="s">
        <v>70</v>
      </c>
      <c r="G3" s="106">
        <v>0.23</v>
      </c>
    </row>
    <row r="5" spans="2:7" ht="18.75" x14ac:dyDescent="0.3">
      <c r="B5" s="107" t="s">
        <v>90</v>
      </c>
      <c r="C5" s="108" t="s">
        <v>91</v>
      </c>
      <c r="D5" s="109" t="s">
        <v>1</v>
      </c>
      <c r="E5" s="110" t="s">
        <v>92</v>
      </c>
    </row>
    <row r="6" spans="2:7" ht="18.75" x14ac:dyDescent="0.3">
      <c r="B6" s="111" t="s">
        <v>93</v>
      </c>
      <c r="C6" s="112">
        <v>128000</v>
      </c>
      <c r="D6" s="112">
        <f>C6*$G$3</f>
        <v>29440</v>
      </c>
      <c r="E6" s="113">
        <f>SUM(C6:D6)</f>
        <v>157440</v>
      </c>
    </row>
    <row r="7" spans="2:7" ht="18.75" x14ac:dyDescent="0.3">
      <c r="B7" s="111" t="s">
        <v>94</v>
      </c>
      <c r="C7" s="112">
        <v>116000</v>
      </c>
      <c r="D7" s="112">
        <f t="shared" ref="D7:D10" si="0">C7*$G$3</f>
        <v>26680</v>
      </c>
      <c r="E7" s="113">
        <f t="shared" ref="E7:E10" si="1">SUM(C7:D7)</f>
        <v>142680</v>
      </c>
    </row>
    <row r="8" spans="2:7" ht="18.75" x14ac:dyDescent="0.3">
      <c r="B8" s="111" t="s">
        <v>95</v>
      </c>
      <c r="C8" s="112">
        <v>195000</v>
      </c>
      <c r="D8" s="112">
        <f t="shared" si="0"/>
        <v>44850</v>
      </c>
      <c r="E8" s="113">
        <f t="shared" si="1"/>
        <v>239850</v>
      </c>
    </row>
    <row r="9" spans="2:7" ht="18.75" x14ac:dyDescent="0.3">
      <c r="B9" s="111" t="s">
        <v>96</v>
      </c>
      <c r="C9" s="112">
        <v>114000</v>
      </c>
      <c r="D9" s="112">
        <f t="shared" si="0"/>
        <v>26220</v>
      </c>
      <c r="E9" s="113">
        <f t="shared" si="1"/>
        <v>140220</v>
      </c>
    </row>
    <row r="10" spans="2:7" ht="18.75" x14ac:dyDescent="0.3">
      <c r="B10" s="114" t="s">
        <v>97</v>
      </c>
      <c r="C10" s="115">
        <v>258000</v>
      </c>
      <c r="D10" s="112">
        <f t="shared" si="0"/>
        <v>59340</v>
      </c>
      <c r="E10" s="113">
        <f t="shared" si="1"/>
        <v>317340</v>
      </c>
    </row>
    <row r="12" spans="2:7" ht="18.75" x14ac:dyDescent="0.3">
      <c r="B12" s="107" t="s">
        <v>98</v>
      </c>
      <c r="C12" s="123"/>
      <c r="D12" s="123"/>
      <c r="E1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N12"/>
  <sheetViews>
    <sheetView zoomScale="120" zoomScaleNormal="120" workbookViewId="0">
      <selection activeCell="I7" sqref="I7:N7"/>
    </sheetView>
  </sheetViews>
  <sheetFormatPr defaultRowHeight="15" x14ac:dyDescent="0.2"/>
  <cols>
    <col min="1" max="1" width="5" style="73" customWidth="1"/>
    <col min="2" max="2" width="5.42578125" style="73" customWidth="1"/>
    <col min="3" max="3" width="9.140625" style="73"/>
    <col min="4" max="4" width="12.140625" style="73" customWidth="1"/>
    <col min="5" max="5" width="11.28515625" style="73" customWidth="1"/>
    <col min="6" max="7" width="9.140625" style="73"/>
    <col min="8" max="8" width="12.140625" style="73" customWidth="1"/>
    <col min="9" max="14" width="10.28515625" style="73" customWidth="1"/>
    <col min="15" max="16384" width="9.140625" style="73"/>
  </cols>
  <sheetData>
    <row r="3" spans="3:14" ht="15.75" x14ac:dyDescent="0.25">
      <c r="C3" s="81" t="s">
        <v>99</v>
      </c>
      <c r="H3" s="81" t="s">
        <v>99</v>
      </c>
    </row>
    <row r="4" spans="3:14" x14ac:dyDescent="0.2">
      <c r="C4" s="82">
        <v>6</v>
      </c>
      <c r="H4" s="82">
        <v>4</v>
      </c>
    </row>
    <row r="5" spans="3:14" ht="15.75" x14ac:dyDescent="0.25">
      <c r="C5" s="83" t="s">
        <v>100</v>
      </c>
      <c r="D5" s="84" t="s">
        <v>101</v>
      </c>
      <c r="E5" s="85" t="s">
        <v>2</v>
      </c>
      <c r="H5" s="83" t="s">
        <v>100</v>
      </c>
      <c r="I5" s="86">
        <v>1</v>
      </c>
      <c r="J5" s="86">
        <v>2</v>
      </c>
      <c r="K5" s="86">
        <v>3</v>
      </c>
      <c r="L5" s="86">
        <v>4</v>
      </c>
      <c r="M5" s="86">
        <v>5</v>
      </c>
      <c r="N5" s="87">
        <v>6</v>
      </c>
    </row>
    <row r="6" spans="3:14" ht="15.75" x14ac:dyDescent="0.25">
      <c r="C6" s="88">
        <v>1</v>
      </c>
      <c r="D6" s="89">
        <v>20</v>
      </c>
      <c r="E6" s="90">
        <f>D6*$C$4</f>
        <v>120</v>
      </c>
      <c r="H6" s="91" t="s">
        <v>101</v>
      </c>
      <c r="I6" s="92">
        <v>20</v>
      </c>
      <c r="J6" s="92">
        <v>45</v>
      </c>
      <c r="K6" s="92">
        <v>23</v>
      </c>
      <c r="L6" s="92">
        <v>12</v>
      </c>
      <c r="M6" s="92">
        <v>43</v>
      </c>
      <c r="N6" s="93">
        <v>12</v>
      </c>
    </row>
    <row r="7" spans="3:14" ht="15.75" x14ac:dyDescent="0.25">
      <c r="C7" s="88">
        <v>2</v>
      </c>
      <c r="D7" s="89">
        <v>45</v>
      </c>
      <c r="E7" s="90">
        <f t="shared" ref="E7:E11" si="0">D7*$C$4</f>
        <v>270</v>
      </c>
      <c r="H7" s="94" t="s">
        <v>2</v>
      </c>
      <c r="I7" s="95">
        <f>I6*$H$4</f>
        <v>80</v>
      </c>
      <c r="J7" s="95">
        <f t="shared" ref="J7:N7" si="1">J6*$H$4</f>
        <v>180</v>
      </c>
      <c r="K7" s="95">
        <f t="shared" si="1"/>
        <v>92</v>
      </c>
      <c r="L7" s="95">
        <f t="shared" si="1"/>
        <v>48</v>
      </c>
      <c r="M7" s="95">
        <f t="shared" si="1"/>
        <v>172</v>
      </c>
      <c r="N7" s="95">
        <f t="shared" si="1"/>
        <v>48</v>
      </c>
    </row>
    <row r="8" spans="3:14" x14ac:dyDescent="0.2">
      <c r="C8" s="88">
        <v>3</v>
      </c>
      <c r="D8" s="89">
        <v>23</v>
      </c>
      <c r="E8" s="90">
        <f t="shared" si="0"/>
        <v>138</v>
      </c>
    </row>
    <row r="9" spans="3:14" x14ac:dyDescent="0.2">
      <c r="C9" s="88">
        <v>4</v>
      </c>
      <c r="D9" s="89">
        <v>12</v>
      </c>
      <c r="E9" s="90">
        <f t="shared" si="0"/>
        <v>72</v>
      </c>
    </row>
    <row r="10" spans="3:14" x14ac:dyDescent="0.2">
      <c r="C10" s="88">
        <v>5</v>
      </c>
      <c r="D10" s="89">
        <v>43</v>
      </c>
      <c r="E10" s="90">
        <f t="shared" si="0"/>
        <v>258</v>
      </c>
    </row>
    <row r="11" spans="3:14" x14ac:dyDescent="0.2">
      <c r="C11" s="96">
        <v>6</v>
      </c>
      <c r="D11" s="97">
        <v>12</v>
      </c>
      <c r="E11" s="90">
        <f t="shared" si="0"/>
        <v>72</v>
      </c>
    </row>
    <row r="12" spans="3:14" x14ac:dyDescent="0.2">
      <c r="C12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"/>
  <sheetViews>
    <sheetView zoomScale="130" zoomScaleNormal="130" workbookViewId="0">
      <selection activeCell="B8" sqref="B8:D8"/>
    </sheetView>
  </sheetViews>
  <sheetFormatPr defaultRowHeight="12.75" x14ac:dyDescent="0.2"/>
  <cols>
    <col min="1" max="1" width="20" customWidth="1"/>
    <col min="2" max="2" width="18.5703125" customWidth="1"/>
    <col min="3" max="3" width="19" customWidth="1"/>
    <col min="4" max="4" width="18.42578125" customWidth="1"/>
  </cols>
  <sheetData>
    <row r="2" spans="1:5" ht="15.75" x14ac:dyDescent="0.25">
      <c r="A2" s="124" t="s">
        <v>102</v>
      </c>
      <c r="B2" s="124" t="s">
        <v>103</v>
      </c>
      <c r="C2" s="124" t="s">
        <v>104</v>
      </c>
      <c r="D2" s="124" t="s">
        <v>105</v>
      </c>
      <c r="E2" s="99"/>
    </row>
    <row r="3" spans="1:5" ht="15.75" x14ac:dyDescent="0.25">
      <c r="A3" s="99"/>
      <c r="B3" s="99"/>
      <c r="C3" s="99"/>
      <c r="D3" s="99"/>
      <c r="E3" s="99"/>
    </row>
    <row r="4" spans="1:5" ht="15.75" x14ac:dyDescent="0.25">
      <c r="A4" s="99" t="s">
        <v>106</v>
      </c>
      <c r="B4" s="100">
        <v>15000</v>
      </c>
      <c r="C4" s="100">
        <v>13000</v>
      </c>
      <c r="D4" s="100">
        <v>17000</v>
      </c>
      <c r="E4" s="99"/>
    </row>
    <row r="5" spans="1:5" ht="15.75" x14ac:dyDescent="0.25">
      <c r="A5" s="99"/>
      <c r="B5" s="99"/>
      <c r="C5" s="99"/>
      <c r="D5" s="99"/>
      <c r="E5" s="99"/>
    </row>
    <row r="6" spans="1:5" ht="15.75" x14ac:dyDescent="0.25">
      <c r="A6" s="99" t="s">
        <v>108</v>
      </c>
      <c r="B6" s="101">
        <f>B4*$B$10</f>
        <v>3450</v>
      </c>
      <c r="C6" s="101">
        <f t="shared" ref="C6:D6" si="0">C4*$B$10</f>
        <v>2990</v>
      </c>
      <c r="D6" s="101">
        <f t="shared" si="0"/>
        <v>3910</v>
      </c>
      <c r="E6" s="99"/>
    </row>
    <row r="7" spans="1:5" ht="15.75" x14ac:dyDescent="0.25">
      <c r="A7" s="99"/>
      <c r="E7" s="99"/>
    </row>
    <row r="8" spans="1:5" ht="15.75" x14ac:dyDescent="0.25">
      <c r="A8" s="99" t="s">
        <v>107</v>
      </c>
      <c r="B8" s="101">
        <f>SUM(B4,B6)</f>
        <v>18450</v>
      </c>
      <c r="C8" s="101">
        <f t="shared" ref="C8:D8" si="1">SUM(C4,C6)</f>
        <v>15990</v>
      </c>
      <c r="D8" s="101">
        <f t="shared" si="1"/>
        <v>20910</v>
      </c>
      <c r="E8" s="99"/>
    </row>
    <row r="9" spans="1:5" ht="15.75" x14ac:dyDescent="0.25">
      <c r="A9" s="99"/>
      <c r="B9" s="99"/>
      <c r="C9" s="99"/>
      <c r="D9" s="99"/>
      <c r="E9" s="99"/>
    </row>
    <row r="10" spans="1:5" ht="15.75" x14ac:dyDescent="0.25">
      <c r="A10" s="102" t="s">
        <v>1</v>
      </c>
      <c r="B10" s="103">
        <v>0.23</v>
      </c>
      <c r="C10" s="99"/>
      <c r="D10" s="99"/>
      <c r="E10" s="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7"/>
  <sheetViews>
    <sheetView topLeftCell="A3" zoomScale="140" zoomScaleNormal="140" workbookViewId="0">
      <selection activeCell="I6" sqref="I6:I12"/>
    </sheetView>
  </sheetViews>
  <sheetFormatPr defaultRowHeight="12.75" x14ac:dyDescent="0.2"/>
  <cols>
    <col min="1" max="1" width="6" customWidth="1"/>
    <col min="2" max="2" width="11.5703125" customWidth="1"/>
    <col min="3" max="3" width="10.140625" customWidth="1"/>
    <col min="4" max="4" width="12" customWidth="1"/>
    <col min="5" max="5" width="14.28515625" customWidth="1"/>
    <col min="6" max="6" width="13.85546875" customWidth="1"/>
    <col min="7" max="7" width="11.140625" bestFit="1" customWidth="1"/>
    <col min="8" max="8" width="13.140625" customWidth="1"/>
    <col min="9" max="9" width="16.28515625" customWidth="1"/>
    <col min="10" max="10" width="2.7109375" customWidth="1"/>
    <col min="11" max="11" width="2.28515625" customWidth="1"/>
    <col min="12" max="12" width="4.28515625" bestFit="1" customWidth="1"/>
    <col min="14" max="14" width="6.85546875" customWidth="1"/>
    <col min="15" max="15" width="13" customWidth="1"/>
  </cols>
  <sheetData>
    <row r="1" spans="2:15" ht="18" x14ac:dyDescent="0.25">
      <c r="C1" s="127" t="s">
        <v>71</v>
      </c>
      <c r="D1" s="127"/>
      <c r="E1" s="127"/>
      <c r="F1" s="127"/>
      <c r="G1" s="127"/>
      <c r="H1" s="127"/>
    </row>
    <row r="3" spans="2:15" ht="27" x14ac:dyDescent="0.35">
      <c r="B3" s="126" t="s">
        <v>37</v>
      </c>
      <c r="C3" s="126"/>
      <c r="D3" s="126"/>
      <c r="E3" s="126"/>
      <c r="F3" s="126"/>
      <c r="G3" s="126"/>
      <c r="H3" s="126"/>
      <c r="I3" s="126"/>
      <c r="J3" s="126"/>
    </row>
    <row r="5" spans="2:15" ht="30" x14ac:dyDescent="0.25"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24" t="s">
        <v>44</v>
      </c>
      <c r="I5" s="24" t="s">
        <v>45</v>
      </c>
      <c r="J5" s="23"/>
    </row>
    <row r="6" spans="2:15" ht="15" x14ac:dyDescent="0.25">
      <c r="B6" s="25" t="s">
        <v>46</v>
      </c>
      <c r="C6" s="25" t="s">
        <v>47</v>
      </c>
      <c r="D6" s="26">
        <v>10</v>
      </c>
      <c r="E6" s="27">
        <v>120</v>
      </c>
      <c r="F6" s="28">
        <f>D6*E6</f>
        <v>1200</v>
      </c>
      <c r="G6" s="28">
        <f>F6*$G$15</f>
        <v>300</v>
      </c>
      <c r="H6" s="28">
        <f>F6*$G$17</f>
        <v>132</v>
      </c>
      <c r="I6" s="28">
        <f>F6-G6-H6</f>
        <v>768</v>
      </c>
      <c r="J6" s="23"/>
      <c r="L6" s="41"/>
      <c r="M6" s="41"/>
      <c r="N6" s="41"/>
      <c r="O6" s="41"/>
    </row>
    <row r="7" spans="2:15" ht="15" x14ac:dyDescent="0.25">
      <c r="B7" s="25" t="s">
        <v>46</v>
      </c>
      <c r="C7" s="25" t="s">
        <v>48</v>
      </c>
      <c r="D7" s="26">
        <v>10</v>
      </c>
      <c r="E7" s="27">
        <v>130</v>
      </c>
      <c r="F7" s="28">
        <f t="shared" ref="F7:F12" si="0">D7*E7</f>
        <v>1300</v>
      </c>
      <c r="G7" s="28">
        <f t="shared" ref="G7:G12" si="1">F7*$G$15</f>
        <v>325</v>
      </c>
      <c r="H7" s="28">
        <f>F7*$G$17</f>
        <v>143</v>
      </c>
      <c r="I7" s="28">
        <f t="shared" ref="I7:I12" si="2">F7-G7-H7</f>
        <v>832</v>
      </c>
      <c r="J7" s="23"/>
      <c r="L7" s="41"/>
      <c r="M7" s="41"/>
      <c r="N7" s="41"/>
      <c r="O7" s="41"/>
    </row>
    <row r="8" spans="2:15" ht="15" x14ac:dyDescent="0.25">
      <c r="B8" s="25" t="s">
        <v>46</v>
      </c>
      <c r="C8" s="25" t="s">
        <v>49</v>
      </c>
      <c r="D8" s="26">
        <v>12</v>
      </c>
      <c r="E8" s="27">
        <v>125</v>
      </c>
      <c r="F8" s="28">
        <f t="shared" si="0"/>
        <v>1500</v>
      </c>
      <c r="G8" s="28">
        <f t="shared" si="1"/>
        <v>375</v>
      </c>
      <c r="H8" s="28">
        <f>F8*$G$17</f>
        <v>165</v>
      </c>
      <c r="I8" s="28">
        <f t="shared" si="2"/>
        <v>960</v>
      </c>
      <c r="J8" s="23"/>
      <c r="L8" s="41"/>
      <c r="M8" s="41"/>
      <c r="N8" s="41"/>
      <c r="O8" s="41"/>
    </row>
    <row r="9" spans="2:15" ht="15" x14ac:dyDescent="0.25">
      <c r="B9" s="25" t="s">
        <v>50</v>
      </c>
      <c r="C9" s="25" t="s">
        <v>51</v>
      </c>
      <c r="D9" s="26">
        <v>12.5</v>
      </c>
      <c r="E9" s="27">
        <v>120</v>
      </c>
      <c r="F9" s="28">
        <f t="shared" si="0"/>
        <v>1500</v>
      </c>
      <c r="G9" s="28">
        <f t="shared" si="1"/>
        <v>375</v>
      </c>
      <c r="H9" s="28">
        <f t="shared" ref="H9:H12" si="3">F9*$G$17</f>
        <v>165</v>
      </c>
      <c r="I9" s="28">
        <f t="shared" si="2"/>
        <v>960</v>
      </c>
      <c r="J9" s="23"/>
      <c r="L9" s="41"/>
      <c r="M9" s="41"/>
      <c r="N9" s="41"/>
      <c r="O9" s="41"/>
    </row>
    <row r="10" spans="2:15" ht="15" x14ac:dyDescent="0.25">
      <c r="B10" s="25" t="s">
        <v>52</v>
      </c>
      <c r="C10" s="25" t="s">
        <v>53</v>
      </c>
      <c r="D10" s="26">
        <v>14</v>
      </c>
      <c r="E10" s="27">
        <v>120</v>
      </c>
      <c r="F10" s="28">
        <f t="shared" si="0"/>
        <v>1680</v>
      </c>
      <c r="G10" s="28">
        <f t="shared" si="1"/>
        <v>420</v>
      </c>
      <c r="H10" s="28">
        <f t="shared" si="3"/>
        <v>184.8</v>
      </c>
      <c r="I10" s="28">
        <f t="shared" si="2"/>
        <v>1075.2</v>
      </c>
      <c r="J10" s="23"/>
      <c r="L10" s="41"/>
      <c r="M10" s="41"/>
      <c r="N10" s="41"/>
      <c r="O10" s="41"/>
    </row>
    <row r="11" spans="2:15" ht="15" x14ac:dyDescent="0.25">
      <c r="B11" s="25" t="s">
        <v>54</v>
      </c>
      <c r="C11" s="25" t="s">
        <v>55</v>
      </c>
      <c r="D11" s="26">
        <v>14</v>
      </c>
      <c r="E11" s="27">
        <v>120</v>
      </c>
      <c r="F11" s="28">
        <f t="shared" si="0"/>
        <v>1680</v>
      </c>
      <c r="G11" s="28">
        <f t="shared" si="1"/>
        <v>420</v>
      </c>
      <c r="H11" s="28">
        <f t="shared" si="3"/>
        <v>184.8</v>
      </c>
      <c r="I11" s="28">
        <f t="shared" si="2"/>
        <v>1075.2</v>
      </c>
      <c r="J11" s="23"/>
      <c r="L11" s="41"/>
      <c r="M11" s="41"/>
      <c r="N11" s="41"/>
      <c r="O11" s="41"/>
    </row>
    <row r="12" spans="2:15" ht="15" x14ac:dyDescent="0.25">
      <c r="B12" s="25" t="s">
        <v>54</v>
      </c>
      <c r="C12" s="25" t="s">
        <v>36</v>
      </c>
      <c r="D12" s="26">
        <v>15</v>
      </c>
      <c r="E12" s="27">
        <v>120</v>
      </c>
      <c r="F12" s="28">
        <f t="shared" si="0"/>
        <v>1800</v>
      </c>
      <c r="G12" s="28">
        <f t="shared" si="1"/>
        <v>450</v>
      </c>
      <c r="H12" s="28">
        <f t="shared" si="3"/>
        <v>198</v>
      </c>
      <c r="I12" s="28">
        <f t="shared" si="2"/>
        <v>1152</v>
      </c>
      <c r="J12" s="23"/>
      <c r="L12" s="41"/>
      <c r="M12" s="41"/>
      <c r="N12" s="41"/>
      <c r="O12" s="41"/>
    </row>
    <row r="13" spans="2:15" ht="14.25" x14ac:dyDescent="0.2">
      <c r="B13" s="29"/>
      <c r="C13" s="29"/>
      <c r="D13" s="29"/>
      <c r="E13" s="29"/>
      <c r="F13" s="29"/>
      <c r="G13" s="29"/>
      <c r="H13" s="29"/>
      <c r="I13" s="29"/>
      <c r="J13" s="29"/>
      <c r="L13" s="41"/>
      <c r="M13" s="41"/>
    </row>
    <row r="14" spans="2:15" ht="14.25" x14ac:dyDescent="0.2">
      <c r="B14" s="29"/>
      <c r="C14" s="29"/>
      <c r="D14" s="29"/>
      <c r="E14" s="29"/>
      <c r="F14" s="29"/>
      <c r="G14" s="29"/>
      <c r="H14" s="29"/>
      <c r="I14" s="29"/>
      <c r="J14" s="29"/>
      <c r="L14" s="41"/>
      <c r="M14" s="41"/>
    </row>
    <row r="15" spans="2:15" ht="15.75" x14ac:dyDescent="0.3">
      <c r="B15" s="29"/>
      <c r="C15" s="29"/>
      <c r="D15" s="29"/>
      <c r="E15" s="30" t="s">
        <v>43</v>
      </c>
      <c r="F15" s="31"/>
      <c r="G15" s="66">
        <v>0.25</v>
      </c>
      <c r="H15" s="29"/>
      <c r="I15" s="29"/>
      <c r="J15" s="29"/>
      <c r="L15" s="41"/>
      <c r="M15" s="41"/>
    </row>
    <row r="16" spans="2:15" ht="15.75" x14ac:dyDescent="0.3">
      <c r="B16" s="29"/>
      <c r="C16" s="29"/>
      <c r="D16" s="29"/>
      <c r="E16" s="33"/>
      <c r="F16" s="34"/>
      <c r="G16" s="29"/>
      <c r="H16" s="29"/>
      <c r="I16" s="29"/>
      <c r="J16" s="29"/>
      <c r="L16" s="41"/>
      <c r="M16" s="41"/>
    </row>
    <row r="17" spans="2:13" ht="15.75" x14ac:dyDescent="0.3">
      <c r="B17" s="29"/>
      <c r="C17" s="29"/>
      <c r="D17" s="29"/>
      <c r="E17" s="30" t="s">
        <v>56</v>
      </c>
      <c r="F17" s="31"/>
      <c r="G17" s="32">
        <v>0.11</v>
      </c>
      <c r="H17" s="29"/>
      <c r="I17" s="29"/>
      <c r="J17" s="29"/>
      <c r="L17" s="41"/>
      <c r="M17" s="41"/>
    </row>
  </sheetData>
  <mergeCells count="2">
    <mergeCell ref="B3:J3"/>
    <mergeCell ref="C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3"/>
  <sheetViews>
    <sheetView topLeftCell="A3" zoomScale="130" zoomScaleNormal="130" workbookViewId="0">
      <selection activeCell="C19" sqref="C19:I19"/>
    </sheetView>
  </sheetViews>
  <sheetFormatPr defaultRowHeight="12.75" x14ac:dyDescent="0.2"/>
  <cols>
    <col min="5" max="5" width="11" customWidth="1"/>
    <col min="6" max="6" width="10.5703125" customWidth="1"/>
    <col min="7" max="7" width="17" customWidth="1"/>
    <col min="8" max="8" width="13.140625" customWidth="1"/>
    <col min="9" max="9" width="11.42578125" customWidth="1"/>
    <col min="11" max="11" width="14.7109375" customWidth="1"/>
  </cols>
  <sheetData>
    <row r="1" spans="2:12" ht="18" x14ac:dyDescent="0.25">
      <c r="C1" s="21" t="s">
        <v>13</v>
      </c>
    </row>
    <row r="3" spans="2:12" ht="13.5" thickBot="1" x14ac:dyDescent="0.25"/>
    <row r="4" spans="2:12" ht="38.25" x14ac:dyDescent="0.2">
      <c r="C4" s="42" t="s">
        <v>14</v>
      </c>
      <c r="D4" s="43" t="s">
        <v>15</v>
      </c>
      <c r="E4" s="44" t="s">
        <v>16</v>
      </c>
      <c r="F4" s="43" t="s">
        <v>17</v>
      </c>
      <c r="G4" s="45" t="s">
        <v>18</v>
      </c>
      <c r="H4" s="42" t="s">
        <v>19</v>
      </c>
      <c r="I4" s="46" t="s">
        <v>20</v>
      </c>
    </row>
    <row r="5" spans="2:12" ht="13.5" thickBot="1" x14ac:dyDescent="0.25">
      <c r="C5" s="16"/>
      <c r="D5" s="17"/>
      <c r="E5" s="18"/>
      <c r="F5" s="17"/>
      <c r="G5" s="19">
        <v>0.1</v>
      </c>
      <c r="H5" s="16"/>
      <c r="I5" s="15"/>
    </row>
    <row r="6" spans="2:12" x14ac:dyDescent="0.2">
      <c r="B6" s="3" t="s">
        <v>21</v>
      </c>
      <c r="C6" s="14">
        <v>1</v>
      </c>
      <c r="D6" s="13">
        <v>1.25</v>
      </c>
      <c r="E6" s="22">
        <f>D6-$D$21</f>
        <v>0.75</v>
      </c>
      <c r="F6" s="13">
        <v>21.36</v>
      </c>
      <c r="G6" s="47">
        <f>F6-(F6*$G$5)</f>
        <v>19.224</v>
      </c>
      <c r="H6" s="49">
        <f>AVERAGE(C6,E6,G6)</f>
        <v>6.9913333333333334</v>
      </c>
      <c r="I6" s="49">
        <f>SUM(C6,E6,G6)</f>
        <v>20.974</v>
      </c>
      <c r="K6" s="132" t="s">
        <v>123</v>
      </c>
      <c r="L6" s="132" t="s">
        <v>124</v>
      </c>
    </row>
    <row r="7" spans="2:12" x14ac:dyDescent="0.2">
      <c r="B7" s="4" t="s">
        <v>22</v>
      </c>
      <c r="C7" s="5">
        <v>2</v>
      </c>
      <c r="D7" s="1">
        <v>3.4</v>
      </c>
      <c r="E7" s="22">
        <f t="shared" ref="E7:E16" si="0">D7-$D$21</f>
        <v>2.9</v>
      </c>
      <c r="F7" s="1">
        <v>14.2</v>
      </c>
      <c r="G7" s="47">
        <f t="shared" ref="G7:G17" si="1">F7-(F7*$G$5)</f>
        <v>12.78</v>
      </c>
      <c r="H7" s="49">
        <f t="shared" ref="H7:H17" si="2">AVERAGE(C7,E7,G7)</f>
        <v>5.8933333333333335</v>
      </c>
      <c r="I7" s="49">
        <f t="shared" ref="I7:I17" si="3">SUM(C7,E7,G7)</f>
        <v>17.68</v>
      </c>
      <c r="K7" s="48"/>
    </row>
    <row r="8" spans="2:12" x14ac:dyDescent="0.2">
      <c r="B8" s="4" t="s">
        <v>23</v>
      </c>
      <c r="C8" s="5">
        <v>3.25</v>
      </c>
      <c r="D8" s="1">
        <v>8.5</v>
      </c>
      <c r="E8" s="22">
        <f t="shared" si="0"/>
        <v>8</v>
      </c>
      <c r="F8" s="1">
        <v>10.3</v>
      </c>
      <c r="G8" s="47">
        <f t="shared" si="1"/>
        <v>9.2700000000000014</v>
      </c>
      <c r="H8" s="49">
        <f t="shared" si="2"/>
        <v>6.8400000000000007</v>
      </c>
      <c r="I8" s="49">
        <f t="shared" si="3"/>
        <v>20.520000000000003</v>
      </c>
      <c r="K8" s="48"/>
    </row>
    <row r="9" spans="2:12" x14ac:dyDescent="0.2">
      <c r="B9" s="4" t="s">
        <v>24</v>
      </c>
      <c r="C9" s="5">
        <v>5</v>
      </c>
      <c r="D9" s="1">
        <v>1.3</v>
      </c>
      <c r="E9" s="22">
        <f t="shared" si="0"/>
        <v>0.8</v>
      </c>
      <c r="F9" s="1">
        <v>13.4</v>
      </c>
      <c r="G9" s="47">
        <f t="shared" si="1"/>
        <v>12.06</v>
      </c>
      <c r="H9" s="49">
        <f t="shared" si="2"/>
        <v>5.9533333333333331</v>
      </c>
      <c r="I9" s="49">
        <f t="shared" si="3"/>
        <v>17.86</v>
      </c>
      <c r="K9" s="48"/>
    </row>
    <row r="10" spans="2:12" x14ac:dyDescent="0.2">
      <c r="B10" s="4" t="s">
        <v>25</v>
      </c>
      <c r="C10" s="5">
        <v>4</v>
      </c>
      <c r="D10" s="1">
        <v>4.5999999999999996</v>
      </c>
      <c r="E10" s="22">
        <f t="shared" si="0"/>
        <v>4.0999999999999996</v>
      </c>
      <c r="F10" s="1">
        <v>11</v>
      </c>
      <c r="G10" s="47">
        <f t="shared" si="1"/>
        <v>9.9</v>
      </c>
      <c r="H10" s="49">
        <f t="shared" si="2"/>
        <v>6</v>
      </c>
      <c r="I10" s="49">
        <f t="shared" si="3"/>
        <v>18</v>
      </c>
      <c r="K10" s="48"/>
    </row>
    <row r="11" spans="2:12" x14ac:dyDescent="0.2">
      <c r="B11" s="4" t="s">
        <v>26</v>
      </c>
      <c r="C11" s="5">
        <v>8</v>
      </c>
      <c r="D11" s="1">
        <v>3.4</v>
      </c>
      <c r="E11" s="22">
        <f t="shared" si="0"/>
        <v>2.9</v>
      </c>
      <c r="F11" s="1">
        <v>15.6</v>
      </c>
      <c r="G11" s="47">
        <f t="shared" si="1"/>
        <v>14.04</v>
      </c>
      <c r="H11" s="49">
        <f t="shared" si="2"/>
        <v>8.3133333333333326</v>
      </c>
      <c r="I11" s="49">
        <f t="shared" si="3"/>
        <v>24.939999999999998</v>
      </c>
      <c r="K11" s="48"/>
    </row>
    <row r="12" spans="2:12" x14ac:dyDescent="0.2">
      <c r="B12" s="4" t="s">
        <v>27</v>
      </c>
      <c r="C12" s="5">
        <v>1.23</v>
      </c>
      <c r="D12" s="1">
        <v>0.8</v>
      </c>
      <c r="E12" s="22">
        <f t="shared" si="0"/>
        <v>0.30000000000000004</v>
      </c>
      <c r="F12" s="1">
        <v>2.2999999999999998</v>
      </c>
      <c r="G12" s="47">
        <f t="shared" si="1"/>
        <v>2.0699999999999998</v>
      </c>
      <c r="H12" s="49">
        <f t="shared" si="2"/>
        <v>1.2</v>
      </c>
      <c r="I12" s="49">
        <f t="shared" si="3"/>
        <v>3.5999999999999996</v>
      </c>
      <c r="K12" s="48"/>
    </row>
    <row r="13" spans="2:12" x14ac:dyDescent="0.2">
      <c r="B13" s="4" t="s">
        <v>28</v>
      </c>
      <c r="C13" s="5">
        <v>3</v>
      </c>
      <c r="D13" s="1">
        <v>8.9</v>
      </c>
      <c r="E13" s="22">
        <f t="shared" si="0"/>
        <v>8.4</v>
      </c>
      <c r="F13" s="1">
        <v>17.3</v>
      </c>
      <c r="G13" s="47">
        <f t="shared" si="1"/>
        <v>15.57</v>
      </c>
      <c r="H13" s="49">
        <f t="shared" si="2"/>
        <v>8.99</v>
      </c>
      <c r="I13" s="49">
        <f t="shared" si="3"/>
        <v>26.97</v>
      </c>
      <c r="K13" s="48"/>
    </row>
    <row r="14" spans="2:12" x14ac:dyDescent="0.2">
      <c r="B14" s="4" t="s">
        <v>29</v>
      </c>
      <c r="C14" s="5">
        <v>6</v>
      </c>
      <c r="D14" s="1">
        <v>2.6</v>
      </c>
      <c r="E14" s="22">
        <f t="shared" si="0"/>
        <v>2.1</v>
      </c>
      <c r="F14" s="1">
        <v>20</v>
      </c>
      <c r="G14" s="47">
        <f t="shared" si="1"/>
        <v>18</v>
      </c>
      <c r="H14" s="49">
        <f t="shared" si="2"/>
        <v>8.7000000000000011</v>
      </c>
      <c r="I14" s="49">
        <f t="shared" si="3"/>
        <v>26.1</v>
      </c>
      <c r="K14" s="48"/>
    </row>
    <row r="15" spans="2:12" x14ac:dyDescent="0.2">
      <c r="B15" s="4" t="s">
        <v>30</v>
      </c>
      <c r="C15" s="5">
        <v>7.45</v>
      </c>
      <c r="D15" s="1">
        <v>1.4</v>
      </c>
      <c r="E15" s="22">
        <f t="shared" si="0"/>
        <v>0.89999999999999991</v>
      </c>
      <c r="F15" s="1">
        <v>21</v>
      </c>
      <c r="G15" s="47">
        <f t="shared" si="1"/>
        <v>18.899999999999999</v>
      </c>
      <c r="H15" s="49">
        <f t="shared" si="2"/>
        <v>9.0833333333333339</v>
      </c>
      <c r="I15" s="49">
        <f t="shared" si="3"/>
        <v>27.25</v>
      </c>
      <c r="K15" s="48"/>
    </row>
    <row r="16" spans="2:12" x14ac:dyDescent="0.2">
      <c r="B16" s="4" t="s">
        <v>31</v>
      </c>
      <c r="C16" s="5">
        <v>9</v>
      </c>
      <c r="D16" s="1">
        <v>2.8</v>
      </c>
      <c r="E16" s="22">
        <f t="shared" si="0"/>
        <v>2.2999999999999998</v>
      </c>
      <c r="F16" s="1">
        <v>15.4</v>
      </c>
      <c r="G16" s="47">
        <f t="shared" si="1"/>
        <v>13.86</v>
      </c>
      <c r="H16" s="49">
        <f t="shared" si="2"/>
        <v>8.3866666666666667</v>
      </c>
      <c r="I16" s="49">
        <f t="shared" si="3"/>
        <v>25.16</v>
      </c>
      <c r="K16" s="48"/>
    </row>
    <row r="17" spans="2:11" ht="13.5" thickBot="1" x14ac:dyDescent="0.25">
      <c r="B17" s="7" t="s">
        <v>32</v>
      </c>
      <c r="C17" s="6">
        <v>2.2999999999999998</v>
      </c>
      <c r="D17" s="2">
        <v>2</v>
      </c>
      <c r="E17" s="22">
        <f>D17-$D$21</f>
        <v>1.5</v>
      </c>
      <c r="F17" s="2">
        <v>2.7</v>
      </c>
      <c r="G17" s="47">
        <f t="shared" si="1"/>
        <v>2.4300000000000002</v>
      </c>
      <c r="H17" s="49">
        <f t="shared" si="2"/>
        <v>2.0766666666666667</v>
      </c>
      <c r="I17" s="49">
        <f t="shared" si="3"/>
        <v>6.23</v>
      </c>
      <c r="K17" s="48"/>
    </row>
    <row r="18" spans="2:11" ht="13.5" thickBot="1" x14ac:dyDescent="0.25">
      <c r="B18" s="12"/>
      <c r="C18" s="12"/>
      <c r="D18" s="12"/>
      <c r="E18" s="12"/>
      <c r="F18" s="12"/>
      <c r="G18" s="12"/>
      <c r="H18" s="12"/>
      <c r="I18" s="12"/>
    </row>
    <row r="19" spans="2:11" ht="36.75" thickBot="1" x14ac:dyDescent="0.3">
      <c r="B19" s="20" t="s">
        <v>33</v>
      </c>
      <c r="C19" s="50">
        <f>SUM(C6:C17)</f>
        <v>52.230000000000004</v>
      </c>
      <c r="D19" s="50">
        <f t="shared" ref="D19:I19" si="4">SUM(D6:D17)</f>
        <v>40.949999999999996</v>
      </c>
      <c r="E19" s="50">
        <f t="shared" si="4"/>
        <v>34.949999999999996</v>
      </c>
      <c r="F19" s="50">
        <f t="shared" si="4"/>
        <v>164.55999999999997</v>
      </c>
      <c r="G19" s="50">
        <f t="shared" si="4"/>
        <v>148.10399999999998</v>
      </c>
      <c r="H19" s="50">
        <f t="shared" si="4"/>
        <v>78.428000000000011</v>
      </c>
      <c r="I19" s="50">
        <f t="shared" si="4"/>
        <v>235.28399999999996</v>
      </c>
    </row>
    <row r="20" spans="2:11" ht="13.5" thickBot="1" x14ac:dyDescent="0.25"/>
    <row r="21" spans="2:11" ht="13.5" thickBot="1" x14ac:dyDescent="0.25">
      <c r="B21" s="8" t="s">
        <v>34</v>
      </c>
      <c r="C21" s="9"/>
      <c r="D21" s="10">
        <v>0.5</v>
      </c>
    </row>
    <row r="22" spans="2:11" x14ac:dyDescent="0.2">
      <c r="D22" s="11"/>
    </row>
    <row r="23" spans="2:11" x14ac:dyDescent="0.2">
      <c r="B23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zoomScale="120" zoomScaleNormal="120" workbookViewId="0">
      <selection activeCell="H15" sqref="H15"/>
    </sheetView>
  </sheetViews>
  <sheetFormatPr defaultRowHeight="12.75" x14ac:dyDescent="0.2"/>
  <cols>
    <col min="1" max="1" width="18.42578125" customWidth="1"/>
    <col min="2" max="2" width="22.5703125" customWidth="1"/>
    <col min="3" max="4" width="19.7109375" customWidth="1"/>
    <col min="5" max="5" width="17.140625" customWidth="1"/>
    <col min="6" max="6" width="24.140625" customWidth="1"/>
  </cols>
  <sheetData>
    <row r="1" spans="1:10" x14ac:dyDescent="0.2">
      <c r="A1" s="52" t="s">
        <v>76</v>
      </c>
      <c r="B1" s="52" t="s">
        <v>77</v>
      </c>
      <c r="C1" s="52" t="s">
        <v>78</v>
      </c>
      <c r="D1" s="52" t="s">
        <v>79</v>
      </c>
      <c r="E1" s="52" t="s">
        <v>80</v>
      </c>
      <c r="F1" s="52" t="s">
        <v>81</v>
      </c>
    </row>
    <row r="2" spans="1:10" ht="15" x14ac:dyDescent="0.25">
      <c r="A2" s="53">
        <v>38859</v>
      </c>
      <c r="B2" s="54">
        <v>360</v>
      </c>
      <c r="C2" s="55">
        <f>B2/$B$8</f>
        <v>0.9</v>
      </c>
      <c r="D2" s="56">
        <f>B2*$B$10</f>
        <v>5040</v>
      </c>
      <c r="E2" s="57">
        <f>D2*$B$12</f>
        <v>1159.2</v>
      </c>
      <c r="F2" s="58">
        <f>D2+E2</f>
        <v>6199.2</v>
      </c>
      <c r="H2" s="133" t="s">
        <v>125</v>
      </c>
      <c r="I2" s="133"/>
      <c r="J2" s="133"/>
    </row>
    <row r="3" spans="1:10" ht="15" x14ac:dyDescent="0.25">
      <c r="A3" s="53">
        <v>38860</v>
      </c>
      <c r="B3" s="54">
        <v>250</v>
      </c>
      <c r="C3" s="55">
        <f t="shared" ref="C3:C6" si="0">B3/$B$8</f>
        <v>0.625</v>
      </c>
      <c r="D3" s="56">
        <f t="shared" ref="D3:D6" si="1">B3*$B$10</f>
        <v>3500</v>
      </c>
      <c r="E3" s="57">
        <f t="shared" ref="E3:E6" si="2">D3*$B$12</f>
        <v>805</v>
      </c>
      <c r="F3" s="58">
        <f t="shared" ref="F3:F6" si="3">D3+E3</f>
        <v>4305</v>
      </c>
    </row>
    <row r="4" spans="1:10" ht="15" x14ac:dyDescent="0.25">
      <c r="A4" s="53">
        <v>38861</v>
      </c>
      <c r="B4" s="54">
        <v>210</v>
      </c>
      <c r="C4" s="55">
        <f t="shared" si="0"/>
        <v>0.52500000000000002</v>
      </c>
      <c r="D4" s="56">
        <f t="shared" si="1"/>
        <v>2940</v>
      </c>
      <c r="E4" s="57">
        <f t="shared" si="2"/>
        <v>676.2</v>
      </c>
      <c r="F4" s="58">
        <f t="shared" si="3"/>
        <v>3616.2</v>
      </c>
    </row>
    <row r="5" spans="1:10" ht="15" x14ac:dyDescent="0.25">
      <c r="A5" s="53">
        <v>38862</v>
      </c>
      <c r="B5" s="54">
        <v>240</v>
      </c>
      <c r="C5" s="55">
        <f t="shared" si="0"/>
        <v>0.6</v>
      </c>
      <c r="D5" s="56">
        <f t="shared" si="1"/>
        <v>3360</v>
      </c>
      <c r="E5" s="57">
        <f t="shared" si="2"/>
        <v>772.80000000000007</v>
      </c>
      <c r="F5" s="58">
        <f t="shared" si="3"/>
        <v>4132.8</v>
      </c>
    </row>
    <row r="6" spans="1:10" ht="15" x14ac:dyDescent="0.25">
      <c r="A6" s="53">
        <v>38863</v>
      </c>
      <c r="B6" s="54">
        <v>330</v>
      </c>
      <c r="C6" s="55">
        <f t="shared" si="0"/>
        <v>0.82499999999999996</v>
      </c>
      <c r="D6" s="56">
        <f t="shared" si="1"/>
        <v>4620</v>
      </c>
      <c r="E6" s="57">
        <f t="shared" si="2"/>
        <v>1062.6000000000001</v>
      </c>
      <c r="F6" s="58">
        <f t="shared" si="3"/>
        <v>5682.6</v>
      </c>
    </row>
    <row r="8" spans="1:10" ht="15" x14ac:dyDescent="0.25">
      <c r="A8" s="59" t="s">
        <v>82</v>
      </c>
      <c r="B8" s="60">
        <v>400</v>
      </c>
      <c r="C8" s="61" t="s">
        <v>83</v>
      </c>
      <c r="D8" s="51"/>
      <c r="E8" s="51"/>
      <c r="F8" s="55" t="s">
        <v>126</v>
      </c>
    </row>
    <row r="9" spans="1:10" ht="15" x14ac:dyDescent="0.25">
      <c r="A9" s="51"/>
      <c r="B9" s="51"/>
      <c r="C9" s="51"/>
      <c r="D9" s="51"/>
      <c r="E9" s="51"/>
      <c r="F9" s="55">
        <f>AVERAGE(C2:C6)</f>
        <v>0.69499999999999995</v>
      </c>
    </row>
    <row r="10" spans="1:10" ht="15" x14ac:dyDescent="0.25">
      <c r="A10" s="62" t="s">
        <v>84</v>
      </c>
      <c r="B10" s="125">
        <v>14</v>
      </c>
      <c r="C10" s="61" t="s">
        <v>85</v>
      </c>
      <c r="D10" s="51"/>
      <c r="E10" s="51"/>
      <c r="F10" s="51"/>
    </row>
    <row r="11" spans="1:10" ht="15" x14ac:dyDescent="0.25">
      <c r="A11" s="51"/>
      <c r="B11" s="51"/>
      <c r="C11" s="51"/>
      <c r="D11" s="51"/>
      <c r="E11" s="51"/>
      <c r="F11" s="128" t="s">
        <v>86</v>
      </c>
    </row>
    <row r="12" spans="1:10" ht="15" x14ac:dyDescent="0.25">
      <c r="A12" s="52" t="s">
        <v>1</v>
      </c>
      <c r="B12" s="63">
        <v>0.23</v>
      </c>
      <c r="C12" s="61" t="s">
        <v>87</v>
      </c>
      <c r="D12" s="51"/>
      <c r="E12" s="51"/>
      <c r="F12" s="128"/>
      <c r="H12" s="133" t="s">
        <v>128</v>
      </c>
      <c r="I12" s="133"/>
    </row>
    <row r="13" spans="1:10" ht="15" x14ac:dyDescent="0.25">
      <c r="A13" s="51"/>
      <c r="B13" s="51"/>
      <c r="C13" s="51"/>
      <c r="D13" s="51"/>
      <c r="E13" s="51"/>
      <c r="F13" s="54">
        <f>MAX(B2:B6)</f>
        <v>360</v>
      </c>
    </row>
    <row r="14" spans="1:10" ht="15" x14ac:dyDescent="0.25">
      <c r="A14" s="64" t="s">
        <v>88</v>
      </c>
      <c r="B14" s="65"/>
      <c r="C14" s="65"/>
      <c r="D14" s="51"/>
      <c r="E14" s="51"/>
      <c r="F14" s="51"/>
    </row>
    <row r="15" spans="1:10" x14ac:dyDescent="0.2">
      <c r="F15" s="134" t="s">
        <v>127</v>
      </c>
    </row>
    <row r="16" spans="1:10" x14ac:dyDescent="0.2">
      <c r="F16" s="128"/>
      <c r="H16" s="133" t="s">
        <v>129</v>
      </c>
      <c r="I16" s="133"/>
    </row>
    <row r="17" spans="6:6" ht="15" x14ac:dyDescent="0.25">
      <c r="F17" s="54">
        <f>MIN(B2:B6)</f>
        <v>210</v>
      </c>
    </row>
  </sheetData>
  <mergeCells count="2">
    <mergeCell ref="F11:F12"/>
    <mergeCell ref="F15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I15"/>
  <sheetViews>
    <sheetView workbookViewId="0">
      <selection activeCell="I13" sqref="I13"/>
    </sheetView>
  </sheetViews>
  <sheetFormatPr defaultColWidth="22.7109375" defaultRowHeight="15" x14ac:dyDescent="0.2"/>
  <cols>
    <col min="1" max="1" width="3.7109375" style="73" customWidth="1"/>
    <col min="2" max="2" width="15.5703125" style="73" bestFit="1" customWidth="1"/>
    <col min="3" max="3" width="22.7109375" style="73"/>
    <col min="4" max="4" width="17.85546875" style="73" customWidth="1"/>
    <col min="5" max="5" width="12.140625" style="73" customWidth="1"/>
    <col min="6" max="6" width="17.140625" style="73" customWidth="1"/>
    <col min="7" max="7" width="20.5703125" style="73" customWidth="1"/>
    <col min="8" max="16384" width="22.7109375" style="73"/>
  </cols>
  <sheetData>
    <row r="3" spans="2:9" ht="15.75" x14ac:dyDescent="0.25">
      <c r="B3" s="74"/>
      <c r="C3" s="74"/>
      <c r="D3" s="129" t="s">
        <v>122</v>
      </c>
      <c r="E3" s="129"/>
      <c r="F3" s="129"/>
      <c r="G3" s="74"/>
    </row>
    <row r="4" spans="2:9" ht="15.75" x14ac:dyDescent="0.25">
      <c r="B4" s="75" t="s">
        <v>3</v>
      </c>
      <c r="C4" s="75" t="s">
        <v>4</v>
      </c>
      <c r="D4" s="75" t="s">
        <v>5</v>
      </c>
      <c r="E4" s="75" t="s">
        <v>6</v>
      </c>
      <c r="F4" s="75" t="s">
        <v>7</v>
      </c>
      <c r="G4" s="75" t="s">
        <v>8</v>
      </c>
    </row>
    <row r="5" spans="2:9" x14ac:dyDescent="0.2">
      <c r="B5" s="76" t="s">
        <v>9</v>
      </c>
      <c r="C5" s="77">
        <v>1200</v>
      </c>
      <c r="D5" s="78">
        <f>C5*$C$13</f>
        <v>60</v>
      </c>
      <c r="E5" s="78">
        <f>C5*$C$14</f>
        <v>24</v>
      </c>
      <c r="F5" s="78">
        <f>C5*$C$15</f>
        <v>12</v>
      </c>
      <c r="G5" s="78" cm="1">
        <f t="array" ref="G5:I5">C5-D5:F5</f>
        <v>1140</v>
      </c>
      <c r="H5" s="73">
        <v>1176</v>
      </c>
      <c r="I5" s="73">
        <v>1188</v>
      </c>
    </row>
    <row r="6" spans="2:9" x14ac:dyDescent="0.2">
      <c r="B6" s="76" t="s">
        <v>10</v>
      </c>
      <c r="C6" s="77">
        <v>560</v>
      </c>
      <c r="D6" s="78">
        <f t="shared" ref="D6:D11" si="0">C6*$C$13</f>
        <v>28</v>
      </c>
      <c r="E6" s="78">
        <f t="shared" ref="E6:E11" si="1">C6*$C$14</f>
        <v>11.200000000000001</v>
      </c>
      <c r="F6" s="78">
        <f t="shared" ref="F6:F11" si="2">C6*$C$15</f>
        <v>5.6000000000000005</v>
      </c>
      <c r="G6" s="78" cm="1">
        <f t="array" ref="G6:I6">C6-D6:F6</f>
        <v>532</v>
      </c>
      <c r="H6" s="73">
        <v>548.79999999999995</v>
      </c>
      <c r="I6" s="73">
        <v>554.4</v>
      </c>
    </row>
    <row r="7" spans="2:9" x14ac:dyDescent="0.2">
      <c r="B7" s="76" t="s">
        <v>72</v>
      </c>
      <c r="C7" s="77">
        <v>975</v>
      </c>
      <c r="D7" s="78">
        <f t="shared" si="0"/>
        <v>48.75</v>
      </c>
      <c r="E7" s="78">
        <f t="shared" si="1"/>
        <v>19.5</v>
      </c>
      <c r="F7" s="78">
        <f t="shared" si="2"/>
        <v>9.75</v>
      </c>
      <c r="G7" s="78" cm="1">
        <f t="array" ref="G7:I7">C7-D7:F7</f>
        <v>926.25</v>
      </c>
      <c r="H7" s="73">
        <v>955.5</v>
      </c>
      <c r="I7" s="73">
        <v>965.25</v>
      </c>
    </row>
    <row r="8" spans="2:9" x14ac:dyDescent="0.2">
      <c r="B8" s="76" t="s">
        <v>73</v>
      </c>
      <c r="C8" s="77">
        <v>1100</v>
      </c>
      <c r="D8" s="78">
        <f t="shared" si="0"/>
        <v>55</v>
      </c>
      <c r="E8" s="78">
        <f t="shared" si="1"/>
        <v>22</v>
      </c>
      <c r="F8" s="78">
        <f t="shared" si="2"/>
        <v>11</v>
      </c>
      <c r="G8" s="78" cm="1">
        <f t="array" ref="G8:I8">C8-D8:F8</f>
        <v>1045</v>
      </c>
      <c r="H8" s="73">
        <v>1078</v>
      </c>
      <c r="I8" s="73">
        <v>1089</v>
      </c>
    </row>
    <row r="9" spans="2:9" x14ac:dyDescent="0.2">
      <c r="B9" s="76" t="s">
        <v>11</v>
      </c>
      <c r="C9" s="77">
        <v>600</v>
      </c>
      <c r="D9" s="78">
        <f t="shared" si="0"/>
        <v>30</v>
      </c>
      <c r="E9" s="78">
        <f t="shared" si="1"/>
        <v>12</v>
      </c>
      <c r="F9" s="78">
        <f t="shared" si="2"/>
        <v>6</v>
      </c>
      <c r="G9" s="78" cm="1">
        <f t="array" ref="G9:I9">C9-D9:F9</f>
        <v>570</v>
      </c>
      <c r="H9" s="73">
        <v>588</v>
      </c>
      <c r="I9" s="73">
        <v>594</v>
      </c>
    </row>
    <row r="10" spans="2:9" x14ac:dyDescent="0.2">
      <c r="B10" s="76" t="s">
        <v>12</v>
      </c>
      <c r="C10" s="77">
        <v>840</v>
      </c>
      <c r="D10" s="78">
        <f t="shared" si="0"/>
        <v>42</v>
      </c>
      <c r="E10" s="78">
        <f t="shared" si="1"/>
        <v>16.8</v>
      </c>
      <c r="F10" s="78">
        <f t="shared" si="2"/>
        <v>8.4</v>
      </c>
      <c r="G10" s="78" cm="1">
        <f t="array" ref="G10:I10">C10-D10:F10</f>
        <v>798</v>
      </c>
      <c r="H10" s="73">
        <v>823.2</v>
      </c>
      <c r="I10" s="73">
        <v>831.6</v>
      </c>
    </row>
    <row r="11" spans="2:9" x14ac:dyDescent="0.2">
      <c r="B11" s="76" t="s">
        <v>0</v>
      </c>
      <c r="C11" s="77">
        <v>730</v>
      </c>
      <c r="D11" s="78">
        <f t="shared" si="0"/>
        <v>36.5</v>
      </c>
      <c r="E11" s="78">
        <f t="shared" si="1"/>
        <v>14.6</v>
      </c>
      <c r="F11" s="78">
        <f t="shared" si="2"/>
        <v>7.3</v>
      </c>
      <c r="G11" s="78" cm="1">
        <f t="array" ref="G11:I11">C11-D11:F11</f>
        <v>693.5</v>
      </c>
      <c r="H11" s="73">
        <v>715.4</v>
      </c>
      <c r="I11" s="73">
        <v>722.7</v>
      </c>
    </row>
    <row r="13" spans="2:9" ht="15.75" x14ac:dyDescent="0.25">
      <c r="B13" s="79" t="s">
        <v>5</v>
      </c>
      <c r="C13" s="80">
        <v>0.05</v>
      </c>
      <c r="D13" s="74"/>
      <c r="E13" s="74"/>
      <c r="F13" s="74"/>
      <c r="G13" s="74"/>
    </row>
    <row r="14" spans="2:9" ht="15.75" x14ac:dyDescent="0.25">
      <c r="B14" s="79" t="s">
        <v>6</v>
      </c>
      <c r="C14" s="80">
        <v>0.02</v>
      </c>
      <c r="D14" s="74"/>
      <c r="E14" s="74"/>
      <c r="F14" s="74"/>
      <c r="G14" s="74"/>
    </row>
    <row r="15" spans="2:9" ht="15.75" x14ac:dyDescent="0.25">
      <c r="B15" s="79" t="s">
        <v>7</v>
      </c>
      <c r="C15" s="80">
        <v>0.01</v>
      </c>
      <c r="D15" s="74"/>
      <c r="E15" s="74"/>
      <c r="F15" s="74"/>
      <c r="G15" s="74"/>
    </row>
  </sheetData>
  <mergeCells count="1">
    <mergeCell ref="D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D5" sqref="D5:D13"/>
    </sheetView>
  </sheetViews>
  <sheetFormatPr defaultRowHeight="12.75" x14ac:dyDescent="0.2"/>
  <cols>
    <col min="1" max="2" width="19.85546875" customWidth="1"/>
    <col min="3" max="3" width="15.140625" customWidth="1"/>
    <col min="4" max="4" width="19.42578125" customWidth="1"/>
    <col min="5" max="5" width="2.7109375" customWidth="1"/>
    <col min="6" max="6" width="30.5703125" customWidth="1"/>
    <col min="7" max="7" width="14.85546875" customWidth="1"/>
  </cols>
  <sheetData>
    <row r="1" spans="1:7" ht="16.5" x14ac:dyDescent="0.25">
      <c r="A1" s="130" t="s">
        <v>57</v>
      </c>
      <c r="B1" s="130"/>
      <c r="C1" s="130"/>
      <c r="D1" s="130"/>
      <c r="E1" s="35"/>
      <c r="F1" s="35"/>
      <c r="G1" s="35"/>
    </row>
    <row r="2" spans="1:7" ht="16.5" x14ac:dyDescent="0.25">
      <c r="A2" s="131" t="s">
        <v>58</v>
      </c>
      <c r="B2" s="131"/>
      <c r="C2" s="131"/>
      <c r="D2" s="131"/>
      <c r="E2" s="35"/>
      <c r="F2" s="35"/>
      <c r="G2" s="35"/>
    </row>
    <row r="4" spans="1:7" ht="18.75" x14ac:dyDescent="0.3">
      <c r="A4" s="69" t="s">
        <v>39</v>
      </c>
      <c r="B4" s="69" t="s">
        <v>59</v>
      </c>
      <c r="C4" s="69" t="s">
        <v>60</v>
      </c>
      <c r="D4" s="69" t="s">
        <v>61</v>
      </c>
      <c r="E4" s="38"/>
      <c r="F4" s="37" t="s">
        <v>62</v>
      </c>
      <c r="G4" s="39">
        <v>0.05</v>
      </c>
    </row>
    <row r="5" spans="1:7" ht="18.75" x14ac:dyDescent="0.3">
      <c r="A5" s="70" t="s">
        <v>63</v>
      </c>
      <c r="B5" s="68">
        <v>1200</v>
      </c>
      <c r="C5" s="68">
        <f>B5*$G$4</f>
        <v>60</v>
      </c>
      <c r="D5" s="68">
        <f>B5+C5</f>
        <v>1260</v>
      </c>
      <c r="E5" s="35"/>
      <c r="F5" s="35"/>
      <c r="G5" s="35"/>
    </row>
    <row r="6" spans="1:7" ht="18.75" x14ac:dyDescent="0.3">
      <c r="A6" s="70" t="s">
        <v>64</v>
      </c>
      <c r="B6" s="68">
        <v>1120</v>
      </c>
      <c r="C6" s="68">
        <f t="shared" ref="C6:C12" si="0">B6*$G$4</f>
        <v>56</v>
      </c>
      <c r="D6" s="68">
        <f t="shared" ref="D6:D13" si="1">B6+C6</f>
        <v>1176</v>
      </c>
      <c r="E6" s="35"/>
      <c r="F6" s="35"/>
      <c r="G6" s="40"/>
    </row>
    <row r="7" spans="1:7" ht="18.75" x14ac:dyDescent="0.3">
      <c r="A7" s="70" t="s">
        <v>65</v>
      </c>
      <c r="B7" s="68">
        <v>1450</v>
      </c>
      <c r="C7" s="68">
        <f t="shared" si="0"/>
        <v>72.5</v>
      </c>
      <c r="D7" s="68">
        <f t="shared" si="1"/>
        <v>1522.5</v>
      </c>
      <c r="E7" s="35"/>
      <c r="F7" s="35"/>
      <c r="G7" s="36"/>
    </row>
    <row r="8" spans="1:7" ht="18.75" x14ac:dyDescent="0.3">
      <c r="A8" s="70" t="s">
        <v>66</v>
      </c>
      <c r="B8" s="68">
        <v>1500</v>
      </c>
      <c r="C8" s="68">
        <f t="shared" si="0"/>
        <v>75</v>
      </c>
      <c r="D8" s="68">
        <f t="shared" si="1"/>
        <v>1575</v>
      </c>
      <c r="E8" s="35"/>
      <c r="F8" s="35"/>
      <c r="G8" s="36"/>
    </row>
    <row r="9" spans="1:7" ht="18.75" x14ac:dyDescent="0.3">
      <c r="A9" s="70" t="s">
        <v>67</v>
      </c>
      <c r="B9" s="68">
        <v>1320</v>
      </c>
      <c r="C9" s="68">
        <f t="shared" si="0"/>
        <v>66</v>
      </c>
      <c r="D9" s="68">
        <f t="shared" si="1"/>
        <v>1386</v>
      </c>
      <c r="E9" s="35"/>
      <c r="F9" s="35"/>
      <c r="G9" s="35"/>
    </row>
    <row r="10" spans="1:7" ht="18.75" x14ac:dyDescent="0.3">
      <c r="A10" s="70" t="s">
        <v>68</v>
      </c>
      <c r="B10" s="68">
        <v>1750</v>
      </c>
      <c r="C10" s="68">
        <f t="shared" si="0"/>
        <v>87.5</v>
      </c>
      <c r="D10" s="68">
        <f t="shared" si="1"/>
        <v>1837.5</v>
      </c>
      <c r="E10" s="35"/>
      <c r="F10" s="35"/>
      <c r="G10" s="35"/>
    </row>
    <row r="11" spans="1:7" ht="18.75" x14ac:dyDescent="0.3">
      <c r="A11" s="70" t="s">
        <v>74</v>
      </c>
      <c r="B11" s="68">
        <v>1510</v>
      </c>
      <c r="C11" s="68">
        <f t="shared" si="0"/>
        <v>75.5</v>
      </c>
      <c r="D11" s="68">
        <f t="shared" si="1"/>
        <v>1585.5</v>
      </c>
      <c r="E11" s="35"/>
      <c r="F11" s="35"/>
      <c r="G11" s="35"/>
    </row>
    <row r="12" spans="1:7" ht="18.75" x14ac:dyDescent="0.3">
      <c r="A12" s="70" t="s">
        <v>75</v>
      </c>
      <c r="B12" s="68">
        <v>1250</v>
      </c>
      <c r="C12" s="68">
        <f t="shared" si="0"/>
        <v>62.5</v>
      </c>
      <c r="D12" s="68">
        <f t="shared" si="1"/>
        <v>1312.5</v>
      </c>
      <c r="E12" s="35"/>
      <c r="F12" s="35"/>
      <c r="G12" s="35"/>
    </row>
    <row r="13" spans="1:7" ht="18.75" x14ac:dyDescent="0.3">
      <c r="A13" s="70" t="s">
        <v>69</v>
      </c>
      <c r="B13" s="68">
        <v>1800</v>
      </c>
      <c r="C13" s="68">
        <f>B13*$G$4</f>
        <v>90</v>
      </c>
      <c r="D13" s="68">
        <f t="shared" si="1"/>
        <v>1890</v>
      </c>
      <c r="E13" s="35"/>
      <c r="F13" s="35"/>
      <c r="G13" s="35"/>
    </row>
    <row r="14" spans="1:7" ht="18.75" x14ac:dyDescent="0.3">
      <c r="A14" s="71" t="s">
        <v>2</v>
      </c>
      <c r="B14" s="72"/>
      <c r="C14" s="68"/>
      <c r="D14" s="72"/>
      <c r="E14" s="35"/>
      <c r="F14" s="35"/>
      <c r="G14" s="35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tabSelected="1" zoomScale="110" zoomScaleNormal="110" workbookViewId="0">
      <selection activeCell="G5" sqref="G5:G11"/>
    </sheetView>
  </sheetViews>
  <sheetFormatPr defaultRowHeight="12.75" x14ac:dyDescent="0.2"/>
  <cols>
    <col min="1" max="1" width="23.28515625" customWidth="1"/>
    <col min="2" max="2" width="15.5703125" bestFit="1" customWidth="1"/>
    <col min="3" max="3" width="11" customWidth="1"/>
    <col min="4" max="4" width="15.85546875" bestFit="1" customWidth="1"/>
    <col min="5" max="5" width="12.7109375" customWidth="1"/>
    <col min="6" max="6" width="16.7109375" customWidth="1"/>
    <col min="7" max="7" width="14.42578125" customWidth="1"/>
  </cols>
  <sheetData>
    <row r="1" spans="1:7" ht="18" x14ac:dyDescent="0.25">
      <c r="A1" s="67" t="s">
        <v>109</v>
      </c>
    </row>
    <row r="2" spans="1:7" x14ac:dyDescent="0.2">
      <c r="A2" s="117"/>
      <c r="B2" s="117"/>
      <c r="C2" s="117"/>
      <c r="D2" s="117"/>
      <c r="E2" s="117"/>
      <c r="F2" s="117"/>
      <c r="G2" s="117"/>
    </row>
    <row r="3" spans="1:7" ht="15" x14ac:dyDescent="0.25">
      <c r="A3" s="118" t="s">
        <v>110</v>
      </c>
      <c r="B3" s="118" t="s">
        <v>111</v>
      </c>
      <c r="C3" s="118" t="s">
        <v>112</v>
      </c>
      <c r="D3" s="118" t="s">
        <v>113</v>
      </c>
      <c r="E3" s="118" t="s">
        <v>70</v>
      </c>
      <c r="F3" s="118" t="s">
        <v>114</v>
      </c>
      <c r="G3" s="118" t="s">
        <v>2</v>
      </c>
    </row>
    <row r="4" spans="1:7" ht="14.25" x14ac:dyDescent="0.2">
      <c r="A4" s="119"/>
      <c r="B4" s="119"/>
      <c r="C4" s="119"/>
      <c r="D4" s="119"/>
      <c r="E4" s="119"/>
      <c r="F4" s="119"/>
      <c r="G4" s="119"/>
    </row>
    <row r="5" spans="1:7" ht="14.25" x14ac:dyDescent="0.2">
      <c r="A5" s="120" t="s">
        <v>115</v>
      </c>
      <c r="B5" s="121">
        <v>229.9</v>
      </c>
      <c r="C5" s="120">
        <v>0.35</v>
      </c>
      <c r="D5" s="135">
        <f>B5*C5</f>
        <v>80.465000000000003</v>
      </c>
      <c r="E5" s="122">
        <v>0.23</v>
      </c>
      <c r="F5" s="135">
        <f>(B5+D5)*$E$5</f>
        <v>71.383949999999999</v>
      </c>
      <c r="G5" s="135">
        <f>B5+D5+F5</f>
        <v>381.74895000000004</v>
      </c>
    </row>
    <row r="6" spans="1:7" ht="14.25" x14ac:dyDescent="0.2">
      <c r="A6" s="120" t="s">
        <v>116</v>
      </c>
      <c r="B6" s="121">
        <v>164.89</v>
      </c>
      <c r="C6" s="120">
        <v>0.6</v>
      </c>
      <c r="D6" s="135">
        <f t="shared" ref="D6:D11" si="0">B6*C6</f>
        <v>98.933999999999983</v>
      </c>
      <c r="E6" s="122"/>
      <c r="F6" s="135">
        <f t="shared" ref="F6:F11" si="1">(B6+D6)*$E$5</f>
        <v>60.679519999999989</v>
      </c>
      <c r="G6" s="135">
        <f t="shared" ref="G6:G11" si="2">B6+D6+F6</f>
        <v>324.50351999999992</v>
      </c>
    </row>
    <row r="7" spans="1:7" ht="14.25" x14ac:dyDescent="0.2">
      <c r="A7" s="120" t="s">
        <v>117</v>
      </c>
      <c r="B7" s="121">
        <v>49.9</v>
      </c>
      <c r="C7" s="120">
        <v>0.55000000000000004</v>
      </c>
      <c r="D7" s="135">
        <f t="shared" si="0"/>
        <v>27.445</v>
      </c>
      <c r="E7" s="122"/>
      <c r="F7" s="135">
        <f t="shared" si="1"/>
        <v>17.789349999999999</v>
      </c>
      <c r="G7" s="135">
        <f t="shared" si="2"/>
        <v>95.134349999999998</v>
      </c>
    </row>
    <row r="8" spans="1:7" ht="14.25" x14ac:dyDescent="0.2">
      <c r="A8" s="120" t="s">
        <v>118</v>
      </c>
      <c r="B8" s="121">
        <v>59.9</v>
      </c>
      <c r="C8" s="120">
        <v>0.7</v>
      </c>
      <c r="D8" s="135">
        <f t="shared" si="0"/>
        <v>41.93</v>
      </c>
      <c r="E8" s="122"/>
      <c r="F8" s="135">
        <f t="shared" si="1"/>
        <v>23.4209</v>
      </c>
      <c r="G8" s="135">
        <f t="shared" si="2"/>
        <v>125.2509</v>
      </c>
    </row>
    <row r="9" spans="1:7" ht="14.25" x14ac:dyDescent="0.2">
      <c r="A9" s="120" t="s">
        <v>119</v>
      </c>
      <c r="B9" s="121">
        <v>429.9</v>
      </c>
      <c r="C9" s="120">
        <v>0.85</v>
      </c>
      <c r="D9" s="135">
        <f t="shared" si="0"/>
        <v>365.41499999999996</v>
      </c>
      <c r="E9" s="122"/>
      <c r="F9" s="135">
        <f t="shared" si="1"/>
        <v>182.92245</v>
      </c>
      <c r="G9" s="135">
        <f t="shared" si="2"/>
        <v>978.23744999999997</v>
      </c>
    </row>
    <row r="10" spans="1:7" ht="14.25" x14ac:dyDescent="0.2">
      <c r="A10" s="120" t="s">
        <v>120</v>
      </c>
      <c r="B10" s="121">
        <v>189.9</v>
      </c>
      <c r="C10" s="120">
        <v>0.4</v>
      </c>
      <c r="D10" s="135">
        <f t="shared" si="0"/>
        <v>75.960000000000008</v>
      </c>
      <c r="E10" s="122"/>
      <c r="F10" s="135">
        <f t="shared" si="1"/>
        <v>61.147800000000004</v>
      </c>
      <c r="G10" s="135">
        <f t="shared" si="2"/>
        <v>327.00780000000003</v>
      </c>
    </row>
    <row r="11" spans="1:7" ht="14.25" x14ac:dyDescent="0.2">
      <c r="A11" s="120" t="s">
        <v>121</v>
      </c>
      <c r="B11" s="121">
        <v>344.9</v>
      </c>
      <c r="C11" s="120">
        <v>0.6</v>
      </c>
      <c r="D11" s="135">
        <f t="shared" si="0"/>
        <v>206.93999999999997</v>
      </c>
      <c r="E11" s="122"/>
      <c r="F11" s="135">
        <f t="shared" si="1"/>
        <v>126.92319999999998</v>
      </c>
      <c r="G11" s="135">
        <f t="shared" si="2"/>
        <v>678.76319999999987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0B613EA4-A89E-4F36-98EC-83C5EFB58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6AFAC-BA89-4C20-88B8-DCA409163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5AEA5-D9ED-4D09-A573-51344D4517B9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RefAbsIntro</vt:lpstr>
      <vt:lpstr>RefAbs1</vt:lpstr>
      <vt:lpstr>RefAbs2</vt:lpstr>
      <vt:lpstr>RefAbs3</vt:lpstr>
      <vt:lpstr>RefAbs4</vt:lpstr>
      <vt:lpstr>RefAbs5</vt:lpstr>
      <vt:lpstr>RefAbs6</vt:lpstr>
      <vt:lpstr>RefAbs7</vt:lpstr>
      <vt:lpstr>RefAbs8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Narendra</dc:creator>
  <cp:lastModifiedBy>MANOEL BARATA</cp:lastModifiedBy>
  <cp:lastPrinted>2011-03-22T12:09:18Z</cp:lastPrinted>
  <dcterms:created xsi:type="dcterms:W3CDTF">2000-02-08T19:02:41Z</dcterms:created>
  <dcterms:modified xsi:type="dcterms:W3CDTF">2025-05-29T17:59:00Z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