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FF5FA394-9FBA-4478-8D40-9B5215C9196E}" xr6:coauthVersionLast="47" xr6:coauthVersionMax="47" xr10:uidLastSave="{00000000-0000-0000-0000-000000000000}"/>
  <bookViews>
    <workbookView xWindow="-120" yWindow="-120" windowWidth="20730" windowHeight="11160" activeTab="3" xr2:uid="{7C4FB3BB-3172-485C-9F9B-AAC53DE371D0}"/>
  </bookViews>
  <sheets>
    <sheet name="Ex1Lookup" sheetId="5" r:id="rId1"/>
    <sheet name="ExHLookup" sheetId="6" r:id="rId2"/>
    <sheet name="Ex2" sheetId="2" r:id="rId3"/>
    <sheet name="Ex3" sheetId="1" r:id="rId4"/>
  </sheets>
  <definedNames>
    <definedName name="_xlnm._FilterDatabase" localSheetId="0" hidden="1">Ex1Lookup!$I$2:$I$11</definedName>
    <definedName name="gestores">'Ex3'!$A$1:$C$5</definedName>
    <definedName name="Manoel">'Ex3'!$K$1:$L$3</definedName>
    <definedName name="projetos">'Ex3'!$F$1:$H$5</definedName>
    <definedName name="situacao">'Ex3'!$K$1:$L$3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9" i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4" i="6"/>
  <c r="C9" i="2"/>
  <c r="C7" i="2"/>
  <c r="C6" i="2"/>
  <c r="C8" i="2" s="1"/>
  <c r="C10" i="2" s="1"/>
  <c r="C12" i="5"/>
  <c r="E10" i="5"/>
  <c r="C10" i="5"/>
  <c r="C9" i="5"/>
  <c r="C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Kundan</author>
  </authors>
  <commentList>
    <comment ref="D8" authorId="0" shapeId="0" xr:uid="{ECA7901B-5098-4B84-9259-528DC0669304}">
      <text>
        <r>
          <rPr>
            <b/>
            <sz val="9"/>
            <color indexed="81"/>
            <rFont val="Tahoma"/>
            <family val="2"/>
          </rPr>
          <t>Kundan:</t>
        </r>
        <r>
          <rPr>
            <sz val="9"/>
            <color indexed="81"/>
            <rFont val="Tahoma"/>
            <family val="2"/>
          </rPr>
          <t xml:space="preserve">
Concatenar código e Sector, com traço
</t>
        </r>
      </text>
    </comment>
  </commentList>
</comments>
</file>

<file path=xl/sharedStrings.xml><?xml version="1.0" encoding="utf-8"?>
<sst xmlns="http://schemas.openxmlformats.org/spreadsheetml/2006/main" count="201" uniqueCount="145">
  <si>
    <t>Região</t>
  </si>
  <si>
    <t>Gestor</t>
  </si>
  <si>
    <t>Comissão</t>
  </si>
  <si>
    <t>Código</t>
  </si>
  <si>
    <t>Projecto</t>
  </si>
  <si>
    <t>Valor</t>
  </si>
  <si>
    <t>Situação</t>
  </si>
  <si>
    <t>Centro</t>
  </si>
  <si>
    <t>Silvio</t>
  </si>
  <si>
    <t>EY GAM</t>
  </si>
  <si>
    <t>Em estudo</t>
  </si>
  <si>
    <t>Norte</t>
  </si>
  <si>
    <t>Amanda</t>
  </si>
  <si>
    <t>GIS</t>
  </si>
  <si>
    <t>Em andamento</t>
  </si>
  <si>
    <t>Ilhas</t>
  </si>
  <si>
    <t>Sandra</t>
  </si>
  <si>
    <t>GMS</t>
  </si>
  <si>
    <t>Sul</t>
  </si>
  <si>
    <t>Paulo</t>
  </si>
  <si>
    <t>BRET</t>
  </si>
  <si>
    <t>Data</t>
  </si>
  <si>
    <t>Sector</t>
  </si>
  <si>
    <t>Num Série</t>
  </si>
  <si>
    <t>Vlr.Unit.</t>
  </si>
  <si>
    <t>Quantidade</t>
  </si>
  <si>
    <t>Cod.Sit.</t>
  </si>
  <si>
    <t>Instruções</t>
  </si>
  <si>
    <t>1- Dar Nome às Tabelas</t>
  </si>
  <si>
    <t>2- Preencher com as Informações</t>
  </si>
  <si>
    <t>Vendedor</t>
  </si>
  <si>
    <t>Luis</t>
  </si>
  <si>
    <t>Vendas</t>
  </si>
  <si>
    <t>Fixo</t>
  </si>
  <si>
    <t>Automóvel</t>
  </si>
  <si>
    <t>Combust.</t>
  </si>
  <si>
    <t>Almoço</t>
  </si>
  <si>
    <t>Catarina</t>
  </si>
  <si>
    <t>GOLF</t>
  </si>
  <si>
    <t>Miguel</t>
  </si>
  <si>
    <t>MEGANE</t>
  </si>
  <si>
    <t>Comissão(%)</t>
  </si>
  <si>
    <t>Comissão total</t>
  </si>
  <si>
    <t>Nelson</t>
  </si>
  <si>
    <t>Salário Fixo</t>
  </si>
  <si>
    <t>Carla</t>
  </si>
  <si>
    <t>Total a receber</t>
  </si>
  <si>
    <t>Rafael</t>
  </si>
  <si>
    <t>Andreia</t>
  </si>
  <si>
    <t>Joana</t>
  </si>
  <si>
    <t>ASTRA</t>
  </si>
  <si>
    <t>Mário</t>
  </si>
  <si>
    <t>GASTOS</t>
  </si>
  <si>
    <t>Rui</t>
  </si>
  <si>
    <t>Com combustível</t>
  </si>
  <si>
    <t>Alexandra</t>
  </si>
  <si>
    <t>Com almoço</t>
  </si>
  <si>
    <t>Adriana</t>
  </si>
  <si>
    <t>Total de gastos</t>
  </si>
  <si>
    <t>António</t>
  </si>
  <si>
    <t>Cliente</t>
  </si>
  <si>
    <t>Nif</t>
  </si>
  <si>
    <t>Departamento</t>
  </si>
  <si>
    <t>Local</t>
  </si>
  <si>
    <t>Manager</t>
  </si>
  <si>
    <t>A101</t>
  </si>
  <si>
    <t>ALFA LDA</t>
  </si>
  <si>
    <t>TAS</t>
  </si>
  <si>
    <t>Lisboa</t>
  </si>
  <si>
    <t>Manuel Costa</t>
  </si>
  <si>
    <t>A102</t>
  </si>
  <si>
    <t>ROMEU LDA</t>
  </si>
  <si>
    <t>PAS</t>
  </si>
  <si>
    <t>Madeira</t>
  </si>
  <si>
    <t>Tiago Godinho</t>
  </si>
  <si>
    <t>A103</t>
  </si>
  <si>
    <t>SANYOG AS</t>
  </si>
  <si>
    <t>FAAS</t>
  </si>
  <si>
    <t>Raul Lopes</t>
  </si>
  <si>
    <t>Nº Cliente</t>
  </si>
  <si>
    <t>A104</t>
  </si>
  <si>
    <t>FUSATING AS</t>
  </si>
  <si>
    <t>FIDS</t>
  </si>
  <si>
    <t>Porto</t>
  </si>
  <si>
    <t>Luisa Silva</t>
  </si>
  <si>
    <t>A105</t>
  </si>
  <si>
    <t xml:space="preserve">YONG LDA </t>
  </si>
  <si>
    <t>Advisory</t>
  </si>
  <si>
    <t>Coimbra</t>
  </si>
  <si>
    <t>Nuno Lopes</t>
  </si>
  <si>
    <t>A106</t>
  </si>
  <si>
    <t>PSI AS</t>
  </si>
  <si>
    <t>Auditoria</t>
  </si>
  <si>
    <t>Faro</t>
  </si>
  <si>
    <t>Zélia Silva</t>
  </si>
  <si>
    <t>A107</t>
  </si>
  <si>
    <t>CARTEL LDA</t>
  </si>
  <si>
    <t>Tax</t>
  </si>
  <si>
    <t>Manuela Costa</t>
  </si>
  <si>
    <t>NIF</t>
  </si>
  <si>
    <t>A108</t>
  </si>
  <si>
    <t>MARTAS LDA</t>
  </si>
  <si>
    <t>Mariana Contreiras</t>
  </si>
  <si>
    <t>A109</t>
  </si>
  <si>
    <t>HOVIONE</t>
  </si>
  <si>
    <t>Loures</t>
  </si>
  <si>
    <t>Beatriz Jorge</t>
  </si>
  <si>
    <t>A110</t>
  </si>
  <si>
    <t>CSC PORTUGUESA</t>
  </si>
  <si>
    <t>João Queirós</t>
  </si>
  <si>
    <t>Funcionários e Colaboradores</t>
  </si>
  <si>
    <t>CÓDIGO</t>
  </si>
  <si>
    <t>Nome</t>
  </si>
  <si>
    <t>Cargo</t>
  </si>
  <si>
    <t>Ordenado</t>
  </si>
  <si>
    <t>TABELA DADOS</t>
  </si>
  <si>
    <t>Ana Fernandes</t>
  </si>
  <si>
    <t>Asdrubal Sousa</t>
  </si>
  <si>
    <t>Chefe de Secção</t>
  </si>
  <si>
    <t>Director</t>
  </si>
  <si>
    <t>Recepcionista</t>
  </si>
  <si>
    <t>Técnico</t>
  </si>
  <si>
    <t>Administrador</t>
  </si>
  <si>
    <t>Fernando Duarte</t>
  </si>
  <si>
    <t>Helena Rana</t>
  </si>
  <si>
    <t>Isabel Cruz</t>
  </si>
  <si>
    <t>Patricia dos Santos</t>
  </si>
  <si>
    <t>Paulo Domingues</t>
  </si>
  <si>
    <t>Piedade Redondo</t>
  </si>
  <si>
    <t>Rui Veloso</t>
  </si>
  <si>
    <t>Carlos Sousa</t>
  </si>
  <si>
    <t>Rita Seabra</t>
  </si>
  <si>
    <t>Vitor Fernandes</t>
  </si>
  <si>
    <t>Patricia Vieira</t>
  </si>
  <si>
    <t>Ricardo Nunes</t>
  </si>
  <si>
    <t>Ana Silvia</t>
  </si>
  <si>
    <t>Paulo Gomes</t>
  </si>
  <si>
    <t>Adalberto Castro</t>
  </si>
  <si>
    <t>Sansão Dias</t>
  </si>
  <si>
    <t>Rodrigo Lima</t>
  </si>
  <si>
    <t>VALIDAÇÃO DE DADOS - PARA CRIAR UMA LISTA PENDENTE</t>
  </si>
  <si>
    <t>PROCV</t>
  </si>
  <si>
    <t>Categoria Lógica e Texto</t>
  </si>
  <si>
    <t>Voltar Indice</t>
  </si>
  <si>
    <t>conjugação de duas funções: Se e PROCV)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</si>
</sst>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[$€-816]_-;\-* #,##0.00\ [$€-816]_-;_-* &quot;-&quot;??\ [$€-816]_-;_-@_-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_-* #,##0.00\ _E_s_c_._-;\-* #,##0.00\ _E_s_c_._-;_-* &quot;-&quot;??\ _E_s_c_._-;_-@_-"/>
    <numFmt numFmtId="169" formatCode="_-* #,##0.00\ [$€]_-;\-* #,##0.00\ [$€]_-;_-* &quot;-&quot;??\ [$€]_-;_-@_-"/>
    <numFmt numFmtId="170" formatCode="_(&quot;R$ &quot;* #,##0.00_);_(&quot;R$ &quot;* \(#,##0.00\);_(&quot;R$ 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hair">
        <color indexed="10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170" fontId="14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168" fontId="4" fillId="0" borderId="0" xfId="0" applyNumberFormat="1" applyFont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2" applyFont="1" applyBorder="1" applyAlignment="1">
      <alignment horizontal="center" vertical="center"/>
    </xf>
    <xf numFmtId="166" fontId="8" fillId="0" borderId="1" xfId="2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5" fontId="8" fillId="10" borderId="1" xfId="2" applyFont="1" applyFill="1" applyBorder="1" applyAlignment="1">
      <alignment horizontal="center" vertical="center"/>
    </xf>
    <xf numFmtId="9" fontId="8" fillId="10" borderId="1" xfId="1" applyFont="1" applyFill="1" applyBorder="1" applyAlignment="1">
      <alignment horizontal="center" vertical="center"/>
    </xf>
    <xf numFmtId="169" fontId="8" fillId="10" borderId="1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4"/>
    <xf numFmtId="0" fontId="9" fillId="5" borderId="1" xfId="5" applyFont="1" applyFill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10" fillId="0" borderId="0" xfId="4" applyFont="1"/>
    <xf numFmtId="0" fontId="11" fillId="0" borderId="0" xfId="4" applyFont="1"/>
    <xf numFmtId="0" fontId="12" fillId="0" borderId="2" xfId="4" applyFont="1" applyBorder="1"/>
    <xf numFmtId="0" fontId="12" fillId="0" borderId="0" xfId="4" applyFont="1"/>
    <xf numFmtId="0" fontId="12" fillId="0" borderId="3" xfId="4" applyFont="1" applyBorder="1"/>
    <xf numFmtId="0" fontId="12" fillId="0" borderId="4" xfId="4" applyFont="1" applyBorder="1"/>
    <xf numFmtId="0" fontId="12" fillId="0" borderId="5" xfId="4" applyFont="1" applyBorder="1"/>
    <xf numFmtId="0" fontId="13" fillId="0" borderId="6" xfId="4" applyFont="1" applyBorder="1"/>
    <xf numFmtId="0" fontId="12" fillId="0" borderId="7" xfId="4" applyFont="1" applyBorder="1"/>
    <xf numFmtId="0" fontId="13" fillId="0" borderId="0" xfId="4" applyFont="1" applyAlignment="1">
      <alignment horizontal="right"/>
    </xf>
    <xf numFmtId="0" fontId="12" fillId="0" borderId="6" xfId="4" applyFont="1" applyBorder="1"/>
    <xf numFmtId="0" fontId="12" fillId="0" borderId="9" xfId="4" applyFont="1" applyBorder="1"/>
    <xf numFmtId="0" fontId="13" fillId="0" borderId="6" xfId="4" applyFont="1" applyBorder="1" applyAlignment="1">
      <alignment horizontal="center"/>
    </xf>
    <xf numFmtId="0" fontId="12" fillId="0" borderId="10" xfId="4" applyFont="1" applyBorder="1"/>
    <xf numFmtId="0" fontId="12" fillId="0" borderId="11" xfId="4" applyFont="1" applyBorder="1"/>
    <xf numFmtId="0" fontId="12" fillId="0" borderId="12" xfId="4" applyFont="1" applyBorder="1"/>
    <xf numFmtId="0" fontId="4" fillId="0" borderId="0" xfId="0" applyFont="1"/>
    <xf numFmtId="0" fontId="15" fillId="0" borderId="0" xfId="6" applyFont="1"/>
    <xf numFmtId="0" fontId="14" fillId="0" borderId="0" xfId="6"/>
    <xf numFmtId="0" fontId="16" fillId="4" borderId="1" xfId="6" applyFont="1" applyFill="1" applyBorder="1" applyAlignment="1">
      <alignment horizontal="center" vertical="center" wrapText="1"/>
    </xf>
    <xf numFmtId="0" fontId="17" fillId="0" borderId="0" xfId="6" applyFont="1"/>
    <xf numFmtId="0" fontId="14" fillId="0" borderId="1" xfId="6" applyBorder="1" applyAlignment="1">
      <alignment horizontal="center"/>
    </xf>
    <xf numFmtId="0" fontId="4" fillId="0" borderId="1" xfId="7" applyFont="1" applyBorder="1"/>
    <xf numFmtId="164" fontId="14" fillId="0" borderId="1" xfId="8" applyNumberFormat="1" applyFont="1" applyBorder="1"/>
    <xf numFmtId="0" fontId="16" fillId="4" borderId="1" xfId="6" applyFont="1" applyFill="1" applyBorder="1" applyAlignment="1">
      <alignment horizontal="center"/>
    </xf>
    <xf numFmtId="0" fontId="16" fillId="11" borderId="1" xfId="6" applyFont="1" applyFill="1" applyBorder="1" applyAlignment="1">
      <alignment horizontal="center" vertical="center" wrapText="1"/>
    </xf>
    <xf numFmtId="164" fontId="1" fillId="0" borderId="1" xfId="8" applyNumberFormat="1" applyFont="1" applyBorder="1" applyAlignment="1">
      <alignment horizontal="center" vertical="center"/>
    </xf>
    <xf numFmtId="164" fontId="1" fillId="0" borderId="0" xfId="8" applyNumberFormat="1" applyFont="1" applyFill="1" applyBorder="1" applyAlignment="1">
      <alignment horizontal="center" vertical="center"/>
    </xf>
    <xf numFmtId="0" fontId="18" fillId="0" borderId="13" xfId="9" applyFill="1" applyBorder="1" applyAlignment="1">
      <alignment horizontal="center"/>
    </xf>
    <xf numFmtId="0" fontId="12" fillId="0" borderId="7" xfId="4" applyFont="1" applyBorder="1" applyAlignment="1">
      <alignment horizontal="left"/>
    </xf>
    <xf numFmtId="0" fontId="12" fillId="0" borderId="8" xfId="4" applyFont="1" applyBorder="1" applyAlignment="1">
      <alignment horizontal="left"/>
    </xf>
    <xf numFmtId="0" fontId="12" fillId="0" borderId="0" xfId="4" applyFont="1" applyAlignment="1">
      <alignment horizontal="left"/>
    </xf>
    <xf numFmtId="0" fontId="12" fillId="0" borderId="9" xfId="4" applyFont="1" applyBorder="1" applyAlignment="1">
      <alignment horizontal="left"/>
    </xf>
    <xf numFmtId="0" fontId="0" fillId="0" borderId="0" xfId="0" applyAlignment="1"/>
  </cellXfs>
  <cellStyles count="10">
    <cellStyle name="Euro" xfId="3" xr:uid="{1B6E50FD-73DD-48E3-9A36-20C517E9D2FC}"/>
    <cellStyle name="Hiperligação" xfId="9" builtinId="8"/>
    <cellStyle name="Moeda 2" xfId="8" xr:uid="{A25C28CD-6FE4-4470-A11D-D9A3C059CF16}"/>
    <cellStyle name="Normal" xfId="0" builtinId="0"/>
    <cellStyle name="Normal 3 2" xfId="5" xr:uid="{92A90DFB-1F95-4CF7-8ADD-1D6C66656166}"/>
    <cellStyle name="Normal 4" xfId="4" xr:uid="{6E7CA9A3-1FC1-4281-8CD2-4872E5FC2D3D}"/>
    <cellStyle name="Normal 6" xfId="6" xr:uid="{37DB00DB-DD43-4F19-A248-9CD92497E209}"/>
    <cellStyle name="Normal 8" xfId="7" xr:uid="{6AB35E41-52E6-43B5-94C5-A49251194C09}"/>
    <cellStyle name="Percentagem" xfId="1" builtinId="5"/>
    <cellStyle name="Vírgula_MsExcel Ficha00" xfId="2" xr:uid="{15D41BE4-2742-4D04-946C-CD9D25F226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Aula%2018%20Junho\04Fun&#231;&#245;esLogica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30C7-AEEA-41EE-B15E-E5EE60B6C1E5}">
  <dimension ref="B1:P17"/>
  <sheetViews>
    <sheetView zoomScale="75" zoomScaleNormal="75" workbookViewId="0">
      <selection activeCell="P3" sqref="P3"/>
    </sheetView>
  </sheetViews>
  <sheetFormatPr defaultRowHeight="15" x14ac:dyDescent="0.25"/>
  <cols>
    <col min="1" max="1" width="2.85546875" customWidth="1"/>
    <col min="2" max="2" width="15.5703125" customWidth="1"/>
    <col min="3" max="3" width="14.5703125" customWidth="1"/>
    <col min="6" max="6" width="11.42578125" customWidth="1"/>
    <col min="7" max="7" width="3.140625" customWidth="1"/>
    <col min="8" max="8" width="4.42578125" customWidth="1"/>
    <col min="10" max="10" width="19.140625" bestFit="1" customWidth="1"/>
    <col min="11" max="11" width="19.140625" customWidth="1"/>
    <col min="12" max="12" width="14" bestFit="1" customWidth="1"/>
    <col min="13" max="13" width="13.28515625" customWidth="1"/>
    <col min="14" max="14" width="16.7109375" bestFit="1" customWidth="1"/>
    <col min="15" max="15" width="15.7109375" customWidth="1"/>
  </cols>
  <sheetData>
    <row r="1" spans="2:16" x14ac:dyDescent="0.25">
      <c r="B1" s="40"/>
      <c r="C1" s="40"/>
      <c r="D1" s="40"/>
      <c r="E1" s="40"/>
      <c r="F1" s="40"/>
      <c r="G1" s="40"/>
      <c r="H1" s="40"/>
      <c r="I1" s="41" t="s">
        <v>3</v>
      </c>
      <c r="J1" s="41" t="s">
        <v>60</v>
      </c>
      <c r="K1" s="41" t="s">
        <v>61</v>
      </c>
      <c r="L1" s="41" t="s">
        <v>62</v>
      </c>
      <c r="M1" s="41" t="s">
        <v>63</v>
      </c>
      <c r="N1" s="41" t="s">
        <v>64</v>
      </c>
    </row>
    <row r="2" spans="2:16" x14ac:dyDescent="0.25">
      <c r="B2" s="40"/>
      <c r="C2" s="40"/>
      <c r="D2" s="40"/>
      <c r="E2" s="40"/>
      <c r="F2" s="40"/>
      <c r="G2" s="40"/>
      <c r="H2" s="40"/>
      <c r="I2" s="42" t="s">
        <v>65</v>
      </c>
      <c r="J2" s="42" t="s">
        <v>66</v>
      </c>
      <c r="K2" s="42">
        <v>502122122</v>
      </c>
      <c r="L2" s="42" t="s">
        <v>67</v>
      </c>
      <c r="M2" s="42" t="s">
        <v>68</v>
      </c>
      <c r="N2" s="42" t="s">
        <v>69</v>
      </c>
    </row>
    <row r="3" spans="2:16" x14ac:dyDescent="0.25">
      <c r="B3" s="43"/>
      <c r="C3" s="43"/>
      <c r="D3" s="43"/>
      <c r="E3" s="43"/>
      <c r="F3" s="43"/>
      <c r="G3" s="40"/>
      <c r="H3" s="40"/>
      <c r="I3" s="42" t="s">
        <v>70</v>
      </c>
      <c r="J3" s="42" t="s">
        <v>71</v>
      </c>
      <c r="K3" s="42">
        <v>506325256</v>
      </c>
      <c r="L3" s="42" t="s">
        <v>72</v>
      </c>
      <c r="M3" s="42" t="s">
        <v>73</v>
      </c>
      <c r="N3" s="42" t="s">
        <v>74</v>
      </c>
      <c r="P3" s="71" t="s">
        <v>143</v>
      </c>
    </row>
    <row r="4" spans="2:16" ht="15.75" thickBot="1" x14ac:dyDescent="0.3">
      <c r="B4" s="43"/>
      <c r="C4" s="43"/>
      <c r="D4" s="43"/>
      <c r="E4" s="43"/>
      <c r="F4" s="43"/>
      <c r="G4" s="40"/>
      <c r="H4" s="40"/>
      <c r="I4" s="42" t="s">
        <v>75</v>
      </c>
      <c r="J4" s="42" t="s">
        <v>76</v>
      </c>
      <c r="K4" s="42">
        <v>506124411</v>
      </c>
      <c r="L4" s="42" t="s">
        <v>77</v>
      </c>
      <c r="M4" s="42" t="s">
        <v>68</v>
      </c>
      <c r="N4" s="42" t="s">
        <v>78</v>
      </c>
    </row>
    <row r="5" spans="2:16" ht="16.5" thickBot="1" x14ac:dyDescent="0.3">
      <c r="B5" s="44" t="s">
        <v>79</v>
      </c>
      <c r="C5" s="45" t="s">
        <v>80</v>
      </c>
      <c r="D5" s="46"/>
      <c r="E5" s="46"/>
      <c r="F5" s="46"/>
      <c r="G5" s="40"/>
      <c r="H5" s="40"/>
      <c r="I5" s="42" t="s">
        <v>80</v>
      </c>
      <c r="J5" s="42" t="s">
        <v>81</v>
      </c>
      <c r="K5" s="42">
        <v>500121788</v>
      </c>
      <c r="L5" s="42" t="s">
        <v>82</v>
      </c>
      <c r="M5" s="42" t="s">
        <v>83</v>
      </c>
      <c r="N5" s="42" t="s">
        <v>84</v>
      </c>
    </row>
    <row r="6" spans="2:16" ht="15.75" x14ac:dyDescent="0.25">
      <c r="B6" s="46"/>
      <c r="C6" s="46"/>
      <c r="D6" s="46"/>
      <c r="E6" s="46"/>
      <c r="F6" s="46"/>
      <c r="G6" s="40"/>
      <c r="H6" s="40"/>
      <c r="I6" s="42" t="s">
        <v>85</v>
      </c>
      <c r="J6" s="42" t="s">
        <v>86</v>
      </c>
      <c r="K6" s="42">
        <v>500969896</v>
      </c>
      <c r="L6" s="42" t="s">
        <v>87</v>
      </c>
      <c r="M6" s="42" t="s">
        <v>88</v>
      </c>
      <c r="N6" s="42" t="s">
        <v>89</v>
      </c>
    </row>
    <row r="7" spans="2:16" ht="15.75" x14ac:dyDescent="0.25">
      <c r="B7" s="47"/>
      <c r="C7" s="48"/>
      <c r="D7" s="48"/>
      <c r="E7" s="48"/>
      <c r="F7" s="49"/>
      <c r="G7" s="40"/>
      <c r="H7" s="40"/>
      <c r="I7" s="42" t="s">
        <v>90</v>
      </c>
      <c r="J7" s="42" t="s">
        <v>91</v>
      </c>
      <c r="K7" s="42">
        <v>501789987</v>
      </c>
      <c r="L7" s="42" t="s">
        <v>92</v>
      </c>
      <c r="M7" s="42" t="s">
        <v>93</v>
      </c>
      <c r="N7" s="42" t="s">
        <v>94</v>
      </c>
    </row>
    <row r="8" spans="2:16" ht="15.75" x14ac:dyDescent="0.25">
      <c r="B8" s="50" t="s">
        <v>60</v>
      </c>
      <c r="C8" s="72" t="str">
        <f>VLOOKUP(C5,I1:N11,2,0)</f>
        <v>FUSATING AS</v>
      </c>
      <c r="D8" s="72"/>
      <c r="E8" s="72"/>
      <c r="F8" s="73"/>
      <c r="G8" s="40"/>
      <c r="H8" s="40"/>
      <c r="I8" s="42" t="s">
        <v>95</v>
      </c>
      <c r="J8" s="42" t="s">
        <v>96</v>
      </c>
      <c r="K8" s="42">
        <v>501569999</v>
      </c>
      <c r="L8" s="42" t="s">
        <v>97</v>
      </c>
      <c r="M8" s="42" t="s">
        <v>68</v>
      </c>
      <c r="N8" s="42" t="s">
        <v>98</v>
      </c>
    </row>
    <row r="9" spans="2:16" ht="15.75" x14ac:dyDescent="0.25">
      <c r="B9" s="50" t="s">
        <v>99</v>
      </c>
      <c r="C9" s="72">
        <f>VLOOKUP(C5,I1:N11,3,0)</f>
        <v>500121788</v>
      </c>
      <c r="D9" s="72"/>
      <c r="E9" s="72"/>
      <c r="F9" s="73"/>
      <c r="G9" s="40"/>
      <c r="H9" s="40"/>
      <c r="I9" s="42" t="s">
        <v>100</v>
      </c>
      <c r="J9" s="42" t="s">
        <v>101</v>
      </c>
      <c r="K9" s="42">
        <v>502788114</v>
      </c>
      <c r="L9" s="42" t="s">
        <v>87</v>
      </c>
      <c r="M9" s="42" t="s">
        <v>68</v>
      </c>
      <c r="N9" s="42" t="s">
        <v>102</v>
      </c>
    </row>
    <row r="10" spans="2:16" ht="15.75" x14ac:dyDescent="0.25">
      <c r="B10" s="50" t="s">
        <v>62</v>
      </c>
      <c r="C10" s="51" t="str">
        <f>VLOOKUP(C5,I1:N11,4,0)</f>
        <v>FIDS</v>
      </c>
      <c r="D10" s="52" t="s">
        <v>63</v>
      </c>
      <c r="E10" s="72" t="str">
        <f>VLOOKUP(C5,I1:N11,5,0)</f>
        <v>Porto</v>
      </c>
      <c r="F10" s="73"/>
      <c r="G10" s="40"/>
      <c r="H10" s="40"/>
      <c r="I10" s="42" t="s">
        <v>103</v>
      </c>
      <c r="J10" s="42" t="s">
        <v>104</v>
      </c>
      <c r="K10" s="42">
        <v>503968741</v>
      </c>
      <c r="L10" s="42" t="s">
        <v>72</v>
      </c>
      <c r="M10" s="42" t="s">
        <v>105</v>
      </c>
      <c r="N10" s="42" t="s">
        <v>106</v>
      </c>
    </row>
    <row r="11" spans="2:16" ht="15.75" x14ac:dyDescent="0.25">
      <c r="B11" s="53"/>
      <c r="C11" s="46"/>
      <c r="D11" s="46"/>
      <c r="E11" s="46"/>
      <c r="F11" s="54"/>
      <c r="G11" s="40"/>
      <c r="H11" s="40"/>
      <c r="I11" s="42" t="s">
        <v>107</v>
      </c>
      <c r="J11" s="42" t="s">
        <v>108</v>
      </c>
      <c r="K11" s="42">
        <v>501245784</v>
      </c>
      <c r="L11" s="42" t="s">
        <v>92</v>
      </c>
      <c r="M11" s="42" t="s">
        <v>83</v>
      </c>
      <c r="N11" s="42" t="s">
        <v>109</v>
      </c>
    </row>
    <row r="12" spans="2:16" ht="15.75" x14ac:dyDescent="0.25">
      <c r="B12" s="55" t="s">
        <v>64</v>
      </c>
      <c r="C12" s="74" t="str">
        <f>VLOOKUP(C5,I1:N11,6,0)</f>
        <v>Luisa Silva</v>
      </c>
      <c r="D12" s="74"/>
      <c r="E12" s="74"/>
      <c r="F12" s="75"/>
      <c r="G12" s="40"/>
      <c r="H12" s="40"/>
      <c r="I12" s="40"/>
      <c r="J12" s="40"/>
      <c r="K12" s="40"/>
      <c r="L12" s="40"/>
      <c r="M12" s="40"/>
      <c r="N12" s="40"/>
      <c r="O12" s="40"/>
    </row>
    <row r="13" spans="2:16" ht="15.75" x14ac:dyDescent="0.25">
      <c r="B13" s="56"/>
      <c r="C13" s="57"/>
      <c r="D13" s="57"/>
      <c r="E13" s="57"/>
      <c r="F13" s="58"/>
      <c r="G13" s="40"/>
      <c r="H13" s="40"/>
      <c r="I13" s="40"/>
      <c r="J13" s="40"/>
      <c r="K13" s="40"/>
      <c r="L13" s="40"/>
      <c r="M13" s="40"/>
      <c r="N13" s="40"/>
      <c r="O13" s="40"/>
    </row>
    <row r="14" spans="2:16" x14ac:dyDescent="0.25">
      <c r="B14" s="43"/>
      <c r="C14" s="43"/>
      <c r="D14" s="43"/>
      <c r="E14" s="43"/>
      <c r="F14" s="43"/>
      <c r="G14" s="40"/>
      <c r="H14" s="40"/>
      <c r="I14" s="40"/>
      <c r="J14" s="40"/>
      <c r="K14" s="40"/>
      <c r="L14" s="40"/>
      <c r="M14" s="40"/>
      <c r="N14" s="40"/>
      <c r="O14" s="40"/>
    </row>
    <row r="15" spans="2:16" x14ac:dyDescent="0.25">
      <c r="B15" s="43"/>
      <c r="C15" s="43"/>
      <c r="D15" s="43"/>
      <c r="E15" s="43"/>
      <c r="F15" s="43"/>
      <c r="G15" s="40"/>
      <c r="H15" s="40"/>
      <c r="I15" s="40"/>
      <c r="J15" s="40" t="s">
        <v>141</v>
      </c>
      <c r="K15" s="40"/>
      <c r="L15" s="40"/>
      <c r="M15" s="40"/>
      <c r="N15" s="40"/>
      <c r="O15" s="40"/>
    </row>
    <row r="16" spans="2:16" x14ac:dyDescent="0.25">
      <c r="C16" s="59"/>
    </row>
    <row r="17" spans="3:3" x14ac:dyDescent="0.25">
      <c r="C17" s="59"/>
    </row>
  </sheetData>
  <mergeCells count="4">
    <mergeCell ref="C8:F8"/>
    <mergeCell ref="C9:F9"/>
    <mergeCell ref="E10:F10"/>
    <mergeCell ref="C12:F12"/>
  </mergeCells>
  <dataValidations count="1">
    <dataValidation type="list" allowBlank="1" showInputMessage="1" showErrorMessage="1" sqref="C5" xr:uid="{3E33AC20-57C1-4307-B449-FDF8A079EACE}">
      <formula1>$I$2:$I$11</formula1>
    </dataValidation>
  </dataValidations>
  <hyperlinks>
    <hyperlink ref="P3" r:id="rId1" xr:uid="{C18DC5E9-84F5-4B5D-9FFE-AE11B2C7CD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552A-FCC3-4441-AACA-9C121E6D1273}">
  <dimension ref="A1:N22"/>
  <sheetViews>
    <sheetView zoomScale="110" zoomScaleNormal="110" workbookViewId="0">
      <selection activeCell="G17" sqref="G17"/>
    </sheetView>
  </sheetViews>
  <sheetFormatPr defaultRowHeight="15" x14ac:dyDescent="0.25"/>
  <cols>
    <col min="1" max="1" width="8.28515625" customWidth="1"/>
    <col min="2" max="2" width="18.7109375" bestFit="1" customWidth="1"/>
    <col min="3" max="3" width="17.85546875" customWidth="1"/>
    <col min="4" max="4" width="16.42578125" customWidth="1"/>
    <col min="5" max="5" width="2.85546875" customWidth="1"/>
    <col min="6" max="6" width="13.7109375" bestFit="1" customWidth="1"/>
    <col min="7" max="7" width="15.5703125" customWidth="1"/>
    <col min="8" max="8" width="11" bestFit="1" customWidth="1"/>
    <col min="9" max="9" width="13.42578125" bestFit="1" customWidth="1"/>
    <col min="10" max="10" width="9.42578125" bestFit="1" customWidth="1"/>
    <col min="11" max="11" width="15.28515625" bestFit="1" customWidth="1"/>
    <col min="14" max="14" width="15.140625" customWidth="1"/>
  </cols>
  <sheetData>
    <row r="1" spans="1:14" x14ac:dyDescent="0.25">
      <c r="A1" s="60" t="s">
        <v>110</v>
      </c>
      <c r="B1" s="60"/>
      <c r="C1" s="61"/>
      <c r="D1" s="61"/>
      <c r="E1" s="61"/>
      <c r="F1" s="61"/>
    </row>
    <row r="2" spans="1:14" ht="7.5" customHeight="1" x14ac:dyDescent="0.25"/>
    <row r="3" spans="1:14" x14ac:dyDescent="0.25">
      <c r="A3" s="62" t="s">
        <v>111</v>
      </c>
      <c r="B3" s="62" t="s">
        <v>112</v>
      </c>
      <c r="C3" s="62" t="s">
        <v>113</v>
      </c>
      <c r="D3" s="62" t="s">
        <v>114</v>
      </c>
      <c r="E3" s="61"/>
      <c r="F3" s="63" t="s">
        <v>115</v>
      </c>
    </row>
    <row r="4" spans="1:14" x14ac:dyDescent="0.25">
      <c r="A4" s="64">
        <v>101</v>
      </c>
      <c r="B4" s="65" t="s">
        <v>116</v>
      </c>
      <c r="C4" s="64" t="str">
        <f>HLOOKUP(A4,$F$4:$K$6,2,0)</f>
        <v>Chefe de Secção</v>
      </c>
      <c r="D4" s="66">
        <f>HLOOKUP(A4,$F$4:$K$6,3,0)</f>
        <v>1250</v>
      </c>
      <c r="E4" s="61"/>
      <c r="F4" s="62" t="s">
        <v>111</v>
      </c>
      <c r="G4" s="67">
        <v>101</v>
      </c>
      <c r="H4" s="67">
        <v>102</v>
      </c>
      <c r="I4" s="67">
        <v>103</v>
      </c>
      <c r="J4" s="67">
        <v>104</v>
      </c>
      <c r="K4" s="67">
        <v>105</v>
      </c>
    </row>
    <row r="5" spans="1:14" x14ac:dyDescent="0.25">
      <c r="A5" s="64">
        <v>103</v>
      </c>
      <c r="B5" s="65" t="s">
        <v>117</v>
      </c>
      <c r="C5" s="64" t="str">
        <f t="shared" ref="C5:C22" si="0">HLOOKUP(A5,$F$4:$K$6,2,0)</f>
        <v>Recepcionista</v>
      </c>
      <c r="D5" s="66">
        <f t="shared" ref="D5:D22" si="1">HLOOKUP(A5,$F$4:$K$6,3,0)</f>
        <v>650</v>
      </c>
      <c r="E5" s="61"/>
      <c r="F5" s="68" t="s">
        <v>113</v>
      </c>
      <c r="G5" s="69" t="s">
        <v>118</v>
      </c>
      <c r="H5" s="69" t="s">
        <v>119</v>
      </c>
      <c r="I5" s="69" t="s">
        <v>120</v>
      </c>
      <c r="J5" s="69" t="s">
        <v>121</v>
      </c>
      <c r="K5" s="69" t="s">
        <v>122</v>
      </c>
      <c r="N5" s="70"/>
    </row>
    <row r="6" spans="1:14" x14ac:dyDescent="0.25">
      <c r="A6" s="64">
        <v>102</v>
      </c>
      <c r="B6" s="65" t="s">
        <v>123</v>
      </c>
      <c r="C6" s="64" t="str">
        <f t="shared" si="0"/>
        <v>Director</v>
      </c>
      <c r="D6" s="66">
        <f t="shared" si="1"/>
        <v>1500</v>
      </c>
      <c r="E6" s="61"/>
      <c r="F6" s="68" t="s">
        <v>114</v>
      </c>
      <c r="G6" s="69">
        <v>1250</v>
      </c>
      <c r="H6" s="69">
        <v>1500</v>
      </c>
      <c r="I6" s="69">
        <v>650</v>
      </c>
      <c r="J6" s="69">
        <v>750</v>
      </c>
      <c r="K6" s="69">
        <v>2100</v>
      </c>
    </row>
    <row r="7" spans="1:14" x14ac:dyDescent="0.25">
      <c r="A7" s="64">
        <v>103</v>
      </c>
      <c r="B7" s="65" t="s">
        <v>124</v>
      </c>
      <c r="C7" s="64" t="str">
        <f t="shared" si="0"/>
        <v>Recepcionista</v>
      </c>
      <c r="D7" s="66">
        <f t="shared" si="1"/>
        <v>650</v>
      </c>
      <c r="E7" s="61"/>
      <c r="F7" s="61"/>
    </row>
    <row r="8" spans="1:14" x14ac:dyDescent="0.25">
      <c r="A8" s="64">
        <v>104</v>
      </c>
      <c r="B8" s="65" t="s">
        <v>125</v>
      </c>
      <c r="C8" s="64" t="str">
        <f t="shared" si="0"/>
        <v>Técnico</v>
      </c>
      <c r="D8" s="66">
        <f t="shared" si="1"/>
        <v>750</v>
      </c>
      <c r="E8" s="61"/>
      <c r="F8" s="61"/>
    </row>
    <row r="9" spans="1:14" x14ac:dyDescent="0.25">
      <c r="A9" s="64">
        <v>105</v>
      </c>
      <c r="B9" s="65" t="s">
        <v>126</v>
      </c>
      <c r="C9" s="64" t="str">
        <f t="shared" si="0"/>
        <v>Administrador</v>
      </c>
      <c r="D9" s="66">
        <f t="shared" si="1"/>
        <v>2100</v>
      </c>
      <c r="E9" s="61"/>
      <c r="F9" s="61"/>
    </row>
    <row r="10" spans="1:14" x14ac:dyDescent="0.25">
      <c r="A10" s="64">
        <v>104</v>
      </c>
      <c r="B10" s="65" t="s">
        <v>127</v>
      </c>
      <c r="C10" s="64" t="str">
        <f t="shared" si="0"/>
        <v>Técnico</v>
      </c>
      <c r="D10" s="66">
        <f t="shared" si="1"/>
        <v>750</v>
      </c>
      <c r="E10" s="61"/>
      <c r="F10" s="61"/>
    </row>
    <row r="11" spans="1:14" x14ac:dyDescent="0.25">
      <c r="A11" s="64">
        <v>102</v>
      </c>
      <c r="B11" s="65" t="s">
        <v>128</v>
      </c>
      <c r="C11" s="64" t="str">
        <f t="shared" si="0"/>
        <v>Director</v>
      </c>
      <c r="D11" s="66">
        <f t="shared" si="1"/>
        <v>1500</v>
      </c>
      <c r="E11" s="61"/>
      <c r="F11" s="61"/>
    </row>
    <row r="12" spans="1:14" x14ac:dyDescent="0.25">
      <c r="A12" s="64">
        <v>101</v>
      </c>
      <c r="B12" s="65" t="s">
        <v>129</v>
      </c>
      <c r="C12" s="64" t="str">
        <f t="shared" si="0"/>
        <v>Chefe de Secção</v>
      </c>
      <c r="D12" s="66">
        <f t="shared" si="1"/>
        <v>1250</v>
      </c>
      <c r="F12" s="61"/>
    </row>
    <row r="13" spans="1:14" x14ac:dyDescent="0.25">
      <c r="A13" s="64">
        <v>103</v>
      </c>
      <c r="B13" s="65" t="s">
        <v>130</v>
      </c>
      <c r="C13" s="64" t="str">
        <f t="shared" si="0"/>
        <v>Recepcionista</v>
      </c>
      <c r="D13" s="66">
        <f t="shared" si="1"/>
        <v>650</v>
      </c>
      <c r="F13" s="61"/>
    </row>
    <row r="14" spans="1:14" x14ac:dyDescent="0.25">
      <c r="A14" s="64">
        <v>102</v>
      </c>
      <c r="B14" s="65" t="s">
        <v>131</v>
      </c>
      <c r="C14" s="64" t="str">
        <f t="shared" si="0"/>
        <v>Director</v>
      </c>
      <c r="D14" s="66">
        <f t="shared" si="1"/>
        <v>1500</v>
      </c>
      <c r="F14" s="61"/>
    </row>
    <row r="15" spans="1:14" x14ac:dyDescent="0.25">
      <c r="A15" s="64">
        <v>102</v>
      </c>
      <c r="B15" s="65" t="s">
        <v>132</v>
      </c>
      <c r="C15" s="64" t="str">
        <f t="shared" si="0"/>
        <v>Director</v>
      </c>
      <c r="D15" s="66">
        <f t="shared" si="1"/>
        <v>1500</v>
      </c>
      <c r="F15" s="61"/>
    </row>
    <row r="16" spans="1:14" x14ac:dyDescent="0.25">
      <c r="A16" s="64">
        <v>104</v>
      </c>
      <c r="B16" s="65" t="s">
        <v>133</v>
      </c>
      <c r="C16" s="64" t="str">
        <f t="shared" si="0"/>
        <v>Técnico</v>
      </c>
      <c r="D16" s="66">
        <f t="shared" si="1"/>
        <v>750</v>
      </c>
      <c r="F16" s="61"/>
    </row>
    <row r="17" spans="1:6" x14ac:dyDescent="0.25">
      <c r="A17" s="64">
        <v>101</v>
      </c>
      <c r="B17" s="65" t="s">
        <v>134</v>
      </c>
      <c r="C17" s="64" t="str">
        <f t="shared" si="0"/>
        <v>Chefe de Secção</v>
      </c>
      <c r="D17" s="66">
        <f t="shared" si="1"/>
        <v>1250</v>
      </c>
      <c r="F17" s="61"/>
    </row>
    <row r="18" spans="1:6" x14ac:dyDescent="0.25">
      <c r="A18" s="64">
        <v>102</v>
      </c>
      <c r="B18" s="65" t="s">
        <v>135</v>
      </c>
      <c r="C18" s="64" t="str">
        <f t="shared" si="0"/>
        <v>Director</v>
      </c>
      <c r="D18" s="66">
        <f t="shared" si="1"/>
        <v>1500</v>
      </c>
      <c r="E18" s="61"/>
      <c r="F18" s="61"/>
    </row>
    <row r="19" spans="1:6" x14ac:dyDescent="0.25">
      <c r="A19" s="64">
        <v>102</v>
      </c>
      <c r="B19" s="65" t="s">
        <v>136</v>
      </c>
      <c r="C19" s="64" t="str">
        <f t="shared" si="0"/>
        <v>Director</v>
      </c>
      <c r="D19" s="66">
        <f t="shared" si="1"/>
        <v>1500</v>
      </c>
      <c r="F19" s="61"/>
    </row>
    <row r="20" spans="1:6" x14ac:dyDescent="0.25">
      <c r="A20" s="64">
        <v>103</v>
      </c>
      <c r="B20" s="65" t="s">
        <v>137</v>
      </c>
      <c r="C20" s="64" t="str">
        <f t="shared" si="0"/>
        <v>Recepcionista</v>
      </c>
      <c r="D20" s="66">
        <f t="shared" si="1"/>
        <v>650</v>
      </c>
      <c r="F20" s="61"/>
    </row>
    <row r="21" spans="1:6" x14ac:dyDescent="0.25">
      <c r="A21" s="64">
        <v>105</v>
      </c>
      <c r="B21" s="65" t="s">
        <v>138</v>
      </c>
      <c r="C21" s="64" t="str">
        <f t="shared" si="0"/>
        <v>Administrador</v>
      </c>
      <c r="D21" s="66">
        <f t="shared" si="1"/>
        <v>2100</v>
      </c>
      <c r="F21" s="61"/>
    </row>
    <row r="22" spans="1:6" x14ac:dyDescent="0.25">
      <c r="A22" s="64">
        <v>104</v>
      </c>
      <c r="B22" s="65" t="s">
        <v>139</v>
      </c>
      <c r="C22" s="64" t="str">
        <f t="shared" si="0"/>
        <v>Técnico</v>
      </c>
      <c r="D22" s="66">
        <f t="shared" si="1"/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7D0E-E367-4994-90AC-74AF34FD800A}">
  <dimension ref="B4:L22"/>
  <sheetViews>
    <sheetView topLeftCell="A4" zoomScale="120" zoomScaleNormal="120" workbookViewId="0">
      <selection activeCell="J14" sqref="J14"/>
    </sheetView>
  </sheetViews>
  <sheetFormatPr defaultColWidth="11.42578125" defaultRowHeight="12.75" x14ac:dyDescent="0.25"/>
  <cols>
    <col min="1" max="1" width="2.7109375" style="24" customWidth="1"/>
    <col min="2" max="2" width="16.85546875" style="24" customWidth="1"/>
    <col min="3" max="3" width="18.85546875" style="24" customWidth="1"/>
    <col min="4" max="4" width="4.5703125" style="24" customWidth="1"/>
    <col min="5" max="5" width="11.7109375" style="24" customWidth="1"/>
    <col min="6" max="6" width="9.7109375" style="24" bestFit="1" customWidth="1"/>
    <col min="7" max="7" width="10" style="24" bestFit="1" customWidth="1"/>
    <col min="8" max="8" width="9.7109375" style="24" bestFit="1" customWidth="1"/>
    <col min="9" max="9" width="12.5703125" style="24" customWidth="1"/>
    <col min="10" max="10" width="9.42578125" style="24" customWidth="1"/>
    <col min="11" max="11" width="8" style="24" bestFit="1" customWidth="1"/>
    <col min="12" max="12" width="11.5703125" style="24" customWidth="1"/>
    <col min="13" max="13" width="11.28515625" style="24" customWidth="1"/>
    <col min="14" max="16384" width="11.42578125" style="24"/>
  </cols>
  <sheetData>
    <row r="4" spans="2:12" ht="15" x14ac:dyDescent="0.25">
      <c r="B4" s="31" t="s">
        <v>30</v>
      </c>
      <c r="C4" s="32" t="s">
        <v>57</v>
      </c>
      <c r="E4" s="26" t="s">
        <v>30</v>
      </c>
      <c r="F4" s="26" t="s">
        <v>32</v>
      </c>
      <c r="G4" s="26" t="s">
        <v>2</v>
      </c>
      <c r="H4" s="26" t="s">
        <v>33</v>
      </c>
      <c r="I4" s="26" t="s">
        <v>34</v>
      </c>
      <c r="J4" s="26" t="s">
        <v>35</v>
      </c>
      <c r="K4" s="26" t="s">
        <v>36</v>
      </c>
    </row>
    <row r="5" spans="2:12" ht="15" x14ac:dyDescent="0.25">
      <c r="B5" s="33"/>
      <c r="C5" s="33"/>
      <c r="E5" s="27" t="s">
        <v>37</v>
      </c>
      <c r="F5" s="28">
        <v>2000</v>
      </c>
      <c r="G5" s="29">
        <v>0.1</v>
      </c>
      <c r="H5" s="28">
        <v>1500</v>
      </c>
      <c r="I5" s="30" t="s">
        <v>38</v>
      </c>
      <c r="J5" s="28">
        <v>120</v>
      </c>
      <c r="K5" s="28">
        <v>80</v>
      </c>
      <c r="L5" s="25"/>
    </row>
    <row r="6" spans="2:12" ht="15" x14ac:dyDescent="0.25">
      <c r="B6" s="31" t="s">
        <v>32</v>
      </c>
      <c r="C6" s="34">
        <f>VLOOKUP(C4,E4:K17,2,0)</f>
        <v>2800</v>
      </c>
      <c r="E6" s="30" t="s">
        <v>39</v>
      </c>
      <c r="F6" s="28">
        <v>4000</v>
      </c>
      <c r="G6" s="29">
        <v>0.08</v>
      </c>
      <c r="H6" s="28">
        <v>1500</v>
      </c>
      <c r="I6" s="30" t="s">
        <v>40</v>
      </c>
      <c r="J6" s="28">
        <v>200</v>
      </c>
      <c r="K6" s="28">
        <v>50</v>
      </c>
      <c r="L6" s="25"/>
    </row>
    <row r="7" spans="2:12" ht="15" x14ac:dyDescent="0.25">
      <c r="B7" s="31" t="s">
        <v>41</v>
      </c>
      <c r="C7" s="35">
        <f>VLOOKUP(C4,E4:K17,3,0)</f>
        <v>0.6</v>
      </c>
      <c r="E7" s="30" t="s">
        <v>31</v>
      </c>
      <c r="F7" s="28">
        <v>2500</v>
      </c>
      <c r="G7" s="29">
        <v>0.09</v>
      </c>
      <c r="H7" s="28">
        <v>1000</v>
      </c>
      <c r="I7" s="30" t="s">
        <v>40</v>
      </c>
      <c r="J7" s="28">
        <v>130</v>
      </c>
      <c r="K7" s="28">
        <v>90</v>
      </c>
      <c r="L7" s="25"/>
    </row>
    <row r="8" spans="2:12" ht="15" x14ac:dyDescent="0.25">
      <c r="B8" s="31" t="s">
        <v>42</v>
      </c>
      <c r="C8" s="36">
        <f>C6*C7</f>
        <v>1680</v>
      </c>
      <c r="E8" s="30" t="s">
        <v>43</v>
      </c>
      <c r="F8" s="28">
        <v>3500</v>
      </c>
      <c r="G8" s="29">
        <v>0.09</v>
      </c>
      <c r="H8" s="28">
        <v>900</v>
      </c>
      <c r="I8" s="30" t="s">
        <v>40</v>
      </c>
      <c r="J8" s="28">
        <v>150</v>
      </c>
      <c r="K8" s="28">
        <v>56</v>
      </c>
      <c r="L8" s="25"/>
    </row>
    <row r="9" spans="2:12" ht="15" x14ac:dyDescent="0.25">
      <c r="B9" s="31" t="s">
        <v>44</v>
      </c>
      <c r="C9" s="36">
        <f>VLOOKUP(C4,E4:K17,4,0)</f>
        <v>1300</v>
      </c>
      <c r="E9" s="30" t="s">
        <v>45</v>
      </c>
      <c r="F9" s="28">
        <v>5000</v>
      </c>
      <c r="G9" s="29">
        <v>0.06</v>
      </c>
      <c r="H9" s="28">
        <v>1200</v>
      </c>
      <c r="I9" s="30" t="s">
        <v>38</v>
      </c>
      <c r="J9" s="28">
        <v>230</v>
      </c>
      <c r="K9" s="28">
        <v>26</v>
      </c>
      <c r="L9" s="25"/>
    </row>
    <row r="10" spans="2:12" ht="15" x14ac:dyDescent="0.25">
      <c r="B10" s="31" t="s">
        <v>46</v>
      </c>
      <c r="C10" s="36">
        <f>SUM(C8:C9)</f>
        <v>2980</v>
      </c>
      <c r="E10" s="30" t="s">
        <v>47</v>
      </c>
      <c r="F10" s="28">
        <v>4000</v>
      </c>
      <c r="G10" s="29">
        <v>0.5</v>
      </c>
      <c r="H10" s="28">
        <v>1100</v>
      </c>
      <c r="I10" s="30" t="s">
        <v>38</v>
      </c>
      <c r="J10" s="28">
        <v>251</v>
      </c>
      <c r="K10" s="28">
        <v>35</v>
      </c>
      <c r="L10" s="25"/>
    </row>
    <row r="11" spans="2:12" ht="15" x14ac:dyDescent="0.25">
      <c r="B11" s="33"/>
      <c r="C11" s="37"/>
      <c r="E11" s="30" t="s">
        <v>48</v>
      </c>
      <c r="F11" s="28">
        <v>2300</v>
      </c>
      <c r="G11" s="29">
        <v>0.7</v>
      </c>
      <c r="H11" s="28">
        <v>1200</v>
      </c>
      <c r="I11" s="30" t="s">
        <v>38</v>
      </c>
      <c r="J11" s="28">
        <v>120</v>
      </c>
      <c r="K11" s="28">
        <v>89</v>
      </c>
      <c r="L11" s="25"/>
    </row>
    <row r="12" spans="2:12" ht="15" x14ac:dyDescent="0.25">
      <c r="B12" s="31" t="s">
        <v>34</v>
      </c>
      <c r="C12" s="38"/>
      <c r="E12" s="30" t="s">
        <v>49</v>
      </c>
      <c r="F12" s="28">
        <v>4500</v>
      </c>
      <c r="G12" s="29">
        <v>0.5</v>
      </c>
      <c r="H12" s="28">
        <v>1400</v>
      </c>
      <c r="I12" s="30" t="s">
        <v>50</v>
      </c>
      <c r="J12" s="28">
        <v>145</v>
      </c>
      <c r="K12" s="28">
        <v>56</v>
      </c>
      <c r="L12" s="25"/>
    </row>
    <row r="13" spans="2:12" ht="15" x14ac:dyDescent="0.25">
      <c r="B13" s="33"/>
      <c r="C13" s="37"/>
      <c r="E13" s="30" t="s">
        <v>51</v>
      </c>
      <c r="F13" s="28">
        <v>1520</v>
      </c>
      <c r="G13" s="29">
        <v>0.4</v>
      </c>
      <c r="H13" s="28">
        <v>1200</v>
      </c>
      <c r="I13" s="30" t="s">
        <v>50</v>
      </c>
      <c r="J13" s="28">
        <v>132</v>
      </c>
      <c r="K13" s="28">
        <v>15</v>
      </c>
      <c r="L13" s="25"/>
    </row>
    <row r="14" spans="2:12" ht="15" x14ac:dyDescent="0.25">
      <c r="B14" s="39" t="s">
        <v>52</v>
      </c>
      <c r="C14" s="37"/>
      <c r="E14" s="30" t="s">
        <v>53</v>
      </c>
      <c r="F14" s="28">
        <v>5500</v>
      </c>
      <c r="G14" s="29">
        <v>0.1</v>
      </c>
      <c r="H14" s="28">
        <v>1600</v>
      </c>
      <c r="I14" s="30" t="s">
        <v>50</v>
      </c>
      <c r="J14" s="28">
        <v>180</v>
      </c>
      <c r="K14" s="28">
        <v>65</v>
      </c>
      <c r="L14" s="25"/>
    </row>
    <row r="15" spans="2:12" ht="15" x14ac:dyDescent="0.25">
      <c r="B15" s="31" t="s">
        <v>54</v>
      </c>
      <c r="C15" s="36"/>
      <c r="E15" s="30" t="s">
        <v>55</v>
      </c>
      <c r="F15" s="28">
        <v>2354</v>
      </c>
      <c r="G15" s="29">
        <v>0.55000000000000004</v>
      </c>
      <c r="H15" s="28">
        <v>1500</v>
      </c>
      <c r="I15" s="30" t="s">
        <v>38</v>
      </c>
      <c r="J15" s="28">
        <v>154</v>
      </c>
      <c r="K15" s="28">
        <v>46</v>
      </c>
      <c r="L15" s="25"/>
    </row>
    <row r="16" spans="2:12" ht="15" x14ac:dyDescent="0.25">
      <c r="B16" s="31" t="s">
        <v>56</v>
      </c>
      <c r="C16" s="36"/>
      <c r="E16" s="27" t="s">
        <v>57</v>
      </c>
      <c r="F16" s="28">
        <v>2800</v>
      </c>
      <c r="G16" s="29">
        <v>0.6</v>
      </c>
      <c r="H16" s="28">
        <v>1300</v>
      </c>
      <c r="I16" s="30" t="s">
        <v>38</v>
      </c>
      <c r="J16" s="28">
        <v>150</v>
      </c>
      <c r="K16" s="28">
        <v>23</v>
      </c>
      <c r="L16" s="25"/>
    </row>
    <row r="17" spans="2:12" ht="15" x14ac:dyDescent="0.25">
      <c r="B17" s="31" t="s">
        <v>58</v>
      </c>
      <c r="C17" s="36"/>
      <c r="E17" s="27" t="s">
        <v>59</v>
      </c>
      <c r="F17" s="28">
        <v>2900</v>
      </c>
      <c r="G17" s="29">
        <v>0.5</v>
      </c>
      <c r="H17" s="28">
        <v>850</v>
      </c>
      <c r="I17" s="28" t="s">
        <v>40</v>
      </c>
      <c r="J17" s="28">
        <v>160</v>
      </c>
      <c r="K17" s="28">
        <v>15</v>
      </c>
      <c r="L17" s="25"/>
    </row>
    <row r="22" spans="2:12" ht="15" x14ac:dyDescent="0.25">
      <c r="B22" t="s">
        <v>140</v>
      </c>
    </row>
  </sheetData>
  <dataValidations count="2">
    <dataValidation type="list" allowBlank="1" showInputMessage="1" showErrorMessage="1" sqref="C4" xr:uid="{D5110CCA-FEAC-4538-9161-737A32850D68}">
      <formula1>$E$5:$E$17</formula1>
    </dataValidation>
    <dataValidation type="list" allowBlank="1" showInputMessage="1" showErrorMessage="1" sqref="C12" xr:uid="{BF3094B6-6BFF-4095-9683-5E086EEC0A30}">
      <formula1>$I$5:$I$17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6CD7-A830-40BD-8471-56F6811E27D5}">
  <dimension ref="A1:Q26"/>
  <sheetViews>
    <sheetView tabSelected="1" zoomScaleNormal="100" workbookViewId="0">
      <selection activeCell="H9" sqref="H9"/>
    </sheetView>
  </sheetViews>
  <sheetFormatPr defaultRowHeight="15" x14ac:dyDescent="0.25"/>
  <cols>
    <col min="1" max="1" width="14" customWidth="1"/>
    <col min="2" max="2" width="10.42578125" style="23" customWidth="1"/>
    <col min="3" max="3" width="11.7109375" customWidth="1"/>
    <col min="4" max="4" width="13.28515625" customWidth="1"/>
    <col min="5" max="5" width="11.28515625" customWidth="1"/>
    <col min="6" max="6" width="14.7109375" customWidth="1"/>
    <col min="7" max="7" width="11.5703125" style="23" bestFit="1" customWidth="1"/>
    <col min="8" max="8" width="12.28515625" style="23" bestFit="1" customWidth="1"/>
    <col min="9" max="9" width="13.140625" customWidth="1"/>
    <col min="10" max="10" width="10.85546875" customWidth="1"/>
    <col min="12" max="12" width="14.7109375" customWidth="1"/>
    <col min="13" max="13" width="5.28515625" customWidth="1"/>
  </cols>
  <sheetData>
    <row r="1" spans="1:17" x14ac:dyDescent="0.25">
      <c r="A1" s="1" t="s">
        <v>0</v>
      </c>
      <c r="B1" s="2" t="s">
        <v>1</v>
      </c>
      <c r="C1" s="2" t="s">
        <v>2</v>
      </c>
      <c r="F1" s="3" t="s">
        <v>3</v>
      </c>
      <c r="G1" s="3" t="s">
        <v>4</v>
      </c>
      <c r="H1" s="3" t="s">
        <v>5</v>
      </c>
      <c r="K1" s="4" t="s">
        <v>3</v>
      </c>
      <c r="L1" s="5" t="s">
        <v>6</v>
      </c>
    </row>
    <row r="2" spans="1:17" x14ac:dyDescent="0.25">
      <c r="A2" s="6" t="s">
        <v>7</v>
      </c>
      <c r="B2" s="7" t="s">
        <v>8</v>
      </c>
      <c r="C2" s="8">
        <v>0.05</v>
      </c>
      <c r="F2" s="9">
        <v>2</v>
      </c>
      <c r="G2" s="9" t="s">
        <v>9</v>
      </c>
      <c r="H2" s="10">
        <v>12000</v>
      </c>
      <c r="K2" s="11">
        <v>10</v>
      </c>
      <c r="L2" s="12" t="s">
        <v>10</v>
      </c>
    </row>
    <row r="3" spans="1:17" x14ac:dyDescent="0.25">
      <c r="A3" s="6" t="s">
        <v>11</v>
      </c>
      <c r="B3" s="7" t="s">
        <v>12</v>
      </c>
      <c r="C3" s="8">
        <v>0.06</v>
      </c>
      <c r="F3" s="9">
        <v>4</v>
      </c>
      <c r="G3" s="9" t="s">
        <v>13</v>
      </c>
      <c r="H3" s="10">
        <v>10000</v>
      </c>
      <c r="K3" s="11">
        <v>20</v>
      </c>
      <c r="L3" s="12" t="s">
        <v>14</v>
      </c>
    </row>
    <row r="4" spans="1:17" x14ac:dyDescent="0.25">
      <c r="A4" s="13" t="s">
        <v>15</v>
      </c>
      <c r="B4" s="7" t="s">
        <v>16</v>
      </c>
      <c r="C4" s="8">
        <v>7.0000000000000007E-2</v>
      </c>
      <c r="F4" s="9">
        <v>6</v>
      </c>
      <c r="G4" s="9" t="s">
        <v>17</v>
      </c>
      <c r="H4" s="10">
        <v>15000</v>
      </c>
    </row>
    <row r="5" spans="1:17" x14ac:dyDescent="0.25">
      <c r="A5" s="6" t="s">
        <v>18</v>
      </c>
      <c r="B5" s="7" t="s">
        <v>19</v>
      </c>
      <c r="C5" s="8">
        <v>0.05</v>
      </c>
      <c r="F5" s="9">
        <v>8</v>
      </c>
      <c r="G5" s="14" t="s">
        <v>20</v>
      </c>
      <c r="H5" s="10">
        <v>11000</v>
      </c>
    </row>
    <row r="7" spans="1:17" x14ac:dyDescent="0.25">
      <c r="M7" s="76" t="s">
        <v>144</v>
      </c>
      <c r="N7" s="76"/>
      <c r="O7" s="76"/>
      <c r="P7" s="76"/>
      <c r="Q7" s="76"/>
    </row>
    <row r="8" spans="1:17" x14ac:dyDescent="0.25">
      <c r="A8" s="15" t="s">
        <v>21</v>
      </c>
      <c r="B8" s="15" t="s">
        <v>3</v>
      </c>
      <c r="C8" s="15" t="s">
        <v>22</v>
      </c>
      <c r="D8" s="15" t="s">
        <v>23</v>
      </c>
      <c r="E8" s="15" t="s">
        <v>4</v>
      </c>
      <c r="F8" s="15" t="s">
        <v>24</v>
      </c>
      <c r="G8" s="15" t="s">
        <v>25</v>
      </c>
      <c r="H8" s="15" t="s">
        <v>0</v>
      </c>
      <c r="I8" s="15" t="s">
        <v>1</v>
      </c>
      <c r="J8" s="15" t="s">
        <v>2</v>
      </c>
      <c r="K8" s="15" t="s">
        <v>26</v>
      </c>
      <c r="L8" s="15" t="s">
        <v>6</v>
      </c>
    </row>
    <row r="9" spans="1:17" x14ac:dyDescent="0.25">
      <c r="A9" s="16">
        <v>44367</v>
      </c>
      <c r="B9" s="17">
        <v>2</v>
      </c>
      <c r="C9" s="17">
        <v>502</v>
      </c>
      <c r="D9" s="18" t="str">
        <f>_xlfn.CONCAT(B9,"/",C9)</f>
        <v>2/502</v>
      </c>
      <c r="E9" s="9" t="str">
        <f t="shared" ref="E9:E26" si="0">VLOOKUP(B9,projetos,2,0)</f>
        <v>EY GAM</v>
      </c>
      <c r="F9" s="10">
        <f t="shared" ref="F9:F26" si="1">VLOOKUP(B9,projetos,3,0)</f>
        <v>12000</v>
      </c>
      <c r="G9" s="17">
        <v>3</v>
      </c>
      <c r="H9" s="7" t="s">
        <v>7</v>
      </c>
      <c r="I9" s="7" t="str">
        <f t="shared" ref="I9:I26" si="2">VLOOKUP(H9,gestores,2,0)</f>
        <v>Silvio</v>
      </c>
      <c r="J9" s="19">
        <f t="shared" ref="J9:J26" si="3">VLOOKUP(H9,gestores,3,0)</f>
        <v>0.05</v>
      </c>
      <c r="K9" s="12">
        <v>20</v>
      </c>
      <c r="L9" s="11" t="str">
        <f>IF(K9&gt;0,VLOOKUP(K9,Manoel,2,0),"")</f>
        <v>Em andamento</v>
      </c>
    </row>
    <row r="10" spans="1:17" x14ac:dyDescent="0.25">
      <c r="A10" s="16">
        <v>44367</v>
      </c>
      <c r="B10" s="17">
        <v>2</v>
      </c>
      <c r="C10" s="17">
        <v>503</v>
      </c>
      <c r="D10" s="18" t="str">
        <f t="shared" ref="D10:D26" si="4">_xlfn.CONCAT(B10,"/",C10)</f>
        <v>2/503</v>
      </c>
      <c r="E10" s="9" t="str">
        <f t="shared" si="0"/>
        <v>EY GAM</v>
      </c>
      <c r="F10" s="10">
        <f t="shared" si="1"/>
        <v>12000</v>
      </c>
      <c r="G10" s="17">
        <v>2</v>
      </c>
      <c r="H10" s="7" t="s">
        <v>11</v>
      </c>
      <c r="I10" s="7" t="str">
        <f t="shared" si="2"/>
        <v>Amanda</v>
      </c>
      <c r="J10" s="19">
        <f t="shared" si="3"/>
        <v>0.06</v>
      </c>
      <c r="K10" s="12">
        <v>10</v>
      </c>
      <c r="L10" s="11" t="str">
        <f>IF(K10&gt;0,VLOOKUP(K10,Manoel,2,0),"")</f>
        <v>Em estudo</v>
      </c>
    </row>
    <row r="11" spans="1:17" x14ac:dyDescent="0.25">
      <c r="A11" s="16">
        <v>44367</v>
      </c>
      <c r="B11" s="17">
        <v>2</v>
      </c>
      <c r="C11" s="17">
        <v>504</v>
      </c>
      <c r="D11" s="18" t="str">
        <f t="shared" si="4"/>
        <v>2/504</v>
      </c>
      <c r="E11" s="9" t="str">
        <f t="shared" si="0"/>
        <v>EY GAM</v>
      </c>
      <c r="F11" s="10">
        <f t="shared" si="1"/>
        <v>12000</v>
      </c>
      <c r="G11" s="17">
        <v>5</v>
      </c>
      <c r="H11" s="20" t="s">
        <v>15</v>
      </c>
      <c r="I11" s="7" t="str">
        <f t="shared" si="2"/>
        <v>Sandra</v>
      </c>
      <c r="J11" s="19">
        <f t="shared" si="3"/>
        <v>7.0000000000000007E-2</v>
      </c>
      <c r="K11" s="12">
        <v>20</v>
      </c>
      <c r="L11" s="11" t="str">
        <f>IF(K11&gt;0,VLOOKUP(K11,Manoel,2,0),"")</f>
        <v>Em andamento</v>
      </c>
      <c r="N11" s="21" t="s">
        <v>27</v>
      </c>
    </row>
    <row r="12" spans="1:17" x14ac:dyDescent="0.25">
      <c r="A12" s="16">
        <v>44369</v>
      </c>
      <c r="B12" s="17">
        <v>8</v>
      </c>
      <c r="C12" s="17">
        <v>401</v>
      </c>
      <c r="D12" s="18" t="str">
        <f t="shared" si="4"/>
        <v>8/401</v>
      </c>
      <c r="E12" s="9" t="str">
        <f t="shared" si="0"/>
        <v>BRET</v>
      </c>
      <c r="F12" s="10">
        <f t="shared" si="1"/>
        <v>11000</v>
      </c>
      <c r="G12" s="17">
        <v>4</v>
      </c>
      <c r="H12" s="7" t="s">
        <v>18</v>
      </c>
      <c r="I12" s="7" t="str">
        <f t="shared" si="2"/>
        <v>Paulo</v>
      </c>
      <c r="J12" s="19">
        <f t="shared" si="3"/>
        <v>0.05</v>
      </c>
      <c r="K12" s="12">
        <v>10</v>
      </c>
      <c r="L12" s="11" t="str">
        <f>IF(K12&gt;0,VLOOKUP(K12,Manoel,2,0),"")</f>
        <v>Em estudo</v>
      </c>
      <c r="N12" s="22" t="s">
        <v>28</v>
      </c>
    </row>
    <row r="13" spans="1:17" x14ac:dyDescent="0.25">
      <c r="A13" s="16">
        <v>44369</v>
      </c>
      <c r="B13" s="17">
        <v>8</v>
      </c>
      <c r="C13" s="17">
        <v>402</v>
      </c>
      <c r="D13" s="18" t="str">
        <f t="shared" si="4"/>
        <v>8/402</v>
      </c>
      <c r="E13" s="9" t="str">
        <f t="shared" si="0"/>
        <v>BRET</v>
      </c>
      <c r="F13" s="10">
        <f t="shared" si="1"/>
        <v>11000</v>
      </c>
      <c r="G13" s="17">
        <v>3</v>
      </c>
      <c r="H13" s="7" t="s">
        <v>7</v>
      </c>
      <c r="I13" s="7" t="str">
        <f t="shared" si="2"/>
        <v>Silvio</v>
      </c>
      <c r="J13" s="19">
        <f t="shared" si="3"/>
        <v>0.05</v>
      </c>
      <c r="K13" s="12"/>
      <c r="L13" s="11" t="str">
        <f>IF(K13&gt;0,VLOOKUP(K13,Manoel,2,0),"")</f>
        <v/>
      </c>
      <c r="N13" s="22" t="s">
        <v>29</v>
      </c>
    </row>
    <row r="14" spans="1:17" x14ac:dyDescent="0.25">
      <c r="A14" s="16">
        <v>44369</v>
      </c>
      <c r="B14" s="17">
        <v>8</v>
      </c>
      <c r="C14" s="17">
        <v>403</v>
      </c>
      <c r="D14" s="18" t="str">
        <f t="shared" si="4"/>
        <v>8/403</v>
      </c>
      <c r="E14" s="9" t="str">
        <f t="shared" si="0"/>
        <v>BRET</v>
      </c>
      <c r="F14" s="10">
        <f t="shared" si="1"/>
        <v>11000</v>
      </c>
      <c r="G14" s="17">
        <v>10</v>
      </c>
      <c r="H14" s="7" t="s">
        <v>11</v>
      </c>
      <c r="I14" s="7" t="str">
        <f t="shared" si="2"/>
        <v>Amanda</v>
      </c>
      <c r="J14" s="19">
        <f t="shared" si="3"/>
        <v>0.06</v>
      </c>
      <c r="K14" s="12"/>
      <c r="L14" s="11" t="str">
        <f>IF(K14&gt;0,VLOOKUP(K14,Manoel,2,0),"")</f>
        <v/>
      </c>
    </row>
    <row r="15" spans="1:17" x14ac:dyDescent="0.25">
      <c r="A15" s="16">
        <v>44369</v>
      </c>
      <c r="B15" s="17">
        <v>8</v>
      </c>
      <c r="C15" s="17">
        <v>404</v>
      </c>
      <c r="D15" s="18" t="str">
        <f t="shared" si="4"/>
        <v>8/404</v>
      </c>
      <c r="E15" s="9" t="str">
        <f t="shared" si="0"/>
        <v>BRET</v>
      </c>
      <c r="F15" s="10">
        <f t="shared" si="1"/>
        <v>11000</v>
      </c>
      <c r="G15" s="17">
        <v>15</v>
      </c>
      <c r="H15" s="20" t="s">
        <v>15</v>
      </c>
      <c r="I15" s="7" t="str">
        <f t="shared" si="2"/>
        <v>Sandra</v>
      </c>
      <c r="J15" s="19">
        <f t="shared" si="3"/>
        <v>7.0000000000000007E-2</v>
      </c>
      <c r="K15" s="12"/>
      <c r="L15" s="11" t="str">
        <f>IF(K15&gt;0,VLOOKUP(K15,Manoel,2,0),"")</f>
        <v/>
      </c>
    </row>
    <row r="16" spans="1:17" x14ac:dyDescent="0.25">
      <c r="A16" s="16">
        <v>44367</v>
      </c>
      <c r="B16" s="17">
        <v>6</v>
      </c>
      <c r="C16" s="17">
        <v>701</v>
      </c>
      <c r="D16" s="18" t="str">
        <f t="shared" si="4"/>
        <v>6/701</v>
      </c>
      <c r="E16" s="9" t="str">
        <f t="shared" si="0"/>
        <v>GMS</v>
      </c>
      <c r="F16" s="10">
        <f t="shared" si="1"/>
        <v>15000</v>
      </c>
      <c r="G16" s="17">
        <v>50</v>
      </c>
      <c r="H16" s="7" t="s">
        <v>18</v>
      </c>
      <c r="I16" s="7" t="str">
        <f t="shared" si="2"/>
        <v>Paulo</v>
      </c>
      <c r="J16" s="19">
        <f t="shared" si="3"/>
        <v>0.05</v>
      </c>
      <c r="K16" s="12"/>
      <c r="L16" s="11" t="str">
        <f>IF(K16&gt;0,VLOOKUP(K16,Manoel,2,0),"")</f>
        <v/>
      </c>
      <c r="N16" t="s">
        <v>142</v>
      </c>
    </row>
    <row r="17" spans="1:12" x14ac:dyDescent="0.25">
      <c r="A17" s="16">
        <v>44367</v>
      </c>
      <c r="B17" s="17">
        <v>6</v>
      </c>
      <c r="C17" s="17">
        <v>702</v>
      </c>
      <c r="D17" s="18" t="str">
        <f t="shared" si="4"/>
        <v>6/702</v>
      </c>
      <c r="E17" s="9" t="str">
        <f t="shared" si="0"/>
        <v>GMS</v>
      </c>
      <c r="F17" s="10">
        <f t="shared" si="1"/>
        <v>15000</v>
      </c>
      <c r="G17" s="17">
        <v>10</v>
      </c>
      <c r="H17" s="7" t="s">
        <v>7</v>
      </c>
      <c r="I17" s="7" t="str">
        <f t="shared" si="2"/>
        <v>Silvio</v>
      </c>
      <c r="J17" s="19">
        <f t="shared" si="3"/>
        <v>0.05</v>
      </c>
      <c r="K17" s="12"/>
      <c r="L17" s="11" t="str">
        <f>IF(K17&gt;0,VLOOKUP(K17,Manoel,2,0),"")</f>
        <v/>
      </c>
    </row>
    <row r="18" spans="1:12" x14ac:dyDescent="0.25">
      <c r="A18" s="16">
        <v>44367</v>
      </c>
      <c r="B18" s="17">
        <v>4</v>
      </c>
      <c r="C18" s="17">
        <v>601</v>
      </c>
      <c r="D18" s="18" t="str">
        <f t="shared" si="4"/>
        <v>4/601</v>
      </c>
      <c r="E18" s="9" t="str">
        <f t="shared" si="0"/>
        <v>GIS</v>
      </c>
      <c r="F18" s="10">
        <f t="shared" si="1"/>
        <v>10000</v>
      </c>
      <c r="G18" s="17">
        <v>8</v>
      </c>
      <c r="H18" s="7" t="s">
        <v>11</v>
      </c>
      <c r="I18" s="7" t="str">
        <f t="shared" si="2"/>
        <v>Amanda</v>
      </c>
      <c r="J18" s="19">
        <f t="shared" si="3"/>
        <v>0.06</v>
      </c>
      <c r="K18" s="12"/>
      <c r="L18" s="11" t="str">
        <f>IF(K18&gt;0,VLOOKUP(K18,Manoel,2,0),"")</f>
        <v/>
      </c>
    </row>
    <row r="19" spans="1:12" x14ac:dyDescent="0.25">
      <c r="A19" s="16">
        <v>44370</v>
      </c>
      <c r="B19" s="17">
        <v>2</v>
      </c>
      <c r="C19" s="17">
        <v>505</v>
      </c>
      <c r="D19" s="18" t="str">
        <f t="shared" si="4"/>
        <v>2/505</v>
      </c>
      <c r="E19" s="9" t="str">
        <f t="shared" si="0"/>
        <v>EY GAM</v>
      </c>
      <c r="F19" s="10">
        <f t="shared" si="1"/>
        <v>12000</v>
      </c>
      <c r="G19" s="17">
        <v>7</v>
      </c>
      <c r="H19" s="20" t="s">
        <v>15</v>
      </c>
      <c r="I19" s="7" t="str">
        <f t="shared" si="2"/>
        <v>Sandra</v>
      </c>
      <c r="J19" s="19">
        <f t="shared" si="3"/>
        <v>7.0000000000000007E-2</v>
      </c>
      <c r="K19" s="12"/>
      <c r="L19" s="11" t="str">
        <f>IF(K19&gt;0,VLOOKUP(K19,Manoel,2,0),"")</f>
        <v/>
      </c>
    </row>
    <row r="20" spans="1:12" x14ac:dyDescent="0.25">
      <c r="A20" s="16">
        <v>44370</v>
      </c>
      <c r="B20" s="17">
        <v>8</v>
      </c>
      <c r="C20" s="17">
        <v>405</v>
      </c>
      <c r="D20" s="18" t="str">
        <f t="shared" si="4"/>
        <v>8/405</v>
      </c>
      <c r="E20" s="9" t="str">
        <f t="shared" si="0"/>
        <v>BRET</v>
      </c>
      <c r="F20" s="10">
        <f t="shared" si="1"/>
        <v>11000</v>
      </c>
      <c r="G20" s="17">
        <v>9</v>
      </c>
      <c r="H20" s="7" t="s">
        <v>18</v>
      </c>
      <c r="I20" s="7" t="str">
        <f t="shared" si="2"/>
        <v>Paulo</v>
      </c>
      <c r="J20" s="19">
        <f t="shared" si="3"/>
        <v>0.05</v>
      </c>
      <c r="K20" s="12"/>
      <c r="L20" s="11" t="str">
        <f>IF(K20&gt;0,VLOOKUP(K20,Manoel,2,0),"")</f>
        <v/>
      </c>
    </row>
    <row r="21" spans="1:12" x14ac:dyDescent="0.25">
      <c r="A21" s="16">
        <v>44370</v>
      </c>
      <c r="B21" s="17">
        <v>2</v>
      </c>
      <c r="C21" s="17">
        <v>506</v>
      </c>
      <c r="D21" s="18" t="str">
        <f t="shared" si="4"/>
        <v>2/506</v>
      </c>
      <c r="E21" s="9" t="str">
        <f t="shared" si="0"/>
        <v>EY GAM</v>
      </c>
      <c r="F21" s="10">
        <f t="shared" si="1"/>
        <v>12000</v>
      </c>
      <c r="G21" s="17">
        <v>4</v>
      </c>
      <c r="H21" s="7" t="s">
        <v>7</v>
      </c>
      <c r="I21" s="7" t="str">
        <f t="shared" si="2"/>
        <v>Silvio</v>
      </c>
      <c r="J21" s="19">
        <f t="shared" si="3"/>
        <v>0.05</v>
      </c>
      <c r="K21" s="12"/>
      <c r="L21" s="11" t="str">
        <f>IF(K21&gt;0,VLOOKUP(K21,Manoel,2,0),"")</f>
        <v/>
      </c>
    </row>
    <row r="22" spans="1:12" x14ac:dyDescent="0.25">
      <c r="A22" s="16">
        <v>44371</v>
      </c>
      <c r="B22" s="17">
        <v>2</v>
      </c>
      <c r="C22" s="17">
        <v>507</v>
      </c>
      <c r="D22" s="18" t="str">
        <f t="shared" si="4"/>
        <v>2/507</v>
      </c>
      <c r="E22" s="9" t="str">
        <f t="shared" si="0"/>
        <v>EY GAM</v>
      </c>
      <c r="F22" s="10">
        <f t="shared" si="1"/>
        <v>12000</v>
      </c>
      <c r="G22" s="17">
        <v>6</v>
      </c>
      <c r="H22" s="7" t="s">
        <v>11</v>
      </c>
      <c r="I22" s="7" t="str">
        <f t="shared" si="2"/>
        <v>Amanda</v>
      </c>
      <c r="J22" s="19">
        <f t="shared" si="3"/>
        <v>0.06</v>
      </c>
      <c r="K22" s="12"/>
      <c r="L22" s="11" t="str">
        <f>IF(K22&gt;0,VLOOKUP(K22,Manoel,2,0),"")</f>
        <v/>
      </c>
    </row>
    <row r="23" spans="1:12" x14ac:dyDescent="0.25">
      <c r="A23" s="16">
        <v>44371</v>
      </c>
      <c r="B23" s="17">
        <v>4</v>
      </c>
      <c r="C23" s="17">
        <v>602</v>
      </c>
      <c r="D23" s="18" t="str">
        <f t="shared" si="4"/>
        <v>4/602</v>
      </c>
      <c r="E23" s="9" t="str">
        <f t="shared" si="0"/>
        <v>GIS</v>
      </c>
      <c r="F23" s="10">
        <f t="shared" si="1"/>
        <v>10000</v>
      </c>
      <c r="G23" s="17">
        <v>4</v>
      </c>
      <c r="H23" s="20" t="s">
        <v>15</v>
      </c>
      <c r="I23" s="7" t="str">
        <f t="shared" si="2"/>
        <v>Sandra</v>
      </c>
      <c r="J23" s="19">
        <f t="shared" si="3"/>
        <v>7.0000000000000007E-2</v>
      </c>
      <c r="K23" s="12"/>
      <c r="L23" s="11" t="str">
        <f>IF(K23&gt;0,VLOOKUP(K23,Manoel,2,0),"")</f>
        <v/>
      </c>
    </row>
    <row r="24" spans="1:12" x14ac:dyDescent="0.25">
      <c r="A24" s="16">
        <v>44371</v>
      </c>
      <c r="B24" s="17">
        <v>4</v>
      </c>
      <c r="C24" s="17">
        <v>603</v>
      </c>
      <c r="D24" s="18" t="str">
        <f t="shared" si="4"/>
        <v>4/603</v>
      </c>
      <c r="E24" s="9" t="str">
        <f t="shared" si="0"/>
        <v>GIS</v>
      </c>
      <c r="F24" s="10">
        <f t="shared" si="1"/>
        <v>10000</v>
      </c>
      <c r="G24" s="17">
        <v>7</v>
      </c>
      <c r="H24" s="7" t="s">
        <v>18</v>
      </c>
      <c r="I24" s="7" t="str">
        <f t="shared" si="2"/>
        <v>Paulo</v>
      </c>
      <c r="J24" s="19">
        <f t="shared" si="3"/>
        <v>0.05</v>
      </c>
      <c r="K24" s="12"/>
      <c r="L24" s="11" t="str">
        <f>IF(K24&gt;0,VLOOKUP(K24,Manoel,2,0),"")</f>
        <v/>
      </c>
    </row>
    <row r="25" spans="1:12" x14ac:dyDescent="0.25">
      <c r="A25" s="16">
        <v>44371</v>
      </c>
      <c r="B25" s="17">
        <v>8</v>
      </c>
      <c r="C25" s="17">
        <v>406</v>
      </c>
      <c r="D25" s="18" t="str">
        <f t="shared" si="4"/>
        <v>8/406</v>
      </c>
      <c r="E25" s="9" t="str">
        <f t="shared" si="0"/>
        <v>BRET</v>
      </c>
      <c r="F25" s="10">
        <f t="shared" si="1"/>
        <v>11000</v>
      </c>
      <c r="G25" s="17">
        <v>3</v>
      </c>
      <c r="H25" s="20" t="s">
        <v>15</v>
      </c>
      <c r="I25" s="7" t="str">
        <f t="shared" si="2"/>
        <v>Sandra</v>
      </c>
      <c r="J25" s="19">
        <f t="shared" si="3"/>
        <v>7.0000000000000007E-2</v>
      </c>
      <c r="K25" s="12"/>
      <c r="L25" s="11" t="str">
        <f>IF(K25&gt;0,VLOOKUP(K25,Manoel,2,0),"")</f>
        <v/>
      </c>
    </row>
    <row r="26" spans="1:12" x14ac:dyDescent="0.25">
      <c r="A26" s="16">
        <v>44371</v>
      </c>
      <c r="B26" s="17">
        <v>8</v>
      </c>
      <c r="C26" s="17">
        <v>407</v>
      </c>
      <c r="D26" s="18" t="str">
        <f t="shared" si="4"/>
        <v>8/407</v>
      </c>
      <c r="E26" s="9" t="str">
        <f t="shared" si="0"/>
        <v>BRET</v>
      </c>
      <c r="F26" s="10">
        <f t="shared" si="1"/>
        <v>11000</v>
      </c>
      <c r="G26" s="17">
        <v>2</v>
      </c>
      <c r="H26" s="7" t="s">
        <v>18</v>
      </c>
      <c r="I26" s="7" t="str">
        <f t="shared" si="2"/>
        <v>Paulo</v>
      </c>
      <c r="J26" s="19">
        <f t="shared" si="3"/>
        <v>0.05</v>
      </c>
      <c r="K26" s="12"/>
      <c r="L26" s="11" t="str">
        <f>IF(K26&gt;0,VLOOKUP(K26,Manoel,2,0),"")</f>
        <v/>
      </c>
    </row>
  </sheetData>
  <mergeCells count="1">
    <mergeCell ref="M7:Q7"/>
  </mergeCells>
  <dataValidations count="2">
    <dataValidation type="list" allowBlank="1" showInputMessage="1" showErrorMessage="1" sqref="K9:K26" xr:uid="{CA4E303F-F381-4A32-A98E-A3C3CE0AE666}">
      <formula1>$K$2:$K$3</formula1>
    </dataValidation>
    <dataValidation type="list" allowBlank="1" showInputMessage="1" showErrorMessage="1" sqref="H9:H26" xr:uid="{DF432C2C-C2A5-454C-831F-AA38B0D0F24C}">
      <formula1>$A$2:$A$5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6ECCB0-0A52-433C-81A3-23554BDAB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285CE7-5AF4-4DC5-B4A6-F8B9443DE5E2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3.xml><?xml version="1.0" encoding="utf-8"?>
<ds:datastoreItem xmlns:ds="http://schemas.openxmlformats.org/officeDocument/2006/customXml" ds:itemID="{D80950B9-59C4-46ED-8579-AADA9F9F10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4</vt:i4>
      </vt:variant>
    </vt:vector>
  </HeadingPairs>
  <TitlesOfParts>
    <vt:vector size="8" baseType="lpstr">
      <vt:lpstr>Ex1Lookup</vt:lpstr>
      <vt:lpstr>ExHLookup</vt:lpstr>
      <vt:lpstr>Ex2</vt:lpstr>
      <vt:lpstr>Ex3</vt:lpstr>
      <vt:lpstr>gestores</vt:lpstr>
      <vt:lpstr>Manoel</vt:lpstr>
      <vt:lpstr>projetos</vt:lpstr>
      <vt:lpstr>situacao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MANOEL BARATA</cp:lastModifiedBy>
  <dcterms:created xsi:type="dcterms:W3CDTF">2021-12-15T13:57:35Z</dcterms:created>
  <dcterms:modified xsi:type="dcterms:W3CDTF">2025-06-25T17:52:54Z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