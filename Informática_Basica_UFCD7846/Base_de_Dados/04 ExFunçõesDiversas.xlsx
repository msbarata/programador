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Base_de_Dados\"/>
    </mc:Choice>
  </mc:AlternateContent>
  <xr:revisionPtr revIDLastSave="0" documentId="13_ncr:1_{49D9104E-E486-4A6C-8017-6530E5908652}" xr6:coauthVersionLast="47" xr6:coauthVersionMax="47" xr10:uidLastSave="{00000000-0000-0000-0000-000000000000}"/>
  <bookViews>
    <workbookView xWindow="-120" yWindow="-120" windowWidth="20730" windowHeight="11160" tabRatio="546" activeTab="3" xr2:uid="{6516F0D8-88C6-4CFA-8319-C7E8860983B7}"/>
  </bookViews>
  <sheets>
    <sheet name="Ex1" sheetId="23" r:id="rId1"/>
    <sheet name="Ex2" sheetId="22" r:id="rId2"/>
    <sheet name="Ex3" sheetId="28" r:id="rId3"/>
    <sheet name="Ex4" sheetId="24" r:id="rId4"/>
    <sheet name="Ex5" sheetId="27" r:id="rId5"/>
    <sheet name="Ex6" sheetId="2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24" l="1"/>
  <c r="I18" i="28"/>
  <c r="I26" i="28"/>
  <c r="I17" i="28"/>
  <c r="K23" i="28"/>
  <c r="K21" i="28"/>
  <c r="L11" i="28"/>
  <c r="L8" i="28"/>
  <c r="L9" i="28"/>
  <c r="L10" i="28"/>
  <c r="F8" i="28"/>
  <c r="F9" i="28"/>
  <c r="F10" i="28"/>
  <c r="F7" i="28"/>
  <c r="F11" i="28" s="1"/>
  <c r="L7" i="28"/>
  <c r="J9" i="22"/>
  <c r="J23" i="22"/>
  <c r="J13" i="22"/>
  <c r="J14" i="22"/>
  <c r="J15" i="22"/>
  <c r="J16" i="22"/>
  <c r="J17" i="22"/>
  <c r="J18" i="22"/>
  <c r="J19" i="22"/>
  <c r="J20" i="22"/>
  <c r="J8" i="22"/>
  <c r="J12" i="22"/>
  <c r="J4" i="22"/>
  <c r="J5" i="22"/>
  <c r="H5" i="23"/>
  <c r="H6" i="23"/>
  <c r="H7" i="23"/>
  <c r="H8" i="23"/>
  <c r="H9" i="23"/>
  <c r="H10" i="23"/>
  <c r="H11" i="23"/>
  <c r="H12" i="23"/>
  <c r="H13" i="23"/>
  <c r="H4" i="23"/>
  <c r="G5" i="23"/>
  <c r="G6" i="23"/>
  <c r="G7" i="23"/>
  <c r="G8" i="23"/>
  <c r="G9" i="23"/>
  <c r="G10" i="23"/>
  <c r="G11" i="23"/>
  <c r="G12" i="23"/>
  <c r="G13" i="23"/>
  <c r="G4" i="23"/>
  <c r="I10" i="28"/>
  <c r="I9" i="28"/>
  <c r="I8" i="28"/>
  <c r="I7" i="28"/>
  <c r="I11" i="28" s="1"/>
  <c r="G1001" i="22"/>
  <c r="G1000" i="22"/>
  <c r="G999" i="22" l="1"/>
  <c r="G998" i="22"/>
  <c r="G997" i="22"/>
  <c r="G996" i="22"/>
  <c r="G995" i="22"/>
  <c r="G994" i="22"/>
  <c r="G993" i="22"/>
  <c r="G992" i="22"/>
  <c r="G991" i="22"/>
  <c r="G990" i="22"/>
  <c r="G989" i="22"/>
  <c r="G988" i="22"/>
  <c r="G987" i="22"/>
  <c r="G986" i="22"/>
  <c r="G985" i="22"/>
  <c r="G984" i="22"/>
  <c r="G983" i="22"/>
  <c r="G982" i="22"/>
  <c r="G981" i="22"/>
  <c r="G980" i="22"/>
  <c r="G979" i="22"/>
  <c r="G978" i="22"/>
  <c r="G977" i="22"/>
  <c r="G976" i="22"/>
  <c r="G975" i="22"/>
  <c r="G974" i="22"/>
  <c r="G973" i="22"/>
  <c r="G972" i="22"/>
  <c r="G971" i="22"/>
  <c r="G970" i="22"/>
  <c r="G969" i="22"/>
  <c r="G968" i="22"/>
  <c r="G967" i="22"/>
  <c r="G966" i="22"/>
  <c r="G965" i="22"/>
  <c r="G964" i="22"/>
  <c r="G963" i="22"/>
  <c r="G962" i="22"/>
  <c r="G961" i="22"/>
  <c r="G960" i="22"/>
  <c r="G959" i="22"/>
  <c r="G958" i="22"/>
  <c r="G957" i="22"/>
  <c r="G956" i="22"/>
  <c r="G955" i="22"/>
  <c r="G954" i="22"/>
  <c r="G953" i="22"/>
  <c r="G952" i="22"/>
  <c r="G951" i="22"/>
  <c r="G950" i="22"/>
  <c r="G949" i="22"/>
  <c r="G948" i="22"/>
  <c r="G947" i="22"/>
  <c r="G946" i="22"/>
  <c r="G945" i="22"/>
  <c r="G944" i="22"/>
  <c r="G943" i="22"/>
  <c r="G942" i="22"/>
  <c r="G941" i="22"/>
  <c r="G940" i="22"/>
  <c r="G939" i="22"/>
  <c r="G938" i="22"/>
  <c r="G937" i="22"/>
  <c r="G936" i="22"/>
  <c r="G935" i="22"/>
  <c r="G934" i="22"/>
  <c r="G933" i="22"/>
  <c r="G932" i="22"/>
  <c r="G931" i="22"/>
  <c r="G930" i="22"/>
  <c r="G929" i="22"/>
  <c r="G928" i="22"/>
  <c r="G927" i="22"/>
  <c r="G926" i="22"/>
  <c r="G925" i="22"/>
  <c r="G924" i="22"/>
  <c r="G923" i="22"/>
  <c r="G922" i="22"/>
  <c r="G921" i="22"/>
  <c r="G920" i="22"/>
  <c r="G919" i="22"/>
  <c r="G918" i="22"/>
  <c r="G917" i="22"/>
  <c r="G916" i="22"/>
  <c r="G915" i="22"/>
  <c r="G914" i="22"/>
  <c r="G913" i="22"/>
  <c r="G912" i="22"/>
  <c r="G911" i="22"/>
  <c r="G910" i="22"/>
  <c r="G909" i="22"/>
  <c r="G908" i="22"/>
  <c r="G907" i="22"/>
  <c r="G906" i="22"/>
  <c r="G905" i="22"/>
  <c r="G904" i="22"/>
  <c r="G903" i="22"/>
  <c r="G902" i="22"/>
  <c r="G901" i="22"/>
  <c r="G900" i="22"/>
  <c r="G899" i="22"/>
  <c r="G898" i="22"/>
  <c r="G897" i="22"/>
  <c r="G896" i="22"/>
  <c r="G895" i="22"/>
  <c r="G894" i="22"/>
  <c r="G893" i="22"/>
  <c r="G892" i="22"/>
  <c r="G891" i="22"/>
  <c r="G890" i="22"/>
  <c r="G889" i="22"/>
  <c r="G888" i="22"/>
  <c r="G887" i="22"/>
  <c r="G886" i="22"/>
  <c r="G885" i="22"/>
  <c r="G884" i="22"/>
  <c r="G883" i="22"/>
  <c r="G882" i="22"/>
  <c r="G881" i="22"/>
  <c r="G880" i="22"/>
  <c r="G879" i="22"/>
  <c r="G878" i="22"/>
  <c r="G877" i="22"/>
  <c r="G876" i="22"/>
  <c r="G875" i="22"/>
  <c r="G874" i="22"/>
  <c r="G873" i="22"/>
  <c r="G872" i="22"/>
  <c r="G871" i="22"/>
  <c r="G870" i="22"/>
  <c r="G869" i="22"/>
  <c r="G868" i="22"/>
  <c r="G867" i="22"/>
  <c r="G866" i="22"/>
  <c r="G865" i="22"/>
  <c r="G864" i="22"/>
  <c r="G863" i="22"/>
  <c r="G862" i="22"/>
  <c r="G861" i="22"/>
  <c r="G860" i="22"/>
  <c r="G859" i="22"/>
  <c r="G858" i="22"/>
  <c r="G857" i="22"/>
  <c r="G856" i="22"/>
  <c r="G855" i="22"/>
  <c r="G854" i="22"/>
  <c r="G853" i="22"/>
  <c r="G852" i="22"/>
  <c r="G851" i="22"/>
  <c r="G850" i="22"/>
  <c r="G849" i="22"/>
  <c r="G848" i="22"/>
  <c r="G847" i="22"/>
  <c r="G846" i="22"/>
  <c r="G845" i="22"/>
  <c r="G844" i="22"/>
  <c r="G843" i="22"/>
  <c r="G842" i="22"/>
  <c r="G841" i="22"/>
  <c r="G840" i="22"/>
  <c r="G839" i="22"/>
  <c r="G838" i="22"/>
  <c r="G837" i="22"/>
  <c r="G836" i="22"/>
  <c r="G835" i="22"/>
  <c r="G834" i="22"/>
  <c r="G833" i="22"/>
  <c r="G832" i="22"/>
  <c r="G831" i="22"/>
  <c r="G830" i="22"/>
  <c r="G829" i="22"/>
  <c r="G828" i="22"/>
  <c r="G827" i="22"/>
  <c r="G826" i="22"/>
  <c r="G825" i="22"/>
  <c r="G824" i="22"/>
  <c r="G823" i="22"/>
  <c r="G822" i="22"/>
  <c r="G821" i="22"/>
  <c r="G820" i="22"/>
  <c r="G819" i="22"/>
  <c r="G818" i="22"/>
  <c r="G817" i="22"/>
  <c r="G816" i="22"/>
  <c r="G815" i="22"/>
  <c r="G814" i="22"/>
  <c r="G813" i="22"/>
  <c r="G812" i="22"/>
  <c r="G811" i="22"/>
  <c r="G810" i="22"/>
  <c r="G809" i="22"/>
  <c r="G808" i="22"/>
  <c r="G807" i="22"/>
  <c r="G806" i="22"/>
  <c r="G805" i="22"/>
  <c r="G804" i="22"/>
  <c r="G803" i="22"/>
  <c r="G802" i="22"/>
  <c r="G801" i="22"/>
  <c r="G800" i="22"/>
  <c r="G799" i="22"/>
  <c r="G798" i="22"/>
  <c r="G797" i="22"/>
  <c r="G796" i="22"/>
  <c r="G795" i="22"/>
  <c r="G794" i="22"/>
  <c r="G793" i="22"/>
  <c r="G792" i="22"/>
  <c r="G791" i="22"/>
  <c r="G790" i="22"/>
  <c r="G789" i="22"/>
  <c r="G788" i="22"/>
  <c r="G787" i="22"/>
  <c r="G786" i="22"/>
  <c r="G785" i="22"/>
  <c r="G784" i="22"/>
  <c r="G783" i="22"/>
  <c r="G782" i="22"/>
  <c r="G781" i="22"/>
  <c r="G780" i="22"/>
  <c r="G779" i="22"/>
  <c r="G778" i="22"/>
  <c r="G777" i="22"/>
  <c r="G776" i="22"/>
  <c r="G775" i="22"/>
  <c r="G774" i="22"/>
  <c r="G773" i="22"/>
  <c r="G772" i="22"/>
  <c r="G771" i="22"/>
  <c r="G770" i="22"/>
  <c r="G769" i="22"/>
  <c r="G768" i="22"/>
  <c r="G767" i="22"/>
  <c r="G766" i="22"/>
  <c r="G765" i="22"/>
  <c r="G764" i="22"/>
  <c r="G763" i="22"/>
  <c r="G762" i="22"/>
  <c r="G761" i="22"/>
  <c r="G760" i="22"/>
  <c r="G759" i="22"/>
  <c r="G758" i="22"/>
  <c r="G757" i="22"/>
  <c r="G756" i="22"/>
  <c r="G755" i="22"/>
  <c r="G754" i="22"/>
  <c r="G753" i="22"/>
  <c r="G752" i="22"/>
  <c r="G751" i="22"/>
  <c r="G750" i="22"/>
  <c r="G749" i="22"/>
  <c r="G748" i="22"/>
  <c r="G747" i="22"/>
  <c r="G746" i="22"/>
  <c r="G745" i="22"/>
  <c r="G744" i="22"/>
  <c r="G743" i="22"/>
  <c r="G742" i="22"/>
  <c r="G741" i="22"/>
  <c r="G740" i="22"/>
  <c r="G739" i="22"/>
  <c r="G738" i="22"/>
  <c r="G737" i="22"/>
  <c r="G736" i="22"/>
  <c r="G735" i="22"/>
  <c r="G734" i="22"/>
  <c r="G733" i="22"/>
  <c r="G732" i="22"/>
  <c r="G731" i="22"/>
  <c r="G730" i="22"/>
  <c r="G729" i="22"/>
  <c r="G728" i="22"/>
  <c r="G727" i="22"/>
  <c r="G726" i="22"/>
  <c r="G725" i="22"/>
  <c r="G724" i="22"/>
  <c r="G723" i="22"/>
  <c r="G722" i="22"/>
  <c r="G721" i="22"/>
  <c r="G720" i="22"/>
  <c r="G719" i="22"/>
  <c r="G718" i="22"/>
  <c r="G717" i="22"/>
  <c r="G716" i="22"/>
  <c r="G715" i="22"/>
  <c r="G714" i="22"/>
  <c r="G713" i="22"/>
  <c r="G712" i="22"/>
  <c r="G711" i="22"/>
  <c r="G710" i="22"/>
  <c r="G709" i="22"/>
  <c r="G708" i="22"/>
  <c r="G707" i="22"/>
  <c r="G706" i="22"/>
  <c r="G705" i="22"/>
  <c r="G704" i="22"/>
  <c r="G703" i="22"/>
  <c r="G702" i="22"/>
  <c r="G701" i="22"/>
  <c r="G700" i="22"/>
  <c r="G699" i="22"/>
  <c r="G698" i="22"/>
  <c r="G697" i="22"/>
  <c r="G696" i="22"/>
  <c r="G695" i="22"/>
  <c r="G694" i="22"/>
  <c r="G693" i="22"/>
  <c r="G692" i="22"/>
  <c r="G691" i="22"/>
  <c r="G690" i="22"/>
  <c r="G689" i="22"/>
  <c r="G688" i="22"/>
  <c r="G687" i="22"/>
  <c r="G686" i="22"/>
  <c r="G685" i="22"/>
  <c r="G684" i="22"/>
  <c r="G683" i="22"/>
  <c r="G682" i="22"/>
  <c r="G681" i="22"/>
  <c r="G680" i="22"/>
  <c r="G679" i="22"/>
  <c r="G678" i="22"/>
  <c r="G677" i="22"/>
  <c r="G676" i="22"/>
  <c r="G675" i="22"/>
  <c r="G674" i="22"/>
  <c r="G673" i="22"/>
  <c r="G672" i="22"/>
  <c r="G671" i="22"/>
  <c r="G670" i="22"/>
  <c r="G669" i="22"/>
  <c r="G668" i="22"/>
  <c r="G667" i="22"/>
  <c r="G666" i="22"/>
  <c r="G665" i="22"/>
  <c r="G664" i="22"/>
  <c r="G663" i="22"/>
  <c r="G662" i="22"/>
  <c r="G661" i="22"/>
  <c r="G660" i="22"/>
  <c r="G659" i="22"/>
  <c r="G658" i="22"/>
  <c r="G657" i="22"/>
  <c r="G656" i="22"/>
  <c r="G655" i="22"/>
  <c r="G654" i="22"/>
  <c r="G653" i="22"/>
  <c r="G652" i="22"/>
  <c r="G651" i="22"/>
  <c r="G650" i="22"/>
  <c r="G649" i="22"/>
  <c r="G648" i="22"/>
  <c r="G647" i="22"/>
  <c r="G646" i="22"/>
  <c r="G645" i="22"/>
  <c r="G644" i="22"/>
  <c r="G643" i="22"/>
  <c r="G642" i="22"/>
  <c r="G641" i="22"/>
  <c r="G640" i="22"/>
  <c r="G639" i="22"/>
  <c r="G638" i="22"/>
  <c r="G637" i="22"/>
  <c r="G636" i="22"/>
  <c r="G635" i="22"/>
  <c r="G634" i="22"/>
  <c r="G633" i="22"/>
  <c r="G632" i="22"/>
  <c r="G631" i="22"/>
  <c r="G630" i="22"/>
  <c r="G629" i="22"/>
  <c r="G628" i="22"/>
  <c r="G627" i="22"/>
  <c r="G626" i="22"/>
  <c r="G625" i="22"/>
  <c r="G624" i="22"/>
  <c r="G623" i="22"/>
  <c r="G622" i="22"/>
  <c r="G621" i="22"/>
  <c r="G620" i="22"/>
  <c r="G619" i="22"/>
  <c r="G618" i="22"/>
  <c r="G617" i="22"/>
  <c r="G616" i="22"/>
  <c r="G615" i="22"/>
  <c r="G614" i="22"/>
  <c r="G613" i="22"/>
  <c r="G612" i="22"/>
  <c r="G611" i="22"/>
  <c r="G610" i="22"/>
  <c r="G609" i="22"/>
  <c r="G608" i="22"/>
  <c r="G607" i="22"/>
  <c r="G606" i="22"/>
  <c r="G605" i="22"/>
  <c r="G604" i="22"/>
  <c r="G603" i="22"/>
  <c r="G602" i="22"/>
  <c r="G601" i="22"/>
  <c r="G600" i="22"/>
  <c r="G599" i="22"/>
  <c r="G598" i="22"/>
  <c r="G597" i="22"/>
  <c r="G596" i="22"/>
  <c r="G595" i="22"/>
  <c r="G594" i="22"/>
  <c r="G593" i="22"/>
  <c r="G592" i="22"/>
  <c r="G591" i="22"/>
  <c r="G590" i="22"/>
  <c r="G589" i="22"/>
  <c r="G588" i="22"/>
  <c r="G587" i="22"/>
  <c r="G586" i="22"/>
  <c r="G585" i="22"/>
  <c r="G584" i="22"/>
  <c r="G583" i="22"/>
  <c r="G582" i="22"/>
  <c r="G581" i="22"/>
  <c r="G580" i="22"/>
  <c r="G579" i="22"/>
  <c r="G578" i="22"/>
  <c r="G577" i="22"/>
  <c r="G576" i="22"/>
  <c r="G575" i="22"/>
  <c r="G574" i="22"/>
  <c r="G573" i="22"/>
  <c r="G572" i="22"/>
  <c r="G571" i="22"/>
  <c r="G570" i="22"/>
  <c r="G569" i="22"/>
  <c r="G568" i="22"/>
  <c r="G567" i="22"/>
  <c r="G566" i="22"/>
  <c r="G565" i="22"/>
  <c r="G564" i="22"/>
  <c r="G563" i="22"/>
  <c r="G562" i="22"/>
  <c r="G561" i="22"/>
  <c r="G560" i="22"/>
  <c r="G559" i="22"/>
  <c r="G558" i="22"/>
  <c r="G557" i="22"/>
  <c r="G556" i="22"/>
  <c r="G555" i="22"/>
  <c r="G554" i="22"/>
  <c r="G553" i="22"/>
  <c r="G552" i="22"/>
  <c r="G551" i="22"/>
  <c r="G550" i="22"/>
  <c r="G549" i="22"/>
  <c r="G548" i="22"/>
  <c r="G547" i="22"/>
  <c r="G546" i="22"/>
  <c r="G545" i="22"/>
  <c r="G544" i="22"/>
  <c r="G543" i="22"/>
  <c r="G542" i="22"/>
  <c r="G541" i="22"/>
  <c r="G540" i="22"/>
  <c r="G539" i="22"/>
  <c r="G538" i="22"/>
  <c r="G537" i="22"/>
  <c r="G536" i="22"/>
  <c r="G535" i="22"/>
  <c r="G534" i="22"/>
  <c r="G533" i="22"/>
  <c r="G532" i="22"/>
  <c r="G531" i="22"/>
  <c r="G530" i="22"/>
  <c r="G529" i="22"/>
  <c r="G528" i="22"/>
  <c r="G527" i="22"/>
  <c r="G526" i="22"/>
  <c r="G525" i="22"/>
  <c r="G524" i="22"/>
  <c r="G523" i="22"/>
  <c r="G522" i="22"/>
  <c r="G521" i="22"/>
  <c r="G520" i="22"/>
  <c r="G519" i="22"/>
  <c r="G518" i="22"/>
  <c r="G517" i="22"/>
  <c r="G516" i="22"/>
  <c r="G515" i="22"/>
  <c r="G514" i="22"/>
  <c r="G513" i="22"/>
  <c r="G512" i="22"/>
  <c r="G511" i="22"/>
  <c r="G510" i="22"/>
  <c r="G509" i="22"/>
  <c r="G508" i="22"/>
  <c r="G507" i="22"/>
  <c r="G506" i="22"/>
  <c r="G505" i="22"/>
  <c r="G504" i="22"/>
  <c r="G503" i="22"/>
  <c r="G502" i="22"/>
  <c r="G501" i="22"/>
  <c r="G500" i="22"/>
  <c r="G499" i="22"/>
  <c r="G498" i="22"/>
  <c r="G497" i="22"/>
  <c r="G496" i="22"/>
  <c r="G495" i="22"/>
  <c r="G494" i="22"/>
  <c r="G493" i="22"/>
  <c r="G492" i="22"/>
  <c r="G491" i="22"/>
  <c r="G490" i="22"/>
  <c r="G489" i="22"/>
  <c r="G488" i="22"/>
  <c r="G487" i="22"/>
  <c r="G486" i="22"/>
  <c r="G485" i="22"/>
  <c r="G484" i="22"/>
  <c r="G483" i="22"/>
  <c r="G482" i="22"/>
  <c r="G481" i="22"/>
  <c r="G480" i="22"/>
  <c r="G479" i="22"/>
  <c r="G478" i="22"/>
  <c r="G477" i="22"/>
  <c r="G476" i="22"/>
  <c r="G475" i="22"/>
  <c r="G474" i="22"/>
  <c r="G473" i="22"/>
  <c r="G472" i="22"/>
  <c r="G471" i="22"/>
  <c r="G470" i="22"/>
  <c r="G469" i="22"/>
  <c r="G468" i="22"/>
  <c r="G467" i="22"/>
  <c r="G466" i="22"/>
  <c r="G465" i="22"/>
  <c r="G464" i="22"/>
  <c r="G463" i="22"/>
  <c r="G462" i="22"/>
  <c r="G461" i="22"/>
  <c r="G460" i="22"/>
  <c r="G459" i="22"/>
  <c r="G458" i="22"/>
  <c r="G457" i="22"/>
  <c r="G456" i="22"/>
  <c r="G455" i="22"/>
  <c r="G454" i="22"/>
  <c r="G453" i="22"/>
  <c r="G452" i="22"/>
  <c r="G451" i="22"/>
  <c r="G450" i="22"/>
  <c r="G449" i="22"/>
  <c r="G448" i="22"/>
  <c r="G447" i="22"/>
  <c r="G446" i="22"/>
  <c r="G445" i="22"/>
  <c r="G444" i="22"/>
  <c r="G443" i="22"/>
  <c r="G442" i="22"/>
  <c r="G441" i="22"/>
  <c r="G440" i="22"/>
  <c r="G439" i="22"/>
  <c r="G438" i="22"/>
  <c r="G437" i="22"/>
  <c r="G436" i="22"/>
  <c r="G435" i="22"/>
  <c r="G434" i="22"/>
  <c r="G433" i="22"/>
  <c r="G432" i="22"/>
  <c r="G431" i="22"/>
  <c r="G430" i="22"/>
  <c r="G429" i="22"/>
  <c r="G428" i="22"/>
  <c r="G427" i="22"/>
  <c r="G426" i="22"/>
  <c r="G425" i="22"/>
  <c r="G424" i="22"/>
  <c r="G423" i="22"/>
  <c r="G422" i="22"/>
  <c r="G421" i="22"/>
  <c r="G420" i="22"/>
  <c r="G419" i="22"/>
  <c r="G418" i="22"/>
  <c r="G417" i="22"/>
  <c r="G416" i="22"/>
  <c r="G415" i="22"/>
  <c r="G414" i="22"/>
  <c r="G413" i="22"/>
  <c r="G412" i="22"/>
  <c r="G411" i="22"/>
  <c r="G410" i="22"/>
  <c r="G409" i="22"/>
  <c r="G408" i="22"/>
  <c r="G407" i="22"/>
  <c r="G406" i="22"/>
  <c r="G405" i="22"/>
  <c r="G404" i="22"/>
  <c r="G403" i="22"/>
  <c r="G402" i="22"/>
  <c r="G401" i="22"/>
  <c r="G400" i="22"/>
  <c r="G399" i="22"/>
  <c r="G398" i="22"/>
  <c r="G397" i="22"/>
  <c r="G396" i="22"/>
  <c r="G395" i="22"/>
  <c r="G394" i="22"/>
  <c r="G393" i="22"/>
  <c r="G392" i="22"/>
  <c r="G391" i="22"/>
  <c r="G390" i="22"/>
  <c r="G389" i="22"/>
  <c r="G388" i="22"/>
  <c r="G387" i="22"/>
  <c r="G386" i="22"/>
  <c r="G385" i="22"/>
  <c r="G384" i="22"/>
  <c r="G383" i="22"/>
  <c r="G382" i="22"/>
  <c r="G381" i="22"/>
  <c r="G380" i="22"/>
  <c r="G379" i="22"/>
  <c r="G378" i="22"/>
  <c r="G377" i="22"/>
  <c r="G376" i="22"/>
  <c r="G375" i="22"/>
  <c r="G374" i="22"/>
  <c r="G373" i="22"/>
  <c r="G372" i="22"/>
  <c r="G371" i="22"/>
  <c r="G370" i="22"/>
  <c r="G369" i="22"/>
  <c r="G368" i="22"/>
  <c r="G367" i="22"/>
  <c r="G366" i="22"/>
  <c r="G365" i="22"/>
  <c r="G364" i="22"/>
  <c r="G363" i="22"/>
  <c r="G362" i="22"/>
  <c r="G361" i="22"/>
  <c r="G360" i="22"/>
  <c r="G359" i="22"/>
  <c r="G358" i="22"/>
  <c r="G357" i="22"/>
  <c r="G356" i="22"/>
  <c r="G355" i="22"/>
  <c r="G354" i="22"/>
  <c r="G353" i="22"/>
  <c r="G352" i="22"/>
  <c r="G351" i="22"/>
  <c r="G350" i="22"/>
  <c r="G349" i="22"/>
  <c r="G348" i="22"/>
  <c r="G347" i="22"/>
  <c r="G346" i="22"/>
  <c r="G345" i="22"/>
  <c r="G344" i="22"/>
  <c r="G343" i="22"/>
  <c r="G342" i="22"/>
  <c r="G341" i="22"/>
  <c r="G340" i="22"/>
  <c r="G339" i="22"/>
  <c r="G338" i="22"/>
  <c r="G337" i="22"/>
  <c r="G336" i="22"/>
  <c r="G335" i="22"/>
  <c r="G334" i="22"/>
  <c r="G333" i="22"/>
  <c r="G332" i="22"/>
  <c r="G331" i="22"/>
  <c r="G330" i="22"/>
  <c r="G329" i="22"/>
  <c r="G328" i="22"/>
  <c r="G327" i="22"/>
  <c r="G326" i="22"/>
  <c r="G325" i="22"/>
  <c r="G324" i="22"/>
  <c r="G323" i="22"/>
  <c r="G322" i="22"/>
  <c r="G321" i="22"/>
  <c r="G320" i="22"/>
  <c r="G319" i="22"/>
  <c r="G318" i="22"/>
  <c r="G317" i="22"/>
  <c r="G316" i="22"/>
  <c r="G315" i="22"/>
  <c r="G314" i="22"/>
  <c r="G313" i="22"/>
  <c r="G312" i="22"/>
  <c r="G311" i="22"/>
  <c r="G310" i="22"/>
  <c r="G309" i="22"/>
  <c r="G308" i="22"/>
  <c r="G307" i="22"/>
  <c r="G306" i="22"/>
  <c r="G305" i="22"/>
  <c r="G304" i="22"/>
  <c r="G303" i="22"/>
  <c r="G302" i="22"/>
  <c r="G301" i="22"/>
  <c r="G300" i="22"/>
  <c r="G299" i="22"/>
  <c r="G298" i="22"/>
  <c r="G297" i="22"/>
  <c r="G296" i="22"/>
  <c r="G295" i="22"/>
  <c r="G294" i="22"/>
  <c r="G293" i="22"/>
  <c r="G292" i="22"/>
  <c r="G291" i="22"/>
  <c r="G290" i="22"/>
  <c r="G289" i="22"/>
  <c r="G288" i="22"/>
  <c r="G287" i="22"/>
  <c r="G286" i="22"/>
  <c r="G285" i="22"/>
  <c r="G284" i="22"/>
  <c r="G283" i="22"/>
  <c r="G282" i="22"/>
  <c r="G281" i="22"/>
  <c r="G280" i="22"/>
  <c r="G279" i="22"/>
  <c r="G278" i="22"/>
  <c r="G277" i="22"/>
  <c r="G276" i="22"/>
  <c r="G275" i="22"/>
  <c r="G274" i="22"/>
  <c r="G273" i="22"/>
  <c r="G272" i="22"/>
  <c r="G271" i="22"/>
  <c r="G270" i="22"/>
  <c r="G269" i="22"/>
  <c r="G268" i="22"/>
  <c r="G267" i="22"/>
  <c r="G266" i="22"/>
  <c r="G265" i="22"/>
  <c r="G264" i="22"/>
  <c r="G263" i="22"/>
  <c r="G262" i="22"/>
  <c r="G261" i="22"/>
  <c r="G260" i="22"/>
  <c r="G259" i="22"/>
  <c r="G258" i="22"/>
  <c r="G257" i="22"/>
  <c r="G256" i="22"/>
  <c r="G255" i="22"/>
  <c r="G254" i="22"/>
  <c r="G253" i="22"/>
  <c r="G252" i="22"/>
  <c r="G251" i="22"/>
  <c r="G250" i="22"/>
  <c r="G249" i="22"/>
  <c r="G248" i="22"/>
  <c r="G247" i="22"/>
  <c r="G246" i="22"/>
  <c r="G245" i="22"/>
  <c r="G244" i="22"/>
  <c r="G243" i="22"/>
  <c r="G242" i="22"/>
  <c r="G241" i="22"/>
  <c r="G240" i="22"/>
  <c r="G239" i="22"/>
  <c r="G238" i="22"/>
  <c r="G237" i="22"/>
  <c r="G236" i="22"/>
  <c r="G235" i="22"/>
  <c r="G234" i="22"/>
  <c r="G233" i="22"/>
  <c r="G232" i="22"/>
  <c r="G231" i="22"/>
  <c r="G230" i="22"/>
  <c r="G229" i="22"/>
  <c r="G228" i="22"/>
  <c r="G227" i="22"/>
  <c r="G226" i="22"/>
  <c r="G225" i="22"/>
  <c r="G224" i="22"/>
  <c r="G223" i="22"/>
  <c r="G222" i="22"/>
  <c r="G221" i="22"/>
  <c r="G220" i="22"/>
  <c r="G219" i="22"/>
  <c r="G218" i="22"/>
  <c r="G217" i="22"/>
  <c r="G216" i="22"/>
  <c r="G215" i="22"/>
  <c r="G214" i="22"/>
  <c r="G213" i="22"/>
  <c r="G212" i="22"/>
  <c r="G211" i="22"/>
  <c r="G210" i="22"/>
  <c r="G209" i="22"/>
  <c r="G208" i="22"/>
  <c r="G207" i="22"/>
  <c r="G206" i="22"/>
  <c r="G205" i="22"/>
  <c r="G204" i="22"/>
  <c r="G203" i="22"/>
  <c r="G202" i="22"/>
  <c r="G201" i="22"/>
  <c r="G200" i="22"/>
  <c r="G199" i="22"/>
  <c r="G198" i="22"/>
  <c r="G197" i="22"/>
  <c r="G196" i="22"/>
  <c r="G195" i="22"/>
  <c r="G194" i="22"/>
  <c r="G193" i="22"/>
  <c r="G192" i="22"/>
  <c r="G191" i="22"/>
  <c r="G190" i="22"/>
  <c r="G189" i="22"/>
  <c r="G188" i="22"/>
  <c r="G187" i="22"/>
  <c r="G186" i="22"/>
  <c r="G185" i="22"/>
  <c r="G184" i="22"/>
  <c r="G183" i="22"/>
  <c r="G182" i="22"/>
  <c r="G181" i="22"/>
  <c r="G180" i="22"/>
  <c r="G179" i="22"/>
  <c r="G178" i="22"/>
  <c r="G177" i="22"/>
  <c r="G176" i="22"/>
  <c r="G175" i="22"/>
  <c r="G174" i="22"/>
  <c r="G173" i="22"/>
  <c r="G172" i="22"/>
  <c r="G171" i="22"/>
  <c r="G170" i="22"/>
  <c r="G169" i="22"/>
  <c r="G168" i="22"/>
  <c r="G167" i="22"/>
  <c r="G166" i="22"/>
  <c r="G165" i="22"/>
  <c r="G164" i="22"/>
  <c r="G163" i="22"/>
  <c r="G162" i="22"/>
  <c r="G161" i="22"/>
  <c r="G160" i="22"/>
  <c r="G159" i="22"/>
  <c r="G158" i="22"/>
  <c r="G157" i="22"/>
  <c r="G156" i="22"/>
  <c r="G155" i="22"/>
  <c r="G154" i="22"/>
  <c r="G153" i="22"/>
  <c r="G152" i="22"/>
  <c r="G151" i="22"/>
  <c r="G150" i="22"/>
  <c r="G149" i="22"/>
  <c r="G148" i="22"/>
  <c r="G147" i="22"/>
  <c r="G146" i="22"/>
  <c r="G145" i="22"/>
  <c r="G144" i="22"/>
  <c r="G143" i="22"/>
  <c r="G142" i="22"/>
  <c r="G141" i="22"/>
  <c r="G140" i="22"/>
  <c r="G139" i="22"/>
  <c r="G138" i="22"/>
  <c r="G137" i="22"/>
  <c r="G136" i="22"/>
  <c r="G135" i="22"/>
  <c r="G134" i="22"/>
  <c r="G133" i="22"/>
  <c r="G132" i="22"/>
  <c r="G131" i="22"/>
  <c r="G130" i="22"/>
  <c r="G129" i="22"/>
  <c r="G128" i="22"/>
  <c r="G127" i="22"/>
  <c r="G126" i="22"/>
  <c r="G125" i="22"/>
  <c r="G124" i="22"/>
  <c r="G123" i="22"/>
  <c r="G122" i="22"/>
  <c r="G121" i="22"/>
  <c r="G120" i="22"/>
  <c r="G119" i="22"/>
  <c r="G118" i="22"/>
  <c r="G117" i="22"/>
  <c r="G116" i="22"/>
  <c r="G115" i="22"/>
  <c r="G114" i="22"/>
  <c r="G113" i="22"/>
  <c r="G112" i="22"/>
  <c r="G111" i="22"/>
  <c r="G110" i="22"/>
  <c r="G109" i="22"/>
  <c r="G108" i="22"/>
  <c r="G107" i="22"/>
  <c r="G106" i="22"/>
  <c r="G105" i="22"/>
  <c r="G104" i="22"/>
  <c r="G103" i="22"/>
  <c r="G102" i="22"/>
  <c r="G101" i="22"/>
  <c r="G100" i="22"/>
  <c r="G99" i="22"/>
  <c r="G98" i="22"/>
  <c r="G97" i="22"/>
  <c r="G96" i="22"/>
  <c r="G95" i="22"/>
  <c r="G94" i="22"/>
  <c r="G93" i="22"/>
  <c r="G92" i="22"/>
  <c r="G91" i="22"/>
  <c r="G90" i="22"/>
  <c r="G89" i="22"/>
  <c r="G88" i="22"/>
  <c r="G87" i="22"/>
  <c r="G86" i="22"/>
  <c r="G85" i="22"/>
  <c r="G84" i="22"/>
  <c r="G83" i="22"/>
  <c r="G82" i="22"/>
  <c r="G81" i="22"/>
  <c r="G80" i="22"/>
  <c r="G79" i="22"/>
  <c r="G78" i="22"/>
  <c r="G77" i="22"/>
  <c r="G76" i="22"/>
  <c r="G75" i="22"/>
  <c r="G74" i="22"/>
  <c r="G73" i="22"/>
  <c r="G72" i="22"/>
  <c r="G71" i="22"/>
  <c r="G70" i="22"/>
  <c r="G69" i="22"/>
  <c r="G68" i="22"/>
  <c r="G67" i="22"/>
  <c r="G66" i="22"/>
  <c r="G65" i="22"/>
  <c r="G64" i="22"/>
  <c r="G63" i="22"/>
  <c r="G62" i="22"/>
  <c r="G61" i="22"/>
  <c r="G60" i="22"/>
  <c r="G59" i="22"/>
  <c r="G58" i="22"/>
  <c r="G57" i="22"/>
  <c r="G56" i="22"/>
  <c r="G55" i="22"/>
  <c r="G54" i="22"/>
  <c r="G53" i="22"/>
  <c r="G52" i="22"/>
  <c r="G51" i="22"/>
  <c r="G50" i="22"/>
  <c r="G49" i="22"/>
  <c r="G48" i="22"/>
  <c r="G47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Kundan</author>
  </authors>
  <commentList>
    <comment ref="I1" authorId="0" shapeId="0" xr:uid="{8D55395E-5E95-4609-B373-2A7F409908CE}">
      <text>
        <r>
          <rPr>
            <b/>
            <sz val="9"/>
            <color indexed="81"/>
            <rFont val="Tahoma"/>
            <family val="2"/>
          </rPr>
          <t>Kundan:</t>
        </r>
        <r>
          <rPr>
            <sz val="9"/>
            <color indexed="81"/>
            <rFont val="Tahoma"/>
            <family val="2"/>
          </rPr>
          <t xml:space="preserve">
Use a Função Data/Hora para saber o Ano</t>
        </r>
      </text>
    </comment>
  </commentList>
</comments>
</file>

<file path=xl/sharedStrings.xml><?xml version="1.0" encoding="utf-8"?>
<sst xmlns="http://schemas.openxmlformats.org/spreadsheetml/2006/main" count="3533" uniqueCount="287">
  <si>
    <t>Data</t>
  </si>
  <si>
    <t>Total</t>
  </si>
  <si>
    <t>Empresa</t>
  </si>
  <si>
    <t>Valor</t>
  </si>
  <si>
    <t>Braga</t>
  </si>
  <si>
    <t>Porto</t>
  </si>
  <si>
    <t>Vendas</t>
  </si>
  <si>
    <t>Setúbal</t>
  </si>
  <si>
    <t>Instruções</t>
  </si>
  <si>
    <t>Enc</t>
  </si>
  <si>
    <t>País</t>
  </si>
  <si>
    <t>Comercial</t>
  </si>
  <si>
    <t>Comissões</t>
  </si>
  <si>
    <t>Nº de Encomendas de</t>
  </si>
  <si>
    <t>Alemanha</t>
  </si>
  <si>
    <t>Fátima</t>
  </si>
  <si>
    <t>Dinis</t>
  </si>
  <si>
    <t>França</t>
  </si>
  <si>
    <t>David</t>
  </si>
  <si>
    <t>Rodrigo</t>
  </si>
  <si>
    <t>Leonel</t>
  </si>
  <si>
    <t>Carlos</t>
  </si>
  <si>
    <t>Paulo</t>
  </si>
  <si>
    <t>Ana</t>
  </si>
  <si>
    <t>Luís</t>
  </si>
  <si>
    <t xml:space="preserve">Encomendas </t>
  </si>
  <si>
    <t xml:space="preserve">Total por País </t>
  </si>
  <si>
    <t>Nº</t>
  </si>
  <si>
    <t xml:space="preserve">Nº </t>
  </si>
  <si>
    <t>Cristiano Ronaldo</t>
  </si>
  <si>
    <t>Portugal</t>
  </si>
  <si>
    <t>Lionel Messi</t>
  </si>
  <si>
    <t>Argentina</t>
  </si>
  <si>
    <t>France</t>
  </si>
  <si>
    <t>Robert Lewandowski</t>
  </si>
  <si>
    <t>Poland</t>
  </si>
  <si>
    <t>Spain</t>
  </si>
  <si>
    <t>Karim Benzema</t>
  </si>
  <si>
    <t>Italy</t>
  </si>
  <si>
    <t>Raúl González</t>
  </si>
  <si>
    <t>Germany</t>
  </si>
  <si>
    <t>Ruud van Nistelrooy</t>
  </si>
  <si>
    <t>Netherlands</t>
  </si>
  <si>
    <t>Brazil</t>
  </si>
  <si>
    <t>Andriy Shevchenko</t>
  </si>
  <si>
    <t>Ukraine</t>
  </si>
  <si>
    <t>Thierry Henry</t>
  </si>
  <si>
    <t>England</t>
  </si>
  <si>
    <t>Filippo Inzaghi</t>
  </si>
  <si>
    <t>Thomas Müller</t>
  </si>
  <si>
    <t>Alfredo Di Stéfano</t>
  </si>
  <si>
    <t>Zlatan Ibrahimović</t>
  </si>
  <si>
    <t>Sweden</t>
  </si>
  <si>
    <t xml:space="preserve">Eusébio </t>
  </si>
  <si>
    <t>Sergio Agüero</t>
  </si>
  <si>
    <t>Didier Drogba</t>
  </si>
  <si>
    <t>Ivory Coast</t>
  </si>
  <si>
    <t>Alessandro Del Piero</t>
  </si>
  <si>
    <t xml:space="preserve">Neymar </t>
  </si>
  <si>
    <t>Fernando Morientes</t>
  </si>
  <si>
    <t>Mohamed Salah</t>
  </si>
  <si>
    <t>Egypt</t>
  </si>
  <si>
    <t>Ferenc Puskás</t>
  </si>
  <si>
    <t>Hungary</t>
  </si>
  <si>
    <t>Edinson Cavani</t>
  </si>
  <si>
    <t>Uruguay</t>
  </si>
  <si>
    <t>Wayne Rooney</t>
  </si>
  <si>
    <t>Gerd Müller</t>
  </si>
  <si>
    <t>Samuel Eto’o</t>
  </si>
  <si>
    <t>Cameroon</t>
  </si>
  <si>
    <t>David Trezeguet</t>
  </si>
  <si>
    <t>Arjen Robben</t>
  </si>
  <si>
    <t>Serhiy Rebrov</t>
  </si>
  <si>
    <t>Luis Suárez</t>
  </si>
  <si>
    <t xml:space="preserve">Rivaldo </t>
  </si>
  <si>
    <t>Ryan Giggs</t>
  </si>
  <si>
    <t>Wales</t>
  </si>
  <si>
    <t>Patrick Kluivert</t>
  </si>
  <si>
    <t>Steven Gerrard</t>
  </si>
  <si>
    <t>Kaká</t>
  </si>
  <si>
    <t>Francisco Gento</t>
  </si>
  <si>
    <t>Roy Makaay</t>
  </si>
  <si>
    <t>Antoine Griezmann</t>
  </si>
  <si>
    <t>Kylian Mbappé</t>
  </si>
  <si>
    <t>Hernán Crespo</t>
  </si>
  <si>
    <t>Mario Mandžukić</t>
  </si>
  <si>
    <t>Croatia</t>
  </si>
  <si>
    <t>Jean-Pierre Papin</t>
  </si>
  <si>
    <t>Mario Gomez</t>
  </si>
  <si>
    <t>Robin van Persie</t>
  </si>
  <si>
    <t>Paul Scholes</t>
  </si>
  <si>
    <t>Marco Simone</t>
  </si>
  <si>
    <t>Gonzalo Higuaín</t>
  </si>
  <si>
    <t>Cesc Fàbregas</t>
  </si>
  <si>
    <t>Luís Figo</t>
  </si>
  <si>
    <t>Lisandro</t>
  </si>
  <si>
    <t>Frank Lampard</t>
  </si>
  <si>
    <t>Edin Džeko</t>
  </si>
  <si>
    <t>Bosnia &amp; Herzegovina</t>
  </si>
  <si>
    <t>Lista de Jogadores</t>
  </si>
  <si>
    <t>Jogador</t>
  </si>
  <si>
    <t>Golos</t>
  </si>
  <si>
    <t>Jogadores por País</t>
  </si>
  <si>
    <t>Total Golos</t>
  </si>
  <si>
    <t>1- Calcular o Nº  de Jogadores por País</t>
  </si>
  <si>
    <t>2- Calcular o Total de golos por País</t>
  </si>
  <si>
    <t>Produto</t>
  </si>
  <si>
    <t>Categoria</t>
  </si>
  <si>
    <t>Loja</t>
  </si>
  <si>
    <t>Região</t>
  </si>
  <si>
    <t>Qtd</t>
  </si>
  <si>
    <t>ACE01</t>
  </si>
  <si>
    <t>Acessórios</t>
  </si>
  <si>
    <t>Lisboa</t>
  </si>
  <si>
    <t>Sul</t>
  </si>
  <si>
    <t>ACE03</t>
  </si>
  <si>
    <t>GIF02</t>
  </si>
  <si>
    <t>IPODs</t>
  </si>
  <si>
    <t>Nº de vendas de valor superior a 3000 € da Região Norte:</t>
  </si>
  <si>
    <t>PAP01</t>
  </si>
  <si>
    <t>MP3 players</t>
  </si>
  <si>
    <t>Nº de vendas de valor inferior a 2000 € e de Setúbal</t>
  </si>
  <si>
    <t>PAP03</t>
  </si>
  <si>
    <t>Nº Vendas de Braga e de Acessórios</t>
  </si>
  <si>
    <t>Norte</t>
  </si>
  <si>
    <t>ACE02</t>
  </si>
  <si>
    <t>TAB02</t>
  </si>
  <si>
    <t>Tablets</t>
  </si>
  <si>
    <t>TAB01</t>
  </si>
  <si>
    <t>Aveiro</t>
  </si>
  <si>
    <t>Centro</t>
  </si>
  <si>
    <t>Tab5</t>
  </si>
  <si>
    <t>TAB03</t>
  </si>
  <si>
    <t>Tipo</t>
  </si>
  <si>
    <t>Vendedor</t>
  </si>
  <si>
    <t>Montante</t>
  </si>
  <si>
    <t>%Com.</t>
  </si>
  <si>
    <t>Comissão</t>
  </si>
  <si>
    <t>Ano</t>
  </si>
  <si>
    <t>Automóveis</t>
  </si>
  <si>
    <t>SUCH - SERVIÇO DE UTILIZAÇÃO COMUM DOS HOSPITAIS</t>
  </si>
  <si>
    <t>Silva</t>
  </si>
  <si>
    <t>MANUEL DOS SANTOS MOURA, LDA.</t>
  </si>
  <si>
    <t>ESPEQUÍMICA - INDÚSTRIA QUÍMICA DE ESPECIALIDADES, S.A.</t>
  </si>
  <si>
    <t>Costa</t>
  </si>
  <si>
    <t>FAREMI, LDA</t>
  </si>
  <si>
    <t>Mendes</t>
  </si>
  <si>
    <t>Quadro resumo</t>
  </si>
  <si>
    <t>OPCA TELECOM - INFRAESTRUTURAS DE COMUNICAÇÕES, S.A.</t>
  </si>
  <si>
    <t>SOPORCEL - SOCIEDADE PORTUGUESA DE CELULOSE, S.A.</t>
  </si>
  <si>
    <t>Quantas Vendas</t>
  </si>
  <si>
    <t>Quantas Vendas por:</t>
  </si>
  <si>
    <t>CSC PORTUGUESA</t>
  </si>
  <si>
    <t>Habitação</t>
  </si>
  <si>
    <t>Habitação e Norte</t>
  </si>
  <si>
    <t>Serviços</t>
  </si>
  <si>
    <t>Serviços e Sul</t>
  </si>
  <si>
    <t>TERMODINÂMICO, LDA.</t>
  </si>
  <si>
    <t>Automóveis e Centro</t>
  </si>
  <si>
    <t>GLOBO, LDA.</t>
  </si>
  <si>
    <t>SIDERURGIA NACIONAL - EMPRESA DE PRODUTOS LONGOS, S.A.</t>
  </si>
  <si>
    <t>Total Vendas por Vendedor</t>
  </si>
  <si>
    <t>Quantas  Vendas por:</t>
  </si>
  <si>
    <t>VIDREIRA DO MONDEGO, S.A.</t>
  </si>
  <si>
    <t>INOXPAL - INOXIDÁVEIS PARA A INDÚSTRIA ALIMENTAR, LDA.</t>
  </si>
  <si>
    <t>ROLIVAPOR - MONT. INST. FLU. ISOL. TÉRM. LDA.</t>
  </si>
  <si>
    <t>EUROFLUIDO - EQUIPAMENTOS TÉRMICOS, LDA.</t>
  </si>
  <si>
    <t>INDUCENTRO - EQUIPAMENTO E CONTROL INDUSTRIAL DO CENTRO, LDA</t>
  </si>
  <si>
    <t>&gt;40000 e Norte</t>
  </si>
  <si>
    <t>SPIRAX SARCO - EQUIP. INDUSTRIAIS, LDA.</t>
  </si>
  <si>
    <t>&lt;20000 e Sul</t>
  </si>
  <si>
    <t>TRINITRON NORTE, LDA.</t>
  </si>
  <si>
    <t>&gt;10000 e Centro</t>
  </si>
  <si>
    <t>PINHOL - COMÉRCIO DE VÁLVULAS E INSTRUMENTAÇÃO, LDA.</t>
  </si>
  <si>
    <t>ELÉCTRICA FLUORESCENTE, LDA.</t>
  </si>
  <si>
    <t>Total Vendas por Ano</t>
  </si>
  <si>
    <t>CONSTRUSOLDA, LDA.</t>
  </si>
  <si>
    <t>VALINDÚSTRIA - EQUIP. INDUSTRIAIS, LDA.</t>
  </si>
  <si>
    <t>METAFLUIDOS - SOCIEDADE TÉCNICA DE EQUIP. P/ FLUIDOS, LDA.</t>
  </si>
  <si>
    <t>HOVIONE</t>
  </si>
  <si>
    <t>&lt;20000</t>
  </si>
  <si>
    <t>MONTEP - MONTAGENS TÉCNICAS E PROJECTOS, LDA.</t>
  </si>
  <si>
    <t>AJAMA ENGENHARIA, LDA.</t>
  </si>
  <si>
    <t>INDUSTRIA - COMÉRCIO DE EQUIPAMENTOS INDUSTRIAIS, LDA.</t>
  </si>
  <si>
    <t>ERNESTO F. OLIVEIRA, S.A.</t>
  </si>
  <si>
    <t>IOFIL - PRODUTORA DE IOGURTES, S.A.</t>
  </si>
  <si>
    <t>SOCIEDADE DE CONST. SOARES DA COSTA, S.A.</t>
  </si>
  <si>
    <t>EQUIVAPOR, LDA.</t>
  </si>
  <si>
    <t>SIEPI - SOCIEDADE INDUSTRIAL DE EQUIPAMENTOS P/ INDÚSTRIA, LDA.</t>
  </si>
  <si>
    <t>MANUEL LOUREIRO &amp; FILHOS, LDA.</t>
  </si>
  <si>
    <t>METALÚRGICA PROGRESSO DE VALE DE CAMBRA, LDA.</t>
  </si>
  <si>
    <t>ELECTRIMECA</t>
  </si>
  <si>
    <t>ENELEC - PROJECTOS E MONTAGENS ELÉCTRICAS E DE INSTRUM. LDA.</t>
  </si>
  <si>
    <t>ESTALEIROS NAVAIS DE VIANA DO CASTELO, S.A.</t>
  </si>
  <si>
    <t>Formação</t>
  </si>
  <si>
    <t>PROTER - EQUIPAMENTOS TÉRMICOS, LDA.</t>
  </si>
  <si>
    <t>SÓVAPOR - TÉCNICA DE VAPOR E ISOLAMENTOS, LDA.</t>
  </si>
  <si>
    <t>INDUPOR - EQUIP. INDUSTRIAIS, LDA.</t>
  </si>
  <si>
    <t>SOBELSE - SOCIEDADE DE MOAGENS INDUSTRIAIS, LDA.</t>
  </si>
  <si>
    <t>JOTEX, LDA.</t>
  </si>
  <si>
    <t>ENERGEST - ENGENHARIA EQUIPAMENTOS INST. TÉRM. INDUSTRIAIS, LDA.</t>
  </si>
  <si>
    <t>M. F. MOURA, LDA.</t>
  </si>
  <si>
    <t>ENERMEC - GABINETE TÉCNICO DE MONTAGENS INDUSTRIAIS, LDA.</t>
  </si>
  <si>
    <t>POLISECA - INSTALAÇÕES SECAGEM DE MADEIRAS, LDA.</t>
  </si>
  <si>
    <t>Diversos Dados</t>
  </si>
  <si>
    <t>Total Vendas:</t>
  </si>
  <si>
    <t>&gt;50000</t>
  </si>
  <si>
    <t>VENDAS DE 2022 A 2024</t>
  </si>
  <si>
    <t>Total Comissões por Comerciais</t>
  </si>
  <si>
    <t>&gt;01-03-2024</t>
  </si>
  <si>
    <t>Nº  Vendas depois de 10 de Outubro 2024 e Tablets</t>
  </si>
  <si>
    <t>Funcionário</t>
  </si>
  <si>
    <t>Vencimento (€)</t>
  </si>
  <si>
    <t>Local</t>
  </si>
  <si>
    <t>Despesas (€)</t>
  </si>
  <si>
    <t>Sector</t>
  </si>
  <si>
    <t>Use as funções adequadas para calcular:</t>
  </si>
  <si>
    <t>Joana Nunes</t>
  </si>
  <si>
    <t>Sintra</t>
  </si>
  <si>
    <t>TAX</t>
  </si>
  <si>
    <t>Vanda Mendes</t>
  </si>
  <si>
    <t>Advisory</t>
  </si>
  <si>
    <t>Totais de</t>
  </si>
  <si>
    <t>Daniela Lopes</t>
  </si>
  <si>
    <t>José Pinto</t>
  </si>
  <si>
    <t>Sandra Neves</t>
  </si>
  <si>
    <t>António Maia</t>
  </si>
  <si>
    <t>Compras</t>
  </si>
  <si>
    <t>Rui Victor</t>
  </si>
  <si>
    <t>Sónia Pedrosa</t>
  </si>
  <si>
    <t>Ana Castro</t>
  </si>
  <si>
    <t>Quantos ?</t>
  </si>
  <si>
    <t>Helena Cunha</t>
  </si>
  <si>
    <t>Nuno Rodrigo</t>
  </si>
  <si>
    <t>Faro</t>
  </si>
  <si>
    <t>Com Despesas &gt; 800 e de Sintra</t>
  </si>
  <si>
    <t>Carlos Silva</t>
  </si>
  <si>
    <t>Com Vencimentos &gt; 1200 ; de TAX e do Porto</t>
  </si>
  <si>
    <t>Antónia Silva</t>
  </si>
  <si>
    <t>Manuel Cunha</t>
  </si>
  <si>
    <t>Apresente os Totais de Vencimentos  por:</t>
  </si>
  <si>
    <t>Joana Videira</t>
  </si>
  <si>
    <t>Mário Jorge</t>
  </si>
  <si>
    <t>Despesas &gt; 800 e de Vendas</t>
  </si>
  <si>
    <t>Maria Antónia</t>
  </si>
  <si>
    <t>TAX e de Sintra</t>
  </si>
  <si>
    <t>João Pereira</t>
  </si>
  <si>
    <t>José Luis</t>
  </si>
  <si>
    <t>Susana Rocha</t>
  </si>
  <si>
    <t>Sofia Cunha</t>
  </si>
  <si>
    <t>José Fernandes</t>
  </si>
  <si>
    <t>Maria de Borba</t>
  </si>
  <si>
    <t>Miguel Moreira</t>
  </si>
  <si>
    <t>João Paulo</t>
  </si>
  <si>
    <t>Luis Inácio</t>
  </si>
  <si>
    <t>Francisca da Silva</t>
  </si>
  <si>
    <t>Vencimento</t>
  </si>
  <si>
    <t>Despesas</t>
  </si>
  <si>
    <t>Raquel</t>
  </si>
  <si>
    <t>Ano 2024, Automóveis e Norte</t>
  </si>
  <si>
    <t>&gt; 1-4-2023 e Automóveis</t>
  </si>
  <si>
    <t>Ano 2023, Costa e Centro</t>
  </si>
  <si>
    <t>&gt; 1-1-2022 e Habitação</t>
  </si>
  <si>
    <t>Ano 2022, Serviços e Norte</t>
  </si>
  <si>
    <t>Movimento Bancário Mensal</t>
  </si>
  <si>
    <t>Banco</t>
  </si>
  <si>
    <t>Resumo Mensal</t>
  </si>
  <si>
    <t>Barclays</t>
  </si>
  <si>
    <t>Novo Banco</t>
  </si>
  <si>
    <t>Quantidade mov. Por banco</t>
  </si>
  <si>
    <t>Total por Banco</t>
  </si>
  <si>
    <t>Média Por banco</t>
  </si>
  <si>
    <t>Média</t>
  </si>
  <si>
    <t>CGD</t>
  </si>
  <si>
    <t>Santander Totta</t>
  </si>
  <si>
    <t xml:space="preserve">Total </t>
  </si>
  <si>
    <t>Introdução Funções novas</t>
  </si>
  <si>
    <t>Nº de movimentos de valor superior a 2000 € da Santander Totta:</t>
  </si>
  <si>
    <t>Somar todos os valores superiores a 1300</t>
  </si>
  <si>
    <t>Somar todos os valores inferiores a 800</t>
  </si>
  <si>
    <t>Total em movimentos CGD depois de 17 Setembro 2025</t>
  </si>
  <si>
    <t>Nº de movimentos de Data superior a 17/04/2025 da CGD:</t>
  </si>
  <si>
    <t>Contar-se</t>
  </si>
  <si>
    <t>Novo Método de Seleção</t>
  </si>
  <si>
    <t>Coluna toda</t>
  </si>
  <si>
    <r>
      <rPr>
        <b/>
        <sz val="11"/>
        <color theme="1"/>
        <rFont val="Calibri"/>
        <family val="2"/>
        <scheme val="minor"/>
      </rPr>
      <t>função contarse.s</t>
    </r>
    <r>
      <rPr>
        <sz val="11"/>
        <color theme="1"/>
        <rFont val="Calibri"/>
        <family val="2"/>
        <scheme val="minor"/>
      </rPr>
      <t xml:space="preserve"> (contar com mais de um critério</t>
    </r>
  </si>
  <si>
    <r>
      <rPr>
        <b/>
        <sz val="11"/>
        <color theme="1"/>
        <rFont val="Calibri"/>
        <family val="2"/>
        <scheme val="minor"/>
      </rPr>
      <t xml:space="preserve">função somarse.s </t>
    </r>
    <r>
      <rPr>
        <sz val="11"/>
        <color theme="1"/>
        <rFont val="Calibri"/>
        <family val="2"/>
        <scheme val="minor"/>
      </rPr>
      <t>(realizar soma com mais de um critério)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</si>
</sst>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_-* #,##0.00\ [$€-816]_-;\-* #,##0.00\ [$€-816]_-;_-* &quot;-&quot;??\ [$€-816]_-;_-@_-"/>
    <numFmt numFmtId="166" formatCode="#,##0.00\ &quot;€&quot;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8"/>
      <name val="Arial"/>
      <family val="2"/>
    </font>
    <font>
      <b/>
      <i/>
      <sz val="14"/>
      <color rgb="FF00206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Arial"/>
      <family val="2"/>
    </font>
    <font>
      <sz val="11"/>
      <color rgb="FFFA7D00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2"/>
      <color rgb="FF00206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double">
        <color theme="3" tint="0.39994506668294322"/>
      </left>
      <right style="thin">
        <color theme="3" tint="0.39994506668294322"/>
      </right>
      <top style="double">
        <color theme="3" tint="0.39994506668294322"/>
      </top>
      <bottom/>
      <diagonal/>
    </border>
    <border>
      <left style="thin">
        <color theme="3" tint="0.39994506668294322"/>
      </left>
      <right style="thin">
        <color theme="3" tint="0.39994506668294322"/>
      </right>
      <top style="double">
        <color theme="3" tint="0.39994506668294322"/>
      </top>
      <bottom/>
      <diagonal/>
    </border>
    <border>
      <left style="thin">
        <color theme="3" tint="0.39994506668294322"/>
      </left>
      <right style="double">
        <color theme="3" tint="0.39994506668294322"/>
      </right>
      <top style="double">
        <color theme="3" tint="0.39994506668294322"/>
      </top>
      <bottom/>
      <diagonal/>
    </border>
    <border>
      <left style="double">
        <color theme="3" tint="0.39994506668294322"/>
      </left>
      <right style="thin">
        <color theme="3" tint="0.39994506668294322"/>
      </right>
      <top style="double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double">
        <color theme="3" tint="0.39994506668294322"/>
      </right>
      <top style="double">
        <color theme="3" tint="0.39994506668294322"/>
      </top>
      <bottom style="thin">
        <color theme="3" tint="0.39994506668294322"/>
      </bottom>
      <diagonal/>
    </border>
    <border>
      <left style="double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double">
        <color theme="3" tint="0.39994506668294322"/>
      </bottom>
      <diagonal/>
    </border>
    <border>
      <left style="thin">
        <color theme="3" tint="0.39994506668294322"/>
      </left>
      <right style="double">
        <color theme="3" tint="0.39994506668294322"/>
      </right>
      <top style="thin">
        <color theme="3" tint="0.39994506668294322"/>
      </top>
      <bottom style="double">
        <color theme="3" tint="0.399945066682943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theme="3" tint="0.39994506668294322"/>
      </left>
      <right/>
      <top style="double">
        <color theme="3" tint="0.39994506668294322"/>
      </top>
      <bottom style="thin">
        <color theme="3" tint="0.39994506668294322"/>
      </bottom>
      <diagonal/>
    </border>
    <border>
      <left style="double">
        <color theme="3" tint="0.39994506668294322"/>
      </left>
      <right/>
      <top style="thin">
        <color theme="3" tint="0.39994506668294322"/>
      </top>
      <bottom style="double">
        <color theme="3" tint="0.39994506668294322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4" fontId="4" fillId="0" borderId="0" applyFont="0" applyFill="0" applyBorder="0" applyAlignment="0" applyProtection="0"/>
    <xf numFmtId="0" fontId="13" fillId="0" borderId="0"/>
    <xf numFmtId="0" fontId="16" fillId="7" borderId="0" applyNumberFormat="0" applyBorder="0" applyAlignment="0" applyProtection="0"/>
    <xf numFmtId="0" fontId="25" fillId="0" borderId="31" applyNumberFormat="0" applyFill="0" applyAlignment="0" applyProtection="0"/>
  </cellStyleXfs>
  <cellXfs count="133">
    <xf numFmtId="0" fontId="0" fillId="0" borderId="0" xfId="0"/>
    <xf numFmtId="0" fontId="0" fillId="0" borderId="2" xfId="0" applyBorder="1"/>
    <xf numFmtId="0" fontId="3" fillId="0" borderId="0" xfId="0" applyFont="1"/>
    <xf numFmtId="0" fontId="5" fillId="0" borderId="0" xfId="0" applyFont="1"/>
    <xf numFmtId="0" fontId="6" fillId="0" borderId="0" xfId="4" applyFont="1"/>
    <xf numFmtId="0" fontId="8" fillId="0" borderId="0" xfId="0" applyFont="1"/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1" xfId="0" applyBorder="1"/>
    <xf numFmtId="0" fontId="0" fillId="0" borderId="8" xfId="0" applyBorder="1"/>
    <xf numFmtId="0" fontId="10" fillId="0" borderId="0" xfId="0" applyFont="1"/>
    <xf numFmtId="0" fontId="7" fillId="3" borderId="0" xfId="0" applyFont="1" applyFill="1" applyAlignment="1">
      <alignment horizontal="center"/>
    </xf>
    <xf numFmtId="14" fontId="0" fillId="0" borderId="0" xfId="0" applyNumberFormat="1"/>
    <xf numFmtId="165" fontId="0" fillId="0" borderId="0" xfId="0" applyNumberFormat="1"/>
    <xf numFmtId="0" fontId="5" fillId="4" borderId="12" xfId="0" applyFont="1" applyFill="1" applyBorder="1" applyAlignment="1">
      <alignment horizontal="center"/>
    </xf>
    <xf numFmtId="0" fontId="11" fillId="0" borderId="13" xfId="0" applyFont="1" applyBorder="1"/>
    <xf numFmtId="0" fontId="5" fillId="4" borderId="14" xfId="0" applyFont="1" applyFill="1" applyBorder="1" applyAlignment="1">
      <alignment horizontal="center"/>
    </xf>
    <xf numFmtId="165" fontId="11" fillId="0" borderId="13" xfId="0" applyNumberFormat="1" applyFont="1" applyBorder="1"/>
    <xf numFmtId="14" fontId="5" fillId="4" borderId="15" xfId="0" applyNumberFormat="1" applyFont="1" applyFill="1" applyBorder="1" applyAlignment="1">
      <alignment horizontal="center"/>
    </xf>
    <xf numFmtId="0" fontId="11" fillId="0" borderId="16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5" borderId="2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12" fillId="0" borderId="0" xfId="0" applyFont="1"/>
    <xf numFmtId="0" fontId="14" fillId="6" borderId="2" xfId="8" applyFont="1" applyFill="1" applyBorder="1" applyAlignment="1">
      <alignment horizontal="center" vertical="center" wrapText="1"/>
    </xf>
    <xf numFmtId="14" fontId="1" fillId="0" borderId="2" xfId="8" applyNumberFormat="1" applyFont="1" applyBorder="1"/>
    <xf numFmtId="0" fontId="1" fillId="0" borderId="2" xfId="8" applyFont="1" applyBorder="1" applyAlignment="1">
      <alignment horizontal="center" vertical="center"/>
    </xf>
    <xf numFmtId="0" fontId="1" fillId="0" borderId="2" xfId="8" applyFont="1" applyBorder="1" applyAlignment="1">
      <alignment horizontal="left" vertical="center"/>
    </xf>
    <xf numFmtId="0" fontId="1" fillId="0" borderId="2" xfId="8" applyFont="1" applyBorder="1" applyAlignment="1">
      <alignment vertical="center"/>
    </xf>
    <xf numFmtId="166" fontId="1" fillId="0" borderId="2" xfId="8" applyNumberFormat="1" applyFont="1" applyBorder="1" applyAlignment="1">
      <alignment vertical="center"/>
    </xf>
    <xf numFmtId="0" fontId="5" fillId="0" borderId="2" xfId="0" applyFont="1" applyBorder="1" applyAlignment="1">
      <alignment horizontal="center"/>
    </xf>
    <xf numFmtId="164" fontId="0" fillId="0" borderId="0" xfId="1" applyFont="1"/>
    <xf numFmtId="0" fontId="17" fillId="0" borderId="0" xfId="2" applyFont="1" applyAlignment="1">
      <alignment horizontal="center"/>
    </xf>
    <xf numFmtId="9" fontId="1" fillId="0" borderId="0" xfId="3" applyFont="1"/>
    <xf numFmtId="0" fontId="5" fillId="0" borderId="7" xfId="0" applyFont="1" applyBorder="1"/>
    <xf numFmtId="0" fontId="5" fillId="0" borderId="6" xfId="0" applyFont="1" applyBorder="1"/>
    <xf numFmtId="0" fontId="9" fillId="0" borderId="8" xfId="0" applyFont="1" applyBorder="1"/>
    <xf numFmtId="0" fontId="5" fillId="0" borderId="9" xfId="0" applyFont="1" applyBorder="1"/>
    <xf numFmtId="164" fontId="6" fillId="0" borderId="7" xfId="1" applyFont="1" applyBorder="1"/>
    <xf numFmtId="0" fontId="1" fillId="0" borderId="0" xfId="0" applyFont="1"/>
    <xf numFmtId="0" fontId="2" fillId="2" borderId="0" xfId="9" applyFont="1" applyFill="1" applyAlignment="1">
      <alignment horizontal="center"/>
    </xf>
    <xf numFmtId="14" fontId="9" fillId="0" borderId="0" xfId="2" applyNumberFormat="1" applyFont="1"/>
    <xf numFmtId="0" fontId="9" fillId="0" borderId="0" xfId="2" applyFont="1"/>
    <xf numFmtId="4" fontId="9" fillId="0" borderId="0" xfId="2" applyNumberFormat="1" applyFont="1"/>
    <xf numFmtId="0" fontId="9" fillId="0" borderId="0" xfId="2" applyFont="1" applyAlignment="1">
      <alignment horizontal="center"/>
    </xf>
    <xf numFmtId="164" fontId="6" fillId="0" borderId="9" xfId="1" applyFont="1" applyBorder="1"/>
    <xf numFmtId="164" fontId="6" fillId="0" borderId="6" xfId="1" applyFont="1" applyBorder="1"/>
    <xf numFmtId="0" fontId="0" fillId="0" borderId="19" xfId="0" applyBorder="1"/>
    <xf numFmtId="0" fontId="7" fillId="8" borderId="21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center" vertical="center"/>
    </xf>
    <xf numFmtId="0" fontId="7" fillId="8" borderId="23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0" fillId="0" borderId="2" xfId="0" applyNumberFormat="1" applyBorder="1"/>
    <xf numFmtId="0" fontId="9" fillId="0" borderId="2" xfId="6" applyFont="1" applyBorder="1" applyAlignment="1">
      <alignment horizontal="center"/>
    </xf>
    <xf numFmtId="0" fontId="22" fillId="2" borderId="26" xfId="0" applyFont="1" applyFill="1" applyBorder="1"/>
    <xf numFmtId="164" fontId="5" fillId="0" borderId="27" xfId="1" applyFont="1" applyBorder="1"/>
    <xf numFmtId="0" fontId="22" fillId="2" borderId="24" xfId="0" applyFont="1" applyFill="1" applyBorder="1"/>
    <xf numFmtId="0" fontId="23" fillId="0" borderId="25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64" fontId="5" fillId="0" borderId="25" xfId="1" applyFont="1" applyBorder="1"/>
    <xf numFmtId="164" fontId="0" fillId="0" borderId="2" xfId="1" applyFont="1" applyBorder="1"/>
    <xf numFmtId="0" fontId="1" fillId="0" borderId="2" xfId="0" applyFont="1" applyBorder="1" applyAlignment="1">
      <alignment horizontal="center"/>
    </xf>
    <xf numFmtId="0" fontId="0" fillId="0" borderId="28" xfId="0" applyBorder="1"/>
    <xf numFmtId="0" fontId="5" fillId="0" borderId="0" xfId="0" applyFont="1" applyAlignment="1">
      <alignment horizontal="center"/>
    </xf>
    <xf numFmtId="0" fontId="22" fillId="9" borderId="29" xfId="0" applyFont="1" applyFill="1" applyBorder="1"/>
    <xf numFmtId="0" fontId="22" fillId="9" borderId="30" xfId="0" applyFont="1" applyFill="1" applyBorder="1"/>
    <xf numFmtId="0" fontId="22" fillId="2" borderId="30" xfId="0" applyFont="1" applyFill="1" applyBorder="1"/>
    <xf numFmtId="165" fontId="5" fillId="9" borderId="2" xfId="0" applyNumberFormat="1" applyFont="1" applyFill="1" applyBorder="1"/>
    <xf numFmtId="164" fontId="5" fillId="0" borderId="2" xfId="1" applyFont="1" applyBorder="1"/>
    <xf numFmtId="0" fontId="24" fillId="0" borderId="0" xfId="2" applyFont="1" applyAlignment="1">
      <alignment horizontal="left"/>
    </xf>
    <xf numFmtId="0" fontId="23" fillId="0" borderId="6" xfId="0" applyFont="1" applyBorder="1"/>
    <xf numFmtId="0" fontId="23" fillId="0" borderId="7" xfId="0" applyFont="1" applyBorder="1"/>
    <xf numFmtId="164" fontId="0" fillId="0" borderId="20" xfId="1" applyFont="1" applyBorder="1"/>
    <xf numFmtId="0" fontId="5" fillId="10" borderId="2" xfId="0" applyFont="1" applyFill="1" applyBorder="1" applyAlignment="1">
      <alignment horizontal="center"/>
    </xf>
    <xf numFmtId="165" fontId="0" fillId="0" borderId="28" xfId="0" applyNumberFormat="1" applyBorder="1"/>
    <xf numFmtId="0" fontId="0" fillId="0" borderId="28" xfId="0" applyBorder="1" applyAlignment="1">
      <alignment horizontal="center"/>
    </xf>
    <xf numFmtId="0" fontId="9" fillId="0" borderId="28" xfId="6" applyFont="1" applyBorder="1" applyAlignment="1">
      <alignment horizontal="center"/>
    </xf>
    <xf numFmtId="0" fontId="9" fillId="0" borderId="1" xfId="0" applyFont="1" applyBorder="1"/>
    <xf numFmtId="164" fontId="0" fillId="0" borderId="7" xfId="1" applyFont="1" applyFill="1" applyBorder="1"/>
    <xf numFmtId="164" fontId="0" fillId="0" borderId="9" xfId="1" applyFont="1" applyFill="1" applyBorder="1"/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7" xfId="0" applyBorder="1"/>
    <xf numFmtId="0" fontId="0" fillId="0" borderId="9" xfId="0" applyBorder="1"/>
    <xf numFmtId="0" fontId="1" fillId="0" borderId="0" xfId="4"/>
    <xf numFmtId="0" fontId="1" fillId="0" borderId="0" xfId="4" applyAlignment="1">
      <alignment horizontal="center"/>
    </xf>
    <xf numFmtId="0" fontId="27" fillId="0" borderId="31" xfId="10" applyFont="1" applyFill="1" applyAlignment="1">
      <alignment horizontal="center"/>
    </xf>
    <xf numFmtId="0" fontId="3" fillId="0" borderId="0" xfId="4" applyFont="1"/>
    <xf numFmtId="0" fontId="3" fillId="0" borderId="0" xfId="4" applyFont="1" applyAlignment="1">
      <alignment horizontal="center"/>
    </xf>
    <xf numFmtId="0" fontId="24" fillId="0" borderId="0" xfId="0" applyFont="1"/>
    <xf numFmtId="0" fontId="4" fillId="0" borderId="0" xfId="0" applyFont="1"/>
    <xf numFmtId="14" fontId="1" fillId="0" borderId="2" xfId="4" applyNumberFormat="1" applyBorder="1"/>
    <xf numFmtId="0" fontId="1" fillId="0" borderId="2" xfId="4" applyBorder="1"/>
    <xf numFmtId="166" fontId="1" fillId="0" borderId="2" xfId="4" applyNumberFormat="1" applyBorder="1"/>
    <xf numFmtId="0" fontId="5" fillId="0" borderId="0" xfId="4" applyFont="1" applyAlignment="1">
      <alignment horizontal="center"/>
    </xf>
    <xf numFmtId="0" fontId="3" fillId="0" borderId="2" xfId="4" applyFont="1" applyBorder="1" applyAlignment="1">
      <alignment horizontal="center"/>
    </xf>
    <xf numFmtId="0" fontId="3" fillId="0" borderId="28" xfId="4" applyFont="1" applyBorder="1" applyAlignment="1">
      <alignment horizontal="center"/>
    </xf>
    <xf numFmtId="1" fontId="6" fillId="0" borderId="2" xfId="4" applyNumberFormat="1" applyFont="1" applyBorder="1"/>
    <xf numFmtId="166" fontId="1" fillId="0" borderId="2" xfId="4" applyNumberFormat="1" applyBorder="1" applyAlignment="1">
      <alignment horizontal="center"/>
    </xf>
    <xf numFmtId="0" fontId="5" fillId="0" borderId="0" xfId="4" applyFont="1"/>
    <xf numFmtId="0" fontId="4" fillId="0" borderId="0" xfId="0" applyFont="1" applyAlignment="1">
      <alignment horizontal="center"/>
    </xf>
    <xf numFmtId="0" fontId="0" fillId="0" borderId="32" xfId="0" applyBorder="1"/>
    <xf numFmtId="0" fontId="0" fillId="0" borderId="33" xfId="0" applyBorder="1" applyAlignment="1">
      <alignment horizontal="center"/>
    </xf>
    <xf numFmtId="0" fontId="0" fillId="0" borderId="33" xfId="0" applyBorder="1"/>
    <xf numFmtId="164" fontId="0" fillId="0" borderId="33" xfId="1" applyFont="1" applyBorder="1"/>
    <xf numFmtId="0" fontId="0" fillId="0" borderId="34" xfId="0" applyBorder="1"/>
    <xf numFmtId="164" fontId="0" fillId="0" borderId="35" xfId="1" applyFont="1" applyBorder="1"/>
    <xf numFmtId="0" fontId="0" fillId="0" borderId="36" xfId="0" applyBorder="1"/>
    <xf numFmtId="0" fontId="0" fillId="0" borderId="35" xfId="0" applyBorder="1"/>
    <xf numFmtId="164" fontId="0" fillId="0" borderId="37" xfId="1" applyFont="1" applyBorder="1"/>
    <xf numFmtId="0" fontId="0" fillId="0" borderId="38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164" fontId="1" fillId="0" borderId="2" xfId="1" applyFont="1" applyFill="1" applyBorder="1"/>
    <xf numFmtId="165" fontId="3" fillId="0" borderId="0" xfId="0" applyNumberFormat="1" applyFont="1"/>
    <xf numFmtId="0" fontId="5" fillId="4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26" fillId="0" borderId="0" xfId="4" applyFont="1" applyAlignment="1">
      <alignment horizontal="left" vertical="center"/>
    </xf>
    <xf numFmtId="0" fontId="3" fillId="0" borderId="0" xfId="1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18" fillId="2" borderId="0" xfId="9" applyFont="1" applyFill="1" applyAlignment="1">
      <alignment horizontal="center"/>
    </xf>
    <xf numFmtId="0" fontId="24" fillId="0" borderId="41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165" fontId="3" fillId="0" borderId="42" xfId="0" applyNumberFormat="1" applyFont="1" applyBorder="1" applyAlignment="1">
      <alignment horizontal="center"/>
    </xf>
  </cellXfs>
  <cellStyles count="11">
    <cellStyle name="Célula Ligada" xfId="10" builtinId="24"/>
    <cellStyle name="Euro" xfId="7" xr:uid="{093B1317-E0E7-4DD1-A49D-17314BBB821A}"/>
    <cellStyle name="Incorreto" xfId="9" builtinId="27"/>
    <cellStyle name="Moeda" xfId="1" builtinId="4"/>
    <cellStyle name="Normal" xfId="0" builtinId="0"/>
    <cellStyle name="Normal 2" xfId="6" xr:uid="{E0669BD3-A8BE-4B2D-A6E8-F59B22B211D5}"/>
    <cellStyle name="Normal 2 2" xfId="8" xr:uid="{D9FF7DD3-4203-4D05-8886-62AA7A364506}"/>
    <cellStyle name="Normal 3" xfId="2" xr:uid="{922B8EC9-2ED9-4ACD-9B51-B9D35BF3AB05}"/>
    <cellStyle name="Normal 3 2" xfId="5" xr:uid="{159F8A69-8BAD-406F-B84E-56D03A6E300C}"/>
    <cellStyle name="Normal 4" xfId="4" xr:uid="{560D397D-8955-4E8C-82D3-C0658B98025D}"/>
    <cellStyle name="Percentagem 3" xfId="3" xr:uid="{642AC689-C1BE-4346-AB37-C7495068DD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81F2-D24C-4E84-8863-DF208A28B23A}">
  <dimension ref="A1:H54"/>
  <sheetViews>
    <sheetView zoomScale="120" zoomScaleNormal="120" workbookViewId="0">
      <selection activeCell="H4" sqref="H4:H13"/>
    </sheetView>
  </sheetViews>
  <sheetFormatPr defaultRowHeight="15" x14ac:dyDescent="0.25"/>
  <cols>
    <col min="2" max="2" width="21.42578125" customWidth="1"/>
    <col min="3" max="3" width="10.7109375" style="20" customWidth="1"/>
    <col min="4" max="4" width="20.42578125" style="21" bestFit="1" customWidth="1"/>
    <col min="5" max="5" width="6.28515625" customWidth="1"/>
    <col min="6" max="6" width="19.7109375" bestFit="1" customWidth="1"/>
    <col min="7" max="7" width="11.85546875" style="20" customWidth="1"/>
    <col min="8" max="8" width="12.28515625" customWidth="1"/>
  </cols>
  <sheetData>
    <row r="1" spans="1:8" ht="15.75" x14ac:dyDescent="0.25">
      <c r="A1" s="3" t="s">
        <v>99</v>
      </c>
      <c r="B1" s="3"/>
      <c r="C1" s="3"/>
      <c r="D1" s="3"/>
      <c r="F1" s="3"/>
    </row>
    <row r="2" spans="1:8" ht="10.5" customHeight="1" x14ac:dyDescent="0.25"/>
    <row r="3" spans="1:8" x14ac:dyDescent="0.25">
      <c r="A3" s="22" t="s">
        <v>27</v>
      </c>
      <c r="B3" s="22" t="s">
        <v>100</v>
      </c>
      <c r="C3" s="22" t="s">
        <v>101</v>
      </c>
      <c r="D3" s="22" t="s">
        <v>10</v>
      </c>
      <c r="F3" s="22" t="s">
        <v>102</v>
      </c>
      <c r="G3" s="22" t="s">
        <v>28</v>
      </c>
      <c r="H3" s="22" t="s">
        <v>103</v>
      </c>
    </row>
    <row r="4" spans="1:8" x14ac:dyDescent="0.25">
      <c r="A4" s="1">
        <v>1</v>
      </c>
      <c r="B4" s="1" t="s">
        <v>29</v>
      </c>
      <c r="C4" s="6">
        <v>239</v>
      </c>
      <c r="D4" s="23" t="s">
        <v>30</v>
      </c>
      <c r="F4" s="1" t="s">
        <v>30</v>
      </c>
      <c r="G4" s="6">
        <f>COUNTIF($D$4:$D$53,F4)</f>
        <v>3</v>
      </c>
      <c r="H4" s="1">
        <f>COUNTIF($D$4:$D$53,F4)+SUMIF($D$4:$D$53,F4,C4:C53)</f>
        <v>313</v>
      </c>
    </row>
    <row r="5" spans="1:8" x14ac:dyDescent="0.25">
      <c r="A5" s="1">
        <v>2</v>
      </c>
      <c r="B5" s="1" t="s">
        <v>31</v>
      </c>
      <c r="C5" s="6">
        <v>123</v>
      </c>
      <c r="D5" s="23" t="s">
        <v>32</v>
      </c>
      <c r="F5" s="1" t="s">
        <v>33</v>
      </c>
      <c r="G5" s="6">
        <f t="shared" ref="G5:G13" si="0">COUNTIF($D$4:$D$53,F5)</f>
        <v>6</v>
      </c>
      <c r="H5" s="1">
        <f t="shared" ref="H5:H13" si="1">COUNTIF($D$4:$D$53,F5)+SUMIF($D$4:$D$53,F5,C5:C54)</f>
        <v>242</v>
      </c>
    </row>
    <row r="6" spans="1:8" x14ac:dyDescent="0.25">
      <c r="A6" s="1">
        <v>3</v>
      </c>
      <c r="B6" s="1" t="s">
        <v>34</v>
      </c>
      <c r="C6" s="6">
        <v>81</v>
      </c>
      <c r="D6" s="23" t="s">
        <v>35</v>
      </c>
      <c r="F6" s="23" t="s">
        <v>36</v>
      </c>
      <c r="G6" s="6">
        <f t="shared" si="0"/>
        <v>5</v>
      </c>
      <c r="H6" s="1">
        <f t="shared" si="1"/>
        <v>199</v>
      </c>
    </row>
    <row r="7" spans="1:8" x14ac:dyDescent="0.25">
      <c r="A7" s="1">
        <v>4</v>
      </c>
      <c r="B7" s="1" t="s">
        <v>37</v>
      </c>
      <c r="C7" s="6">
        <v>75</v>
      </c>
      <c r="D7" s="23" t="s">
        <v>33</v>
      </c>
      <c r="F7" s="23" t="s">
        <v>38</v>
      </c>
      <c r="G7" s="6">
        <f t="shared" si="0"/>
        <v>3</v>
      </c>
      <c r="H7" s="1">
        <f t="shared" si="1"/>
        <v>113</v>
      </c>
    </row>
    <row r="8" spans="1:8" x14ac:dyDescent="0.25">
      <c r="A8" s="1">
        <v>5</v>
      </c>
      <c r="B8" s="1" t="s">
        <v>39</v>
      </c>
      <c r="C8" s="6">
        <v>71</v>
      </c>
      <c r="D8" s="23" t="s">
        <v>36</v>
      </c>
      <c r="F8" s="23" t="s">
        <v>40</v>
      </c>
      <c r="G8" s="6">
        <f t="shared" si="0"/>
        <v>3</v>
      </c>
      <c r="H8" s="1">
        <f t="shared" si="1"/>
        <v>106</v>
      </c>
    </row>
    <row r="9" spans="1:8" x14ac:dyDescent="0.25">
      <c r="A9" s="1">
        <v>6</v>
      </c>
      <c r="B9" s="1" t="s">
        <v>41</v>
      </c>
      <c r="C9" s="6">
        <v>60</v>
      </c>
      <c r="D9" s="23" t="s">
        <v>42</v>
      </c>
      <c r="F9" s="23" t="s">
        <v>43</v>
      </c>
      <c r="G9" s="6">
        <f t="shared" si="0"/>
        <v>3</v>
      </c>
      <c r="H9" s="1">
        <f t="shared" si="1"/>
        <v>95</v>
      </c>
    </row>
    <row r="10" spans="1:8" x14ac:dyDescent="0.25">
      <c r="A10" s="1">
        <v>7</v>
      </c>
      <c r="B10" s="1" t="s">
        <v>44</v>
      </c>
      <c r="C10" s="6">
        <v>59</v>
      </c>
      <c r="D10" s="23" t="s">
        <v>45</v>
      </c>
      <c r="F10" s="23" t="s">
        <v>32</v>
      </c>
      <c r="G10" s="6">
        <f t="shared" si="0"/>
        <v>5</v>
      </c>
      <c r="H10" s="1">
        <f t="shared" si="1"/>
        <v>117</v>
      </c>
    </row>
    <row r="11" spans="1:8" x14ac:dyDescent="0.25">
      <c r="A11" s="1">
        <v>8</v>
      </c>
      <c r="B11" s="1" t="s">
        <v>46</v>
      </c>
      <c r="C11" s="6">
        <v>51</v>
      </c>
      <c r="D11" s="23" t="s">
        <v>33</v>
      </c>
      <c r="F11" s="23" t="s">
        <v>47</v>
      </c>
      <c r="G11" s="6">
        <f t="shared" si="0"/>
        <v>4</v>
      </c>
      <c r="H11" s="1">
        <f t="shared" si="1"/>
        <v>86</v>
      </c>
    </row>
    <row r="12" spans="1:8" x14ac:dyDescent="0.25">
      <c r="A12" s="1">
        <v>9</v>
      </c>
      <c r="B12" s="1" t="s">
        <v>48</v>
      </c>
      <c r="C12" s="6">
        <v>50</v>
      </c>
      <c r="D12" s="23" t="s">
        <v>38</v>
      </c>
      <c r="F12" s="23" t="s">
        <v>45</v>
      </c>
      <c r="G12" s="6">
        <f t="shared" si="0"/>
        <v>2</v>
      </c>
      <c r="H12" s="1">
        <f t="shared" si="1"/>
        <v>75</v>
      </c>
    </row>
    <row r="13" spans="1:8" x14ac:dyDescent="0.25">
      <c r="A13" s="1">
        <v>10</v>
      </c>
      <c r="B13" s="1" t="s">
        <v>49</v>
      </c>
      <c r="C13" s="6">
        <v>49</v>
      </c>
      <c r="D13" s="23" t="s">
        <v>40</v>
      </c>
      <c r="F13" s="23" t="s">
        <v>42</v>
      </c>
      <c r="G13" s="6">
        <f t="shared" si="0"/>
        <v>5</v>
      </c>
      <c r="H13" s="1">
        <f t="shared" si="1"/>
        <v>131</v>
      </c>
    </row>
    <row r="14" spans="1:8" x14ac:dyDescent="0.25">
      <c r="A14" s="1">
        <v>11</v>
      </c>
      <c r="B14" s="1" t="s">
        <v>50</v>
      </c>
      <c r="C14" s="6">
        <v>49</v>
      </c>
      <c r="D14" s="23" t="s">
        <v>36</v>
      </c>
      <c r="G14" s="20" t="s">
        <v>282</v>
      </c>
    </row>
    <row r="15" spans="1:8" ht="15.75" x14ac:dyDescent="0.25">
      <c r="A15" s="1">
        <v>12</v>
      </c>
      <c r="B15" s="1" t="s">
        <v>51</v>
      </c>
      <c r="C15" s="6">
        <v>49</v>
      </c>
      <c r="D15" s="23" t="s">
        <v>52</v>
      </c>
      <c r="F15" s="24" t="s">
        <v>8</v>
      </c>
    </row>
    <row r="16" spans="1:8" x14ac:dyDescent="0.25">
      <c r="A16" s="1">
        <v>13</v>
      </c>
      <c r="B16" s="1" t="s">
        <v>53</v>
      </c>
      <c r="C16" s="6">
        <v>47</v>
      </c>
      <c r="D16" s="23" t="s">
        <v>30</v>
      </c>
      <c r="F16" t="s">
        <v>104</v>
      </c>
    </row>
    <row r="17" spans="1:6" x14ac:dyDescent="0.25">
      <c r="A17" s="1">
        <v>14</v>
      </c>
      <c r="B17" s="1" t="s">
        <v>54</v>
      </c>
      <c r="C17" s="6">
        <v>47</v>
      </c>
      <c r="D17" s="23" t="s">
        <v>32</v>
      </c>
      <c r="F17" t="s">
        <v>105</v>
      </c>
    </row>
    <row r="18" spans="1:6" x14ac:dyDescent="0.25">
      <c r="A18" s="1">
        <v>15</v>
      </c>
      <c r="B18" s="1" t="s">
        <v>55</v>
      </c>
      <c r="C18" s="6">
        <v>44</v>
      </c>
      <c r="D18" s="23" t="s">
        <v>56</v>
      </c>
    </row>
    <row r="19" spans="1:6" x14ac:dyDescent="0.25">
      <c r="A19" s="1">
        <v>16</v>
      </c>
      <c r="B19" s="1" t="s">
        <v>57</v>
      </c>
      <c r="C19" s="6">
        <v>43</v>
      </c>
      <c r="D19" s="23" t="s">
        <v>38</v>
      </c>
    </row>
    <row r="20" spans="1:6" x14ac:dyDescent="0.25">
      <c r="A20" s="1">
        <v>17</v>
      </c>
      <c r="B20" s="1" t="s">
        <v>58</v>
      </c>
      <c r="C20" s="6">
        <v>41</v>
      </c>
      <c r="D20" s="23" t="s">
        <v>43</v>
      </c>
    </row>
    <row r="21" spans="1:6" x14ac:dyDescent="0.25">
      <c r="A21" s="1">
        <v>18</v>
      </c>
      <c r="B21" s="1" t="s">
        <v>59</v>
      </c>
      <c r="C21" s="6">
        <v>39</v>
      </c>
      <c r="D21" s="23" t="s">
        <v>36</v>
      </c>
    </row>
    <row r="22" spans="1:6" x14ac:dyDescent="0.25">
      <c r="A22" s="1">
        <v>19</v>
      </c>
      <c r="B22" s="1" t="s">
        <v>60</v>
      </c>
      <c r="C22" s="6">
        <v>37</v>
      </c>
      <c r="D22" s="23" t="s">
        <v>61</v>
      </c>
    </row>
    <row r="23" spans="1:6" x14ac:dyDescent="0.25">
      <c r="A23" s="1">
        <v>20</v>
      </c>
      <c r="B23" s="1" t="s">
        <v>62</v>
      </c>
      <c r="C23" s="6">
        <v>36</v>
      </c>
      <c r="D23" s="23" t="s">
        <v>63</v>
      </c>
    </row>
    <row r="24" spans="1:6" x14ac:dyDescent="0.25">
      <c r="A24" s="1">
        <v>21</v>
      </c>
      <c r="B24" s="1" t="s">
        <v>64</v>
      </c>
      <c r="C24" s="6">
        <v>35</v>
      </c>
      <c r="D24" s="23" t="s">
        <v>65</v>
      </c>
    </row>
    <row r="25" spans="1:6" x14ac:dyDescent="0.25">
      <c r="A25" s="1">
        <v>22</v>
      </c>
      <c r="B25" s="1" t="s">
        <v>66</v>
      </c>
      <c r="C25" s="6">
        <v>34</v>
      </c>
      <c r="D25" s="23" t="s">
        <v>47</v>
      </c>
    </row>
    <row r="26" spans="1:6" x14ac:dyDescent="0.25">
      <c r="A26" s="1">
        <v>23</v>
      </c>
      <c r="B26" s="1" t="s">
        <v>67</v>
      </c>
      <c r="C26" s="6">
        <v>34</v>
      </c>
      <c r="D26" s="23" t="s">
        <v>40</v>
      </c>
    </row>
    <row r="27" spans="1:6" x14ac:dyDescent="0.25">
      <c r="A27" s="1">
        <v>24</v>
      </c>
      <c r="B27" s="1" t="s">
        <v>68</v>
      </c>
      <c r="C27" s="6">
        <v>33</v>
      </c>
      <c r="D27" s="23" t="s">
        <v>69</v>
      </c>
    </row>
    <row r="28" spans="1:6" x14ac:dyDescent="0.25">
      <c r="A28" s="1">
        <v>25</v>
      </c>
      <c r="B28" s="1" t="s">
        <v>70</v>
      </c>
      <c r="C28" s="6">
        <v>32</v>
      </c>
      <c r="D28" s="23" t="s">
        <v>33</v>
      </c>
    </row>
    <row r="29" spans="1:6" x14ac:dyDescent="0.25">
      <c r="A29" s="1">
        <v>26</v>
      </c>
      <c r="B29" s="1" t="s">
        <v>71</v>
      </c>
      <c r="C29" s="6">
        <v>32</v>
      </c>
      <c r="D29" s="23" t="s">
        <v>42</v>
      </c>
    </row>
    <row r="30" spans="1:6" x14ac:dyDescent="0.25">
      <c r="A30" s="1">
        <v>27</v>
      </c>
      <c r="B30" s="1" t="s">
        <v>72</v>
      </c>
      <c r="C30" s="6">
        <v>31</v>
      </c>
      <c r="D30" s="23" t="s">
        <v>45</v>
      </c>
    </row>
    <row r="31" spans="1:6" x14ac:dyDescent="0.25">
      <c r="A31" s="1">
        <v>28</v>
      </c>
      <c r="B31" s="1" t="s">
        <v>73</v>
      </c>
      <c r="C31" s="6">
        <v>31</v>
      </c>
      <c r="D31" s="23" t="s">
        <v>65</v>
      </c>
    </row>
    <row r="32" spans="1:6" x14ac:dyDescent="0.25">
      <c r="A32" s="1">
        <v>29</v>
      </c>
      <c r="B32" s="1" t="s">
        <v>74</v>
      </c>
      <c r="C32" s="6">
        <v>31</v>
      </c>
      <c r="D32" s="23" t="s">
        <v>43</v>
      </c>
    </row>
    <row r="33" spans="1:4" x14ac:dyDescent="0.25">
      <c r="A33" s="1">
        <v>30</v>
      </c>
      <c r="B33" s="1" t="s">
        <v>75</v>
      </c>
      <c r="C33" s="6">
        <v>30</v>
      </c>
      <c r="D33" s="23" t="s">
        <v>76</v>
      </c>
    </row>
    <row r="34" spans="1:4" x14ac:dyDescent="0.25">
      <c r="A34" s="1">
        <v>31</v>
      </c>
      <c r="B34" s="1" t="s">
        <v>77</v>
      </c>
      <c r="C34" s="6">
        <v>30</v>
      </c>
      <c r="D34" s="23" t="s">
        <v>42</v>
      </c>
    </row>
    <row r="35" spans="1:4" x14ac:dyDescent="0.25">
      <c r="A35" s="1">
        <v>32</v>
      </c>
      <c r="B35" s="1" t="s">
        <v>78</v>
      </c>
      <c r="C35" s="6">
        <v>30</v>
      </c>
      <c r="D35" s="1" t="s">
        <v>47</v>
      </c>
    </row>
    <row r="36" spans="1:4" x14ac:dyDescent="0.25">
      <c r="A36" s="1">
        <v>33</v>
      </c>
      <c r="B36" s="1" t="s">
        <v>79</v>
      </c>
      <c r="C36" s="6">
        <v>30</v>
      </c>
      <c r="D36" s="23" t="s">
        <v>43</v>
      </c>
    </row>
    <row r="37" spans="1:4" x14ac:dyDescent="0.25">
      <c r="A37" s="1">
        <v>34</v>
      </c>
      <c r="B37" s="1" t="s">
        <v>80</v>
      </c>
      <c r="C37" s="6">
        <v>30</v>
      </c>
      <c r="D37" s="1" t="s">
        <v>36</v>
      </c>
    </row>
    <row r="38" spans="1:4" x14ac:dyDescent="0.25">
      <c r="A38" s="1">
        <v>35</v>
      </c>
      <c r="B38" s="1" t="s">
        <v>81</v>
      </c>
      <c r="C38" s="6">
        <v>29</v>
      </c>
      <c r="D38" s="1" t="s">
        <v>42</v>
      </c>
    </row>
    <row r="39" spans="1:4" x14ac:dyDescent="0.25">
      <c r="A39" s="1">
        <v>36</v>
      </c>
      <c r="B39" s="1" t="s">
        <v>82</v>
      </c>
      <c r="C39" s="6">
        <v>29</v>
      </c>
      <c r="D39" s="1" t="s">
        <v>33</v>
      </c>
    </row>
    <row r="40" spans="1:4" x14ac:dyDescent="0.25">
      <c r="A40" s="1">
        <v>37</v>
      </c>
      <c r="B40" s="1" t="s">
        <v>83</v>
      </c>
      <c r="C40" s="6">
        <v>28</v>
      </c>
      <c r="D40" s="1" t="s">
        <v>33</v>
      </c>
    </row>
    <row r="41" spans="1:4" x14ac:dyDescent="0.25">
      <c r="A41" s="1">
        <v>38</v>
      </c>
      <c r="B41" s="1" t="s">
        <v>84</v>
      </c>
      <c r="C41" s="6">
        <v>28</v>
      </c>
      <c r="D41" s="1" t="s">
        <v>32</v>
      </c>
    </row>
    <row r="42" spans="1:4" x14ac:dyDescent="0.25">
      <c r="A42" s="1">
        <v>39</v>
      </c>
      <c r="B42" s="1" t="s">
        <v>85</v>
      </c>
      <c r="C42" s="6">
        <v>28</v>
      </c>
      <c r="D42" s="1" t="s">
        <v>86</v>
      </c>
    </row>
    <row r="43" spans="1:4" x14ac:dyDescent="0.25">
      <c r="A43" s="1">
        <v>40</v>
      </c>
      <c r="B43" s="1" t="s">
        <v>87</v>
      </c>
      <c r="C43" s="6">
        <v>28</v>
      </c>
      <c r="D43" s="1" t="s">
        <v>33</v>
      </c>
    </row>
    <row r="44" spans="1:4" x14ac:dyDescent="0.25">
      <c r="A44" s="1">
        <v>41</v>
      </c>
      <c r="B44" s="1" t="s">
        <v>88</v>
      </c>
      <c r="C44" s="6">
        <v>27</v>
      </c>
      <c r="D44" s="1" t="s">
        <v>40</v>
      </c>
    </row>
    <row r="45" spans="1:4" x14ac:dyDescent="0.25">
      <c r="A45" s="1">
        <v>42</v>
      </c>
      <c r="B45" s="1" t="s">
        <v>89</v>
      </c>
      <c r="C45" s="6">
        <v>27</v>
      </c>
      <c r="D45" s="1" t="s">
        <v>42</v>
      </c>
    </row>
    <row r="46" spans="1:4" x14ac:dyDescent="0.25">
      <c r="A46" s="1">
        <v>43</v>
      </c>
      <c r="B46" s="1" t="s">
        <v>90</v>
      </c>
      <c r="C46" s="6">
        <v>25</v>
      </c>
      <c r="D46" s="1" t="s">
        <v>47</v>
      </c>
    </row>
    <row r="47" spans="1:4" x14ac:dyDescent="0.25">
      <c r="A47" s="1">
        <v>44</v>
      </c>
      <c r="B47" s="1" t="s">
        <v>91</v>
      </c>
      <c r="C47" s="6">
        <v>25</v>
      </c>
      <c r="D47" s="1" t="s">
        <v>38</v>
      </c>
    </row>
    <row r="48" spans="1:4" x14ac:dyDescent="0.25">
      <c r="A48" s="1">
        <v>45</v>
      </c>
      <c r="B48" s="1" t="s">
        <v>92</v>
      </c>
      <c r="C48" s="6">
        <v>25</v>
      </c>
      <c r="D48" s="1" t="s">
        <v>32</v>
      </c>
    </row>
    <row r="49" spans="1:4" x14ac:dyDescent="0.25">
      <c r="A49" s="1">
        <v>46</v>
      </c>
      <c r="B49" s="1" t="s">
        <v>93</v>
      </c>
      <c r="C49" s="6">
        <v>24</v>
      </c>
      <c r="D49" s="1" t="s">
        <v>36</v>
      </c>
    </row>
    <row r="50" spans="1:4" x14ac:dyDescent="0.25">
      <c r="A50" s="1">
        <v>47</v>
      </c>
      <c r="B50" s="1" t="s">
        <v>94</v>
      </c>
      <c r="C50" s="6">
        <v>24</v>
      </c>
      <c r="D50" s="1" t="s">
        <v>30</v>
      </c>
    </row>
    <row r="51" spans="1:4" x14ac:dyDescent="0.25">
      <c r="A51" s="1">
        <v>48</v>
      </c>
      <c r="B51" s="1" t="s">
        <v>95</v>
      </c>
      <c r="C51" s="6">
        <v>23</v>
      </c>
      <c r="D51" s="23" t="s">
        <v>32</v>
      </c>
    </row>
    <row r="52" spans="1:4" x14ac:dyDescent="0.25">
      <c r="A52" s="1">
        <v>49</v>
      </c>
      <c r="B52" s="1" t="s">
        <v>96</v>
      </c>
      <c r="C52" s="6">
        <v>23</v>
      </c>
      <c r="D52" s="1" t="s">
        <v>47</v>
      </c>
    </row>
    <row r="53" spans="1:4" x14ac:dyDescent="0.25">
      <c r="A53" s="1">
        <v>50</v>
      </c>
      <c r="B53" s="1" t="s">
        <v>97</v>
      </c>
      <c r="C53" s="6">
        <v>23</v>
      </c>
      <c r="D53" s="1" t="s">
        <v>98</v>
      </c>
    </row>
    <row r="54" spans="1:4" x14ac:dyDescent="0.25">
      <c r="A54" s="63"/>
      <c r="B54" s="6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FF65-BA46-43A3-B83B-95173B6C800F}">
  <dimension ref="A1:N1001"/>
  <sheetViews>
    <sheetView workbookViewId="0">
      <selection activeCell="E4" sqref="E4"/>
    </sheetView>
  </sheetViews>
  <sheetFormatPr defaultRowHeight="15" x14ac:dyDescent="0.25"/>
  <cols>
    <col min="1" max="1" width="7.42578125" customWidth="1"/>
    <col min="2" max="2" width="12.5703125" customWidth="1"/>
    <col min="3" max="3" width="13.85546875" customWidth="1"/>
    <col min="4" max="4" width="12" customWidth="1"/>
    <col min="5" max="5" width="12" bestFit="1" customWidth="1"/>
    <col min="6" max="6" width="10.42578125" bestFit="1" customWidth="1"/>
    <col min="7" max="7" width="11.85546875" bestFit="1" customWidth="1"/>
    <col min="8" max="8" width="3.42578125" customWidth="1"/>
    <col min="9" max="9" width="22" bestFit="1" customWidth="1"/>
    <col min="10" max="10" width="17" customWidth="1"/>
    <col min="11" max="11" width="11.5703125" customWidth="1"/>
    <col min="12" max="12" width="12" bestFit="1" customWidth="1"/>
  </cols>
  <sheetData>
    <row r="1" spans="1:14" x14ac:dyDescent="0.25">
      <c r="I1" s="10" t="s">
        <v>207</v>
      </c>
    </row>
    <row r="2" spans="1:14" ht="4.5" customHeight="1" x14ac:dyDescent="0.25"/>
    <row r="3" spans="1:14" ht="15.75" x14ac:dyDescent="0.25">
      <c r="A3" s="11" t="s">
        <v>9</v>
      </c>
      <c r="B3" s="11" t="s">
        <v>0</v>
      </c>
      <c r="C3" s="11" t="s">
        <v>10</v>
      </c>
      <c r="D3" s="11" t="s">
        <v>11</v>
      </c>
      <c r="E3" s="11" t="s">
        <v>3</v>
      </c>
      <c r="F3" s="11" t="s">
        <v>12</v>
      </c>
      <c r="G3" s="11" t="s">
        <v>1</v>
      </c>
      <c r="I3" s="117" t="s">
        <v>13</v>
      </c>
      <c r="J3" s="118"/>
    </row>
    <row r="4" spans="1:14" ht="15.75" x14ac:dyDescent="0.25">
      <c r="A4">
        <v>10052</v>
      </c>
      <c r="B4" s="12">
        <v>45293</v>
      </c>
      <c r="C4" t="s">
        <v>14</v>
      </c>
      <c r="D4" t="s">
        <v>15</v>
      </c>
      <c r="E4" s="13">
        <v>1436</v>
      </c>
      <c r="F4" s="13">
        <v>143.6</v>
      </c>
      <c r="G4" s="13">
        <f>SUM(E4:F4)</f>
        <v>1579.6</v>
      </c>
      <c r="I4" s="14" t="s">
        <v>14</v>
      </c>
      <c r="J4" s="15">
        <f>COUNTIF(C:C,I4)</f>
        <v>706</v>
      </c>
      <c r="L4" s="116" t="s">
        <v>283</v>
      </c>
      <c r="M4" s="2"/>
      <c r="N4" s="2"/>
    </row>
    <row r="5" spans="1:14" ht="15.75" x14ac:dyDescent="0.25">
      <c r="A5">
        <v>10053</v>
      </c>
      <c r="B5" s="12">
        <v>45293</v>
      </c>
      <c r="C5" t="s">
        <v>14</v>
      </c>
      <c r="D5" t="s">
        <v>16</v>
      </c>
      <c r="E5" s="13">
        <v>334</v>
      </c>
      <c r="F5" s="13">
        <v>33.4</v>
      </c>
      <c r="G5" s="13">
        <f t="shared" ref="G5:G68" si="0">SUM(E5:F5)</f>
        <v>367.4</v>
      </c>
      <c r="I5" s="16" t="s">
        <v>17</v>
      </c>
      <c r="J5" s="15">
        <f>COUNTIF(C:C,I5)</f>
        <v>292</v>
      </c>
      <c r="L5" s="2" t="s">
        <v>284</v>
      </c>
      <c r="M5" s="2"/>
      <c r="N5" s="2"/>
    </row>
    <row r="6" spans="1:14" x14ac:dyDescent="0.25">
      <c r="A6">
        <v>10054</v>
      </c>
      <c r="B6" s="12">
        <v>45294</v>
      </c>
      <c r="C6" t="s">
        <v>14</v>
      </c>
      <c r="D6" t="s">
        <v>18</v>
      </c>
      <c r="E6" s="13">
        <v>2556.9499999999998</v>
      </c>
      <c r="F6" s="13">
        <v>204.55599999999998</v>
      </c>
      <c r="G6" s="13">
        <f t="shared" si="0"/>
        <v>2761.5059999999999</v>
      </c>
    </row>
    <row r="7" spans="1:14" ht="15.75" x14ac:dyDescent="0.25">
      <c r="A7">
        <v>10055</v>
      </c>
      <c r="B7" s="12">
        <v>45294</v>
      </c>
      <c r="C7" t="s">
        <v>14</v>
      </c>
      <c r="D7" t="s">
        <v>19</v>
      </c>
      <c r="E7" s="13">
        <v>2116.92</v>
      </c>
      <c r="F7" s="13">
        <v>169.3536</v>
      </c>
      <c r="G7" s="13">
        <f t="shared" si="0"/>
        <v>2286.2736</v>
      </c>
      <c r="I7" s="119" t="s">
        <v>26</v>
      </c>
      <c r="J7" s="120"/>
    </row>
    <row r="8" spans="1:14" ht="15.75" x14ac:dyDescent="0.25">
      <c r="A8">
        <v>10056</v>
      </c>
      <c r="B8" s="12">
        <v>45295</v>
      </c>
      <c r="C8" t="s">
        <v>14</v>
      </c>
      <c r="D8" t="s">
        <v>20</v>
      </c>
      <c r="E8" s="13">
        <v>714.72</v>
      </c>
      <c r="F8" s="13">
        <v>71.472000000000008</v>
      </c>
      <c r="G8" s="13">
        <f t="shared" si="0"/>
        <v>786.19200000000001</v>
      </c>
      <c r="I8" s="14" t="s">
        <v>14</v>
      </c>
      <c r="J8" s="17">
        <f>SUMIF(C:C,I8,G:G)</f>
        <v>1157542.8111999999</v>
      </c>
      <c r="L8" s="2"/>
    </row>
    <row r="9" spans="1:14" ht="15.75" x14ac:dyDescent="0.25">
      <c r="A9">
        <v>10057</v>
      </c>
      <c r="B9" s="12">
        <v>45296</v>
      </c>
      <c r="C9" t="s">
        <v>14</v>
      </c>
      <c r="D9" t="s">
        <v>18</v>
      </c>
      <c r="E9" s="13">
        <v>436</v>
      </c>
      <c r="F9" s="13">
        <v>43.6</v>
      </c>
      <c r="G9" s="13">
        <f t="shared" si="0"/>
        <v>479.6</v>
      </c>
      <c r="I9" s="16" t="s">
        <v>17</v>
      </c>
      <c r="J9" s="17">
        <f>SUMIF(C:C,I9,G:G)</f>
        <v>525524.03220000002</v>
      </c>
    </row>
    <row r="10" spans="1:14" x14ac:dyDescent="0.25">
      <c r="A10">
        <v>10058</v>
      </c>
      <c r="B10" s="12">
        <v>45296</v>
      </c>
      <c r="C10" t="s">
        <v>14</v>
      </c>
      <c r="D10" t="s">
        <v>18</v>
      </c>
      <c r="E10" s="13">
        <v>1897.8</v>
      </c>
      <c r="F10" s="13">
        <v>189.78</v>
      </c>
      <c r="G10" s="13">
        <f t="shared" si="0"/>
        <v>2087.58</v>
      </c>
    </row>
    <row r="11" spans="1:14" ht="15.75" x14ac:dyDescent="0.25">
      <c r="A11">
        <v>10059</v>
      </c>
      <c r="B11" s="12">
        <v>45298</v>
      </c>
      <c r="C11" t="s">
        <v>14</v>
      </c>
      <c r="D11" t="s">
        <v>15</v>
      </c>
      <c r="E11" s="13">
        <v>1599.25</v>
      </c>
      <c r="F11" s="13">
        <v>159.92500000000001</v>
      </c>
      <c r="G11" s="13">
        <f t="shared" si="0"/>
        <v>1759.175</v>
      </c>
      <c r="I11" s="117" t="s">
        <v>208</v>
      </c>
      <c r="J11" s="118"/>
    </row>
    <row r="12" spans="1:14" ht="15.75" x14ac:dyDescent="0.25">
      <c r="A12">
        <v>10060</v>
      </c>
      <c r="B12" s="12">
        <v>45299</v>
      </c>
      <c r="C12" t="s">
        <v>14</v>
      </c>
      <c r="D12" t="s">
        <v>21</v>
      </c>
      <c r="E12" s="13">
        <v>1768.6</v>
      </c>
      <c r="F12" s="13">
        <v>176.86</v>
      </c>
      <c r="G12" s="13">
        <f t="shared" si="0"/>
        <v>1945.46</v>
      </c>
      <c r="I12" s="14" t="s">
        <v>18</v>
      </c>
      <c r="J12" s="17">
        <f>SUMIF(D:D,I12,F:F)</f>
        <v>18298.295000000002</v>
      </c>
    </row>
    <row r="13" spans="1:14" ht="15.75" x14ac:dyDescent="0.25">
      <c r="A13">
        <v>10061</v>
      </c>
      <c r="B13" s="12">
        <v>45299</v>
      </c>
      <c r="C13" t="s">
        <v>14</v>
      </c>
      <c r="D13" t="s">
        <v>22</v>
      </c>
      <c r="E13" s="13">
        <v>855.01</v>
      </c>
      <c r="F13" s="13">
        <v>85.501000000000005</v>
      </c>
      <c r="G13" s="13">
        <f t="shared" si="0"/>
        <v>940.51099999999997</v>
      </c>
      <c r="I13" s="16" t="s">
        <v>23</v>
      </c>
      <c r="J13" s="17">
        <f t="shared" ref="J13:J20" si="1">SUMIF(D:D,I13,F:F)</f>
        <v>10997.086400000002</v>
      </c>
    </row>
    <row r="14" spans="1:14" ht="15.75" x14ac:dyDescent="0.25">
      <c r="A14">
        <v>10062</v>
      </c>
      <c r="B14" s="12">
        <v>45299</v>
      </c>
      <c r="C14" t="s">
        <v>14</v>
      </c>
      <c r="D14" t="s">
        <v>15</v>
      </c>
      <c r="E14" s="13">
        <v>2508.6</v>
      </c>
      <c r="F14" s="13">
        <v>200.68799999999999</v>
      </c>
      <c r="G14" s="13">
        <f t="shared" si="0"/>
        <v>2709.288</v>
      </c>
      <c r="I14" s="14" t="s">
        <v>21</v>
      </c>
      <c r="J14" s="17">
        <f t="shared" si="1"/>
        <v>13839.732699999995</v>
      </c>
    </row>
    <row r="15" spans="1:14" ht="15.75" x14ac:dyDescent="0.25">
      <c r="A15">
        <v>10063</v>
      </c>
      <c r="B15" s="12">
        <v>45300</v>
      </c>
      <c r="C15" t="s">
        <v>17</v>
      </c>
      <c r="D15" t="s">
        <v>18</v>
      </c>
      <c r="E15" s="13">
        <v>3868.6</v>
      </c>
      <c r="F15" s="13">
        <v>309.488</v>
      </c>
      <c r="G15" s="13">
        <f t="shared" si="0"/>
        <v>4178.0879999999997</v>
      </c>
      <c r="I15" s="16" t="s">
        <v>22</v>
      </c>
      <c r="J15" s="17">
        <f t="shared" si="1"/>
        <v>24655.160700000004</v>
      </c>
    </row>
    <row r="16" spans="1:14" ht="15.75" x14ac:dyDescent="0.25">
      <c r="A16">
        <v>10064</v>
      </c>
      <c r="B16" s="12">
        <v>45301</v>
      </c>
      <c r="C16" t="s">
        <v>17</v>
      </c>
      <c r="D16" t="s">
        <v>21</v>
      </c>
      <c r="E16" s="13">
        <v>2708.5</v>
      </c>
      <c r="F16" s="13">
        <v>243.76499999999999</v>
      </c>
      <c r="G16" s="13">
        <f t="shared" si="0"/>
        <v>2952.2649999999999</v>
      </c>
      <c r="I16" s="16" t="s">
        <v>24</v>
      </c>
      <c r="J16" s="17">
        <f t="shared" si="1"/>
        <v>20356.031399999993</v>
      </c>
    </row>
    <row r="17" spans="1:12" ht="15.75" x14ac:dyDescent="0.25">
      <c r="A17">
        <v>10065</v>
      </c>
      <c r="B17" s="12">
        <v>45305</v>
      </c>
      <c r="C17" t="s">
        <v>14</v>
      </c>
      <c r="D17" t="s">
        <v>24</v>
      </c>
      <c r="E17" s="13">
        <v>321.2</v>
      </c>
      <c r="F17" s="13">
        <v>32.119999999999997</v>
      </c>
      <c r="G17" s="13">
        <f t="shared" si="0"/>
        <v>353.32</v>
      </c>
      <c r="I17" s="16" t="s">
        <v>20</v>
      </c>
      <c r="J17" s="17">
        <f t="shared" si="1"/>
        <v>6382.1925999999994</v>
      </c>
    </row>
    <row r="18" spans="1:12" ht="15.75" x14ac:dyDescent="0.25">
      <c r="A18">
        <v>10066</v>
      </c>
      <c r="B18" s="12">
        <v>45306</v>
      </c>
      <c r="C18" t="s">
        <v>17</v>
      </c>
      <c r="D18" t="s">
        <v>23</v>
      </c>
      <c r="E18" s="13">
        <v>1833.78</v>
      </c>
      <c r="F18" s="13">
        <v>165.0402</v>
      </c>
      <c r="G18" s="13">
        <f t="shared" si="0"/>
        <v>1998.8201999999999</v>
      </c>
      <c r="I18" s="16" t="s">
        <v>15</v>
      </c>
      <c r="J18" s="17">
        <f t="shared" si="1"/>
        <v>15628.495200000008</v>
      </c>
    </row>
    <row r="19" spans="1:12" ht="15.75" x14ac:dyDescent="0.25">
      <c r="A19">
        <v>10067</v>
      </c>
      <c r="B19" s="12">
        <v>45306</v>
      </c>
      <c r="C19" t="s">
        <v>14</v>
      </c>
      <c r="D19" t="s">
        <v>21</v>
      </c>
      <c r="E19" s="13">
        <v>338.8</v>
      </c>
      <c r="F19" s="13">
        <v>33.880000000000003</v>
      </c>
      <c r="G19" s="13">
        <f t="shared" si="0"/>
        <v>372.68</v>
      </c>
      <c r="I19" s="16" t="s">
        <v>16</v>
      </c>
      <c r="J19" s="17">
        <f t="shared" si="1"/>
        <v>6526.1893999999993</v>
      </c>
    </row>
    <row r="20" spans="1:12" ht="15.75" x14ac:dyDescent="0.25">
      <c r="A20">
        <v>10068</v>
      </c>
      <c r="B20" s="12">
        <v>45307</v>
      </c>
      <c r="C20" t="s">
        <v>17</v>
      </c>
      <c r="D20" t="s">
        <v>21</v>
      </c>
      <c r="E20" s="13">
        <v>1617.4</v>
      </c>
      <c r="F20" s="13">
        <v>145.566</v>
      </c>
      <c r="G20" s="13">
        <f t="shared" si="0"/>
        <v>1762.9660000000001</v>
      </c>
      <c r="I20" s="16" t="s">
        <v>19</v>
      </c>
      <c r="J20" s="17">
        <f t="shared" si="1"/>
        <v>8132.2500000000009</v>
      </c>
    </row>
    <row r="21" spans="1:12" x14ac:dyDescent="0.25">
      <c r="A21">
        <v>10069</v>
      </c>
      <c r="B21" s="12">
        <v>45307</v>
      </c>
      <c r="C21" t="s">
        <v>14</v>
      </c>
      <c r="D21" t="s">
        <v>24</v>
      </c>
      <c r="E21" s="13">
        <v>2126.1999999999998</v>
      </c>
      <c r="F21" s="13">
        <v>170.09599999999998</v>
      </c>
      <c r="G21" s="13">
        <f t="shared" si="0"/>
        <v>2296.2959999999998</v>
      </c>
    </row>
    <row r="22" spans="1:12" ht="15.75" x14ac:dyDescent="0.25">
      <c r="A22">
        <v>10070</v>
      </c>
      <c r="B22" s="12">
        <v>45307</v>
      </c>
      <c r="C22" t="s">
        <v>14</v>
      </c>
      <c r="D22" t="s">
        <v>15</v>
      </c>
      <c r="E22" s="13">
        <v>217.83</v>
      </c>
      <c r="F22" s="13">
        <v>21.783000000000001</v>
      </c>
      <c r="G22" s="13">
        <f t="shared" si="0"/>
        <v>239.613</v>
      </c>
      <c r="I22" s="117" t="s">
        <v>25</v>
      </c>
      <c r="J22" s="118"/>
    </row>
    <row r="23" spans="1:12" ht="15.75" x14ac:dyDescent="0.25">
      <c r="A23">
        <v>10071</v>
      </c>
      <c r="B23" s="12">
        <v>45308</v>
      </c>
      <c r="C23" t="s">
        <v>14</v>
      </c>
      <c r="D23" t="s">
        <v>24</v>
      </c>
      <c r="E23" s="13">
        <v>794</v>
      </c>
      <c r="F23" s="13">
        <v>79.400000000000006</v>
      </c>
      <c r="G23" s="13">
        <f t="shared" si="0"/>
        <v>873.4</v>
      </c>
      <c r="I23" s="18" t="s">
        <v>209</v>
      </c>
      <c r="J23" s="19">
        <f>COUNTIF(B:B,I23)</f>
        <v>280</v>
      </c>
      <c r="L23" s="13"/>
    </row>
    <row r="24" spans="1:12" x14ac:dyDescent="0.25">
      <c r="A24">
        <v>10072</v>
      </c>
      <c r="B24" s="12">
        <v>45309</v>
      </c>
      <c r="C24" t="s">
        <v>17</v>
      </c>
      <c r="D24" t="s">
        <v>21</v>
      </c>
      <c r="E24" s="13">
        <v>1307.82</v>
      </c>
      <c r="F24" s="13">
        <v>117.70379999999999</v>
      </c>
      <c r="G24" s="13">
        <f t="shared" si="0"/>
        <v>1425.5237999999999</v>
      </c>
    </row>
    <row r="25" spans="1:12" x14ac:dyDescent="0.25">
      <c r="A25">
        <v>10073</v>
      </c>
      <c r="B25" s="12">
        <v>45309</v>
      </c>
      <c r="C25" t="s">
        <v>17</v>
      </c>
      <c r="D25" t="s">
        <v>18</v>
      </c>
      <c r="E25" s="13">
        <v>3056</v>
      </c>
      <c r="F25" s="13">
        <v>244.48000000000002</v>
      </c>
      <c r="G25" s="13">
        <f t="shared" si="0"/>
        <v>3300.48</v>
      </c>
    </row>
    <row r="26" spans="1:12" x14ac:dyDescent="0.25">
      <c r="A26">
        <v>10074</v>
      </c>
      <c r="B26" s="12">
        <v>45312</v>
      </c>
      <c r="C26" t="s">
        <v>14</v>
      </c>
      <c r="D26" t="s">
        <v>16</v>
      </c>
      <c r="E26" s="13">
        <v>967.8</v>
      </c>
      <c r="F26" s="13">
        <v>96.78</v>
      </c>
      <c r="G26" s="13">
        <f t="shared" si="0"/>
        <v>1064.58</v>
      </c>
    </row>
    <row r="27" spans="1:12" x14ac:dyDescent="0.25">
      <c r="A27">
        <v>10075</v>
      </c>
      <c r="B27" s="12">
        <v>45314</v>
      </c>
      <c r="C27" t="s">
        <v>14</v>
      </c>
      <c r="D27" t="s">
        <v>18</v>
      </c>
      <c r="E27" s="13">
        <v>399</v>
      </c>
      <c r="F27" s="13">
        <v>39.900000000000006</v>
      </c>
      <c r="G27" s="13">
        <f t="shared" si="0"/>
        <v>438.9</v>
      </c>
    </row>
    <row r="28" spans="1:12" x14ac:dyDescent="0.25">
      <c r="A28">
        <v>10076</v>
      </c>
      <c r="B28" s="12">
        <v>45314</v>
      </c>
      <c r="C28" t="s">
        <v>17</v>
      </c>
      <c r="D28" t="s">
        <v>24</v>
      </c>
      <c r="E28" s="13">
        <v>112.4</v>
      </c>
      <c r="F28" s="13">
        <v>10.116</v>
      </c>
      <c r="G28" s="13">
        <f t="shared" si="0"/>
        <v>122.51600000000001</v>
      </c>
    </row>
    <row r="29" spans="1:12" x14ac:dyDescent="0.25">
      <c r="A29">
        <v>10077</v>
      </c>
      <c r="B29" s="12">
        <v>45317</v>
      </c>
      <c r="C29" t="s">
        <v>14</v>
      </c>
      <c r="D29" t="s">
        <v>22</v>
      </c>
      <c r="E29" s="13">
        <v>1814.8</v>
      </c>
      <c r="F29" s="13">
        <v>181.48000000000002</v>
      </c>
      <c r="G29" s="13">
        <f t="shared" si="0"/>
        <v>1996.28</v>
      </c>
    </row>
    <row r="30" spans="1:12" x14ac:dyDescent="0.25">
      <c r="A30">
        <v>10078</v>
      </c>
      <c r="B30" s="12">
        <v>45317</v>
      </c>
      <c r="C30" t="s">
        <v>17</v>
      </c>
      <c r="D30" t="s">
        <v>21</v>
      </c>
      <c r="E30" s="13">
        <v>1198.27</v>
      </c>
      <c r="F30" s="13">
        <v>107.84429999999999</v>
      </c>
      <c r="G30" s="13">
        <f t="shared" si="0"/>
        <v>1306.1143</v>
      </c>
    </row>
    <row r="31" spans="1:12" x14ac:dyDescent="0.25">
      <c r="A31">
        <v>10079</v>
      </c>
      <c r="B31" s="12">
        <v>45317</v>
      </c>
      <c r="C31" t="s">
        <v>17</v>
      </c>
      <c r="D31" t="s">
        <v>23</v>
      </c>
      <c r="E31" s="13">
        <v>9196.56</v>
      </c>
      <c r="F31" s="13">
        <v>367.86239999999998</v>
      </c>
      <c r="G31" s="13">
        <f t="shared" si="0"/>
        <v>9564.4223999999995</v>
      </c>
    </row>
    <row r="32" spans="1:12" x14ac:dyDescent="0.25">
      <c r="A32">
        <v>10080</v>
      </c>
      <c r="B32" s="12">
        <v>45319</v>
      </c>
      <c r="C32" t="s">
        <v>14</v>
      </c>
      <c r="D32" t="s">
        <v>24</v>
      </c>
      <c r="E32" s="13">
        <v>1697.84</v>
      </c>
      <c r="F32" s="13">
        <v>169.78399999999999</v>
      </c>
      <c r="G32" s="13">
        <f t="shared" si="0"/>
        <v>1867.6239999999998</v>
      </c>
    </row>
    <row r="33" spans="1:7" x14ac:dyDescent="0.25">
      <c r="A33">
        <v>10081</v>
      </c>
      <c r="B33" s="12">
        <v>45320</v>
      </c>
      <c r="C33" t="s">
        <v>14</v>
      </c>
      <c r="D33" t="s">
        <v>21</v>
      </c>
      <c r="E33" s="13">
        <v>713</v>
      </c>
      <c r="F33" s="13">
        <v>71.3</v>
      </c>
      <c r="G33" s="13">
        <f t="shared" si="0"/>
        <v>784.3</v>
      </c>
    </row>
    <row r="34" spans="1:7" x14ac:dyDescent="0.25">
      <c r="A34">
        <v>10082</v>
      </c>
      <c r="B34" s="12">
        <v>45320</v>
      </c>
      <c r="C34" t="s">
        <v>17</v>
      </c>
      <c r="D34" t="s">
        <v>22</v>
      </c>
      <c r="E34" s="13">
        <v>11194.4</v>
      </c>
      <c r="F34" s="13">
        <v>447.77600000000001</v>
      </c>
      <c r="G34" s="13">
        <f t="shared" si="0"/>
        <v>11642.175999999999</v>
      </c>
    </row>
    <row r="35" spans="1:7" x14ac:dyDescent="0.25">
      <c r="A35">
        <v>10083</v>
      </c>
      <c r="B35" s="12">
        <v>45322</v>
      </c>
      <c r="C35" t="s">
        <v>14</v>
      </c>
      <c r="D35" t="s">
        <v>15</v>
      </c>
      <c r="E35" s="13">
        <v>1190</v>
      </c>
      <c r="F35" s="13">
        <v>119</v>
      </c>
      <c r="G35" s="13">
        <f t="shared" si="0"/>
        <v>1309</v>
      </c>
    </row>
    <row r="36" spans="1:7" x14ac:dyDescent="0.25">
      <c r="A36">
        <v>10084</v>
      </c>
      <c r="B36" s="12">
        <v>45322</v>
      </c>
      <c r="C36" t="s">
        <v>14</v>
      </c>
      <c r="D36" t="s">
        <v>22</v>
      </c>
      <c r="E36" s="13">
        <v>2104.6</v>
      </c>
      <c r="F36" s="13">
        <v>168.36799999999999</v>
      </c>
      <c r="G36" s="13">
        <f t="shared" si="0"/>
        <v>2272.9679999999998</v>
      </c>
    </row>
    <row r="37" spans="1:7" x14ac:dyDescent="0.25">
      <c r="A37">
        <v>10085</v>
      </c>
      <c r="B37" s="12">
        <v>45322</v>
      </c>
      <c r="C37" t="s">
        <v>14</v>
      </c>
      <c r="D37" t="s">
        <v>15</v>
      </c>
      <c r="E37" s="13">
        <v>40.799999999999997</v>
      </c>
      <c r="F37" s="13">
        <v>5</v>
      </c>
      <c r="G37" s="13">
        <f t="shared" si="0"/>
        <v>45.8</v>
      </c>
    </row>
    <row r="38" spans="1:7" x14ac:dyDescent="0.25">
      <c r="A38">
        <v>10086</v>
      </c>
      <c r="B38" s="12">
        <v>45324</v>
      </c>
      <c r="C38" t="s">
        <v>14</v>
      </c>
      <c r="D38" t="s">
        <v>22</v>
      </c>
      <c r="E38" s="13">
        <v>4899.2</v>
      </c>
      <c r="F38" s="13">
        <v>391.93599999999998</v>
      </c>
      <c r="G38" s="13">
        <f t="shared" si="0"/>
        <v>5291.1359999999995</v>
      </c>
    </row>
    <row r="39" spans="1:7" x14ac:dyDescent="0.25">
      <c r="A39">
        <v>10087</v>
      </c>
      <c r="B39" s="12">
        <v>45327</v>
      </c>
      <c r="C39" t="s">
        <v>14</v>
      </c>
      <c r="D39" t="s">
        <v>23</v>
      </c>
      <c r="E39" s="13">
        <v>188</v>
      </c>
      <c r="F39" s="13">
        <v>18.8</v>
      </c>
      <c r="G39" s="13">
        <f t="shared" si="0"/>
        <v>206.8</v>
      </c>
    </row>
    <row r="40" spans="1:7" x14ac:dyDescent="0.25">
      <c r="A40">
        <v>10088</v>
      </c>
      <c r="B40" s="12">
        <v>45329</v>
      </c>
      <c r="C40" t="s">
        <v>14</v>
      </c>
      <c r="D40" t="s">
        <v>24</v>
      </c>
      <c r="E40" s="13">
        <v>1448.37</v>
      </c>
      <c r="F40" s="13">
        <v>144.83699999999999</v>
      </c>
      <c r="G40" s="13">
        <f t="shared" si="0"/>
        <v>1593.2069999999999</v>
      </c>
    </row>
    <row r="41" spans="1:7" x14ac:dyDescent="0.25">
      <c r="A41">
        <v>10089</v>
      </c>
      <c r="B41" s="12">
        <v>45330</v>
      </c>
      <c r="C41" t="s">
        <v>14</v>
      </c>
      <c r="D41" t="s">
        <v>22</v>
      </c>
      <c r="E41" s="13">
        <v>338.2</v>
      </c>
      <c r="F41" s="13">
        <v>33.82</v>
      </c>
      <c r="G41" s="13">
        <f t="shared" si="0"/>
        <v>372.02</v>
      </c>
    </row>
    <row r="42" spans="1:7" x14ac:dyDescent="0.25">
      <c r="A42">
        <v>10090</v>
      </c>
      <c r="B42" s="12">
        <v>45330</v>
      </c>
      <c r="C42" t="s">
        <v>14</v>
      </c>
      <c r="D42" t="s">
        <v>24</v>
      </c>
      <c r="E42" s="13">
        <v>482</v>
      </c>
      <c r="F42" s="13">
        <v>48.2</v>
      </c>
      <c r="G42" s="13">
        <f t="shared" si="0"/>
        <v>530.20000000000005</v>
      </c>
    </row>
    <row r="43" spans="1:7" x14ac:dyDescent="0.25">
      <c r="A43">
        <v>10091</v>
      </c>
      <c r="B43" s="12">
        <v>45330</v>
      </c>
      <c r="C43" t="s">
        <v>14</v>
      </c>
      <c r="D43" t="s">
        <v>21</v>
      </c>
      <c r="E43" s="13">
        <v>628.6</v>
      </c>
      <c r="F43" s="13">
        <v>62.860000000000007</v>
      </c>
      <c r="G43" s="13">
        <f t="shared" si="0"/>
        <v>691.46</v>
      </c>
    </row>
    <row r="44" spans="1:7" x14ac:dyDescent="0.25">
      <c r="A44">
        <v>10092</v>
      </c>
      <c r="B44" s="12">
        <v>45330</v>
      </c>
      <c r="C44" t="s">
        <v>14</v>
      </c>
      <c r="D44" t="s">
        <v>22</v>
      </c>
      <c r="E44" s="13">
        <v>1891.25</v>
      </c>
      <c r="F44" s="13">
        <v>189.125</v>
      </c>
      <c r="G44" s="13">
        <f t="shared" si="0"/>
        <v>2080.375</v>
      </c>
    </row>
    <row r="45" spans="1:7" x14ac:dyDescent="0.25">
      <c r="A45">
        <v>10093</v>
      </c>
      <c r="B45" s="12">
        <v>45331</v>
      </c>
      <c r="C45" t="s">
        <v>14</v>
      </c>
      <c r="D45" t="s">
        <v>19</v>
      </c>
      <c r="E45" s="13">
        <v>1082</v>
      </c>
      <c r="F45" s="13">
        <v>108.2</v>
      </c>
      <c r="G45" s="13">
        <f t="shared" si="0"/>
        <v>1190.2</v>
      </c>
    </row>
    <row r="46" spans="1:7" x14ac:dyDescent="0.25">
      <c r="A46">
        <v>10094</v>
      </c>
      <c r="B46" s="12">
        <v>45332</v>
      </c>
      <c r="C46" t="s">
        <v>14</v>
      </c>
      <c r="D46" t="s">
        <v>24</v>
      </c>
      <c r="E46" s="13">
        <v>1984.52</v>
      </c>
      <c r="F46" s="13">
        <v>198.452</v>
      </c>
      <c r="G46" s="13">
        <f t="shared" si="0"/>
        <v>2182.9719999999998</v>
      </c>
    </row>
    <row r="47" spans="1:7" x14ac:dyDescent="0.25">
      <c r="A47">
        <v>10095</v>
      </c>
      <c r="B47" s="12">
        <v>45334</v>
      </c>
      <c r="C47" t="s">
        <v>17</v>
      </c>
      <c r="D47" t="s">
        <v>21</v>
      </c>
      <c r="E47" s="13">
        <v>394</v>
      </c>
      <c r="F47" s="13">
        <v>35.46</v>
      </c>
      <c r="G47" s="13">
        <f t="shared" si="0"/>
        <v>429.46</v>
      </c>
    </row>
    <row r="48" spans="1:7" x14ac:dyDescent="0.25">
      <c r="A48">
        <v>10096</v>
      </c>
      <c r="B48" s="12">
        <v>45335</v>
      </c>
      <c r="C48" t="s">
        <v>17</v>
      </c>
      <c r="D48" t="s">
        <v>19</v>
      </c>
      <c r="E48" s="13">
        <v>367</v>
      </c>
      <c r="F48" s="13">
        <v>33.03</v>
      </c>
      <c r="G48" s="13">
        <f t="shared" si="0"/>
        <v>400.03</v>
      </c>
    </row>
    <row r="49" spans="1:7" x14ac:dyDescent="0.25">
      <c r="A49">
        <v>10097</v>
      </c>
      <c r="B49" s="12">
        <v>45336</v>
      </c>
      <c r="C49" t="s">
        <v>17</v>
      </c>
      <c r="D49" t="s">
        <v>24</v>
      </c>
      <c r="E49" s="13">
        <v>330.12</v>
      </c>
      <c r="F49" s="13">
        <v>29.710799999999999</v>
      </c>
      <c r="G49" s="13">
        <f t="shared" si="0"/>
        <v>359.83080000000001</v>
      </c>
    </row>
    <row r="50" spans="1:7" x14ac:dyDescent="0.25">
      <c r="A50">
        <v>10098</v>
      </c>
      <c r="B50" s="12">
        <v>45338</v>
      </c>
      <c r="C50" t="s">
        <v>17</v>
      </c>
      <c r="D50" t="s">
        <v>24</v>
      </c>
      <c r="E50" s="13">
        <v>452</v>
      </c>
      <c r="F50" s="13">
        <v>40.68</v>
      </c>
      <c r="G50" s="13">
        <f t="shared" si="0"/>
        <v>492.68</v>
      </c>
    </row>
    <row r="51" spans="1:7" x14ac:dyDescent="0.25">
      <c r="A51">
        <v>10099</v>
      </c>
      <c r="B51" s="12">
        <v>45338</v>
      </c>
      <c r="C51" t="s">
        <v>14</v>
      </c>
      <c r="D51" t="s">
        <v>21</v>
      </c>
      <c r="E51" s="13">
        <v>509.44000000000005</v>
      </c>
      <c r="F51" s="13">
        <v>50.94400000000001</v>
      </c>
      <c r="G51" s="13">
        <f t="shared" si="0"/>
        <v>560.38400000000001</v>
      </c>
    </row>
    <row r="52" spans="1:7" x14ac:dyDescent="0.25">
      <c r="A52">
        <v>10100</v>
      </c>
      <c r="B52" s="12">
        <v>45341</v>
      </c>
      <c r="C52" t="s">
        <v>14</v>
      </c>
      <c r="D52" t="s">
        <v>24</v>
      </c>
      <c r="E52" s="13">
        <v>1786</v>
      </c>
      <c r="F52" s="13">
        <v>178.60000000000002</v>
      </c>
      <c r="G52" s="13">
        <f t="shared" si="0"/>
        <v>1964.6</v>
      </c>
    </row>
    <row r="53" spans="1:7" x14ac:dyDescent="0.25">
      <c r="A53">
        <v>10101</v>
      </c>
      <c r="B53" s="12">
        <v>45341</v>
      </c>
      <c r="C53" t="s">
        <v>17</v>
      </c>
      <c r="D53" t="s">
        <v>24</v>
      </c>
      <c r="E53" s="13">
        <v>175.9</v>
      </c>
      <c r="F53" s="13">
        <v>15.831</v>
      </c>
      <c r="G53" s="13">
        <f t="shared" si="0"/>
        <v>191.73099999999999</v>
      </c>
    </row>
    <row r="54" spans="1:7" x14ac:dyDescent="0.25">
      <c r="A54">
        <v>10102</v>
      </c>
      <c r="B54" s="12">
        <v>45342</v>
      </c>
      <c r="C54" t="s">
        <v>14</v>
      </c>
      <c r="D54" t="s">
        <v>19</v>
      </c>
      <c r="E54" s="13">
        <v>241.24</v>
      </c>
      <c r="F54" s="13">
        <v>24.124000000000002</v>
      </c>
      <c r="G54" s="13">
        <f t="shared" si="0"/>
        <v>265.36400000000003</v>
      </c>
    </row>
    <row r="55" spans="1:7" x14ac:dyDescent="0.25">
      <c r="A55">
        <v>10103</v>
      </c>
      <c r="B55" s="12">
        <v>45342</v>
      </c>
      <c r="C55" t="s">
        <v>17</v>
      </c>
      <c r="D55" t="s">
        <v>24</v>
      </c>
      <c r="E55" s="13">
        <v>1035.7</v>
      </c>
      <c r="F55" s="13">
        <v>93.212999999999994</v>
      </c>
      <c r="G55" s="13">
        <f t="shared" si="0"/>
        <v>1128.913</v>
      </c>
    </row>
    <row r="56" spans="1:7" x14ac:dyDescent="0.25">
      <c r="A56">
        <v>10104</v>
      </c>
      <c r="B56" s="12">
        <v>45346</v>
      </c>
      <c r="C56" t="s">
        <v>14</v>
      </c>
      <c r="D56" t="s">
        <v>22</v>
      </c>
      <c r="E56" s="13">
        <v>451.4</v>
      </c>
      <c r="F56" s="13">
        <v>45.14</v>
      </c>
      <c r="G56" s="13">
        <f t="shared" si="0"/>
        <v>496.53999999999996</v>
      </c>
    </row>
    <row r="57" spans="1:7" x14ac:dyDescent="0.25">
      <c r="A57">
        <v>10105</v>
      </c>
      <c r="B57" s="12">
        <v>45346</v>
      </c>
      <c r="C57" t="s">
        <v>14</v>
      </c>
      <c r="D57" t="s">
        <v>19</v>
      </c>
      <c r="E57" s="13">
        <v>1027</v>
      </c>
      <c r="F57" s="13">
        <v>102.7</v>
      </c>
      <c r="G57" s="13">
        <f t="shared" si="0"/>
        <v>1129.7</v>
      </c>
    </row>
    <row r="58" spans="1:7" x14ac:dyDescent="0.25">
      <c r="A58">
        <v>10106</v>
      </c>
      <c r="B58" s="12">
        <v>45347</v>
      </c>
      <c r="C58" t="s">
        <v>14</v>
      </c>
      <c r="D58" t="s">
        <v>22</v>
      </c>
      <c r="E58" s="13">
        <v>340.2</v>
      </c>
      <c r="F58" s="13">
        <v>34.020000000000003</v>
      </c>
      <c r="G58" s="13">
        <f t="shared" si="0"/>
        <v>374.21999999999997</v>
      </c>
    </row>
    <row r="59" spans="1:7" x14ac:dyDescent="0.25">
      <c r="A59">
        <v>10107</v>
      </c>
      <c r="B59" s="12">
        <v>45349</v>
      </c>
      <c r="C59" t="s">
        <v>14</v>
      </c>
      <c r="D59" t="s">
        <v>18</v>
      </c>
      <c r="E59" s="13">
        <v>397.7</v>
      </c>
      <c r="F59" s="13">
        <v>39.770000000000003</v>
      </c>
      <c r="G59" s="13">
        <f t="shared" si="0"/>
        <v>437.46999999999997</v>
      </c>
    </row>
    <row r="60" spans="1:7" x14ac:dyDescent="0.25">
      <c r="A60">
        <v>10108</v>
      </c>
      <c r="B60" s="12">
        <v>45349</v>
      </c>
      <c r="C60" t="s">
        <v>17</v>
      </c>
      <c r="D60" t="s">
        <v>21</v>
      </c>
      <c r="E60" s="13">
        <v>2022.5</v>
      </c>
      <c r="F60" s="13">
        <v>182.02500000000001</v>
      </c>
      <c r="G60" s="13">
        <f t="shared" si="0"/>
        <v>2204.5250000000001</v>
      </c>
    </row>
    <row r="61" spans="1:7" x14ac:dyDescent="0.25">
      <c r="A61">
        <v>10109</v>
      </c>
      <c r="B61" s="12">
        <v>45349</v>
      </c>
      <c r="C61" t="s">
        <v>17</v>
      </c>
      <c r="D61" t="s">
        <v>22</v>
      </c>
      <c r="E61" s="13">
        <v>4931.13</v>
      </c>
      <c r="F61" s="13">
        <v>394.49040000000002</v>
      </c>
      <c r="G61" s="13">
        <f t="shared" si="0"/>
        <v>5325.6203999999998</v>
      </c>
    </row>
    <row r="62" spans="1:7" x14ac:dyDescent="0.25">
      <c r="A62">
        <v>10110</v>
      </c>
      <c r="B62" s="12">
        <v>45352</v>
      </c>
      <c r="C62" t="s">
        <v>14</v>
      </c>
      <c r="D62" t="s">
        <v>24</v>
      </c>
      <c r="E62" s="13">
        <v>1838.2</v>
      </c>
      <c r="F62" s="13">
        <v>183.82000000000002</v>
      </c>
      <c r="G62" s="13">
        <f t="shared" si="0"/>
        <v>2022.02</v>
      </c>
    </row>
    <row r="63" spans="1:7" x14ac:dyDescent="0.25">
      <c r="A63">
        <v>10111</v>
      </c>
      <c r="B63" s="12">
        <v>45353</v>
      </c>
      <c r="C63" t="s">
        <v>17</v>
      </c>
      <c r="D63" t="s">
        <v>21</v>
      </c>
      <c r="E63" s="13">
        <v>555.6</v>
      </c>
      <c r="F63" s="13">
        <v>50.003999999999998</v>
      </c>
      <c r="G63" s="13">
        <f t="shared" si="0"/>
        <v>605.60400000000004</v>
      </c>
    </row>
    <row r="64" spans="1:7" x14ac:dyDescent="0.25">
      <c r="A64">
        <v>10112</v>
      </c>
      <c r="B64" s="12">
        <v>45353</v>
      </c>
      <c r="C64" t="s">
        <v>14</v>
      </c>
      <c r="D64" t="s">
        <v>22</v>
      </c>
      <c r="E64" s="13">
        <v>1655.2</v>
      </c>
      <c r="F64" s="13">
        <v>165.52</v>
      </c>
      <c r="G64" s="13">
        <f t="shared" si="0"/>
        <v>1820.72</v>
      </c>
    </row>
    <row r="65" spans="1:7" x14ac:dyDescent="0.25">
      <c r="A65">
        <v>10113</v>
      </c>
      <c r="B65" s="12">
        <v>45353</v>
      </c>
      <c r="C65" t="s">
        <v>17</v>
      </c>
      <c r="D65" t="s">
        <v>15</v>
      </c>
      <c r="E65" s="13">
        <v>1589</v>
      </c>
      <c r="F65" s="13">
        <v>143.01</v>
      </c>
      <c r="G65" s="13">
        <f t="shared" si="0"/>
        <v>1732.01</v>
      </c>
    </row>
    <row r="66" spans="1:7" x14ac:dyDescent="0.25">
      <c r="A66">
        <v>10114</v>
      </c>
      <c r="B66" s="12">
        <v>45353</v>
      </c>
      <c r="C66" t="s">
        <v>14</v>
      </c>
      <c r="D66" t="s">
        <v>21</v>
      </c>
      <c r="E66" s="13">
        <v>2679</v>
      </c>
      <c r="F66" s="13">
        <v>214.32</v>
      </c>
      <c r="G66" s="13">
        <f t="shared" si="0"/>
        <v>2893.32</v>
      </c>
    </row>
    <row r="67" spans="1:7" x14ac:dyDescent="0.25">
      <c r="A67">
        <v>10115</v>
      </c>
      <c r="B67" s="12">
        <v>45355</v>
      </c>
      <c r="C67" t="s">
        <v>14</v>
      </c>
      <c r="D67" t="s">
        <v>22</v>
      </c>
      <c r="E67" s="13">
        <v>641</v>
      </c>
      <c r="F67" s="13">
        <v>64.100000000000009</v>
      </c>
      <c r="G67" s="13">
        <f t="shared" si="0"/>
        <v>705.1</v>
      </c>
    </row>
    <row r="68" spans="1:7" x14ac:dyDescent="0.25">
      <c r="A68">
        <v>10116</v>
      </c>
      <c r="B68" s="12">
        <v>45355</v>
      </c>
      <c r="C68" t="s">
        <v>17</v>
      </c>
      <c r="D68" t="s">
        <v>24</v>
      </c>
      <c r="E68" s="13">
        <v>850.2</v>
      </c>
      <c r="F68" s="13">
        <v>76.518000000000001</v>
      </c>
      <c r="G68" s="13">
        <f t="shared" si="0"/>
        <v>926.71800000000007</v>
      </c>
    </row>
    <row r="69" spans="1:7" x14ac:dyDescent="0.25">
      <c r="A69">
        <v>10117</v>
      </c>
      <c r="B69" s="12">
        <v>45356</v>
      </c>
      <c r="C69" t="s">
        <v>14</v>
      </c>
      <c r="D69" t="s">
        <v>21</v>
      </c>
      <c r="E69" s="13">
        <v>174.1</v>
      </c>
      <c r="F69" s="13">
        <v>17.41</v>
      </c>
      <c r="G69" s="13">
        <f t="shared" ref="G69:G132" si="2">SUM(E69:F69)</f>
        <v>191.51</v>
      </c>
    </row>
    <row r="70" spans="1:7" x14ac:dyDescent="0.25">
      <c r="A70">
        <v>10118</v>
      </c>
      <c r="B70" s="12">
        <v>45356</v>
      </c>
      <c r="C70" t="s">
        <v>14</v>
      </c>
      <c r="D70" t="s">
        <v>18</v>
      </c>
      <c r="E70" s="13">
        <v>1542.7</v>
      </c>
      <c r="F70" s="13">
        <v>154.27000000000001</v>
      </c>
      <c r="G70" s="13">
        <f t="shared" si="2"/>
        <v>1696.97</v>
      </c>
    </row>
    <row r="71" spans="1:7" x14ac:dyDescent="0.25">
      <c r="A71">
        <v>10119</v>
      </c>
      <c r="B71" s="12">
        <v>45357</v>
      </c>
      <c r="C71" t="s">
        <v>14</v>
      </c>
      <c r="D71" t="s">
        <v>23</v>
      </c>
      <c r="E71" s="13">
        <v>3893</v>
      </c>
      <c r="F71" s="13">
        <v>311.44</v>
      </c>
      <c r="G71" s="13">
        <f t="shared" si="2"/>
        <v>4204.4399999999996</v>
      </c>
    </row>
    <row r="72" spans="1:7" x14ac:dyDescent="0.25">
      <c r="A72">
        <v>10120</v>
      </c>
      <c r="B72" s="12">
        <v>45359</v>
      </c>
      <c r="C72" t="s">
        <v>17</v>
      </c>
      <c r="D72" t="s">
        <v>20</v>
      </c>
      <c r="E72" s="13">
        <v>715.3</v>
      </c>
      <c r="F72" s="13">
        <v>64.376999999999995</v>
      </c>
      <c r="G72" s="13">
        <f t="shared" si="2"/>
        <v>779.67699999999991</v>
      </c>
    </row>
    <row r="73" spans="1:7" x14ac:dyDescent="0.25">
      <c r="A73">
        <v>10121</v>
      </c>
      <c r="B73" s="12">
        <v>45360</v>
      </c>
      <c r="C73" t="s">
        <v>14</v>
      </c>
      <c r="D73" t="s">
        <v>22</v>
      </c>
      <c r="E73" s="13">
        <v>904.4</v>
      </c>
      <c r="F73" s="13">
        <v>90.44</v>
      </c>
      <c r="G73" s="13">
        <f t="shared" si="2"/>
        <v>994.83999999999992</v>
      </c>
    </row>
    <row r="74" spans="1:7" x14ac:dyDescent="0.25">
      <c r="A74">
        <v>10122</v>
      </c>
      <c r="B74" s="12">
        <v>45361</v>
      </c>
      <c r="C74" t="s">
        <v>17</v>
      </c>
      <c r="D74" t="s">
        <v>21</v>
      </c>
      <c r="E74" s="13">
        <v>419.12</v>
      </c>
      <c r="F74" s="13">
        <v>37.720799999999997</v>
      </c>
      <c r="G74" s="13">
        <f t="shared" si="2"/>
        <v>456.8408</v>
      </c>
    </row>
    <row r="75" spans="1:7" x14ac:dyDescent="0.25">
      <c r="A75">
        <v>10123</v>
      </c>
      <c r="B75" s="12">
        <v>45363</v>
      </c>
      <c r="C75" t="s">
        <v>17</v>
      </c>
      <c r="D75" t="s">
        <v>21</v>
      </c>
      <c r="E75" s="13">
        <v>226.2</v>
      </c>
      <c r="F75" s="13">
        <v>20.357999999999997</v>
      </c>
      <c r="G75" s="13">
        <f t="shared" si="2"/>
        <v>246.55799999999999</v>
      </c>
    </row>
    <row r="76" spans="1:7" x14ac:dyDescent="0.25">
      <c r="A76">
        <v>10124</v>
      </c>
      <c r="B76" s="12">
        <v>45363</v>
      </c>
      <c r="C76" t="s">
        <v>17</v>
      </c>
      <c r="D76" t="s">
        <v>22</v>
      </c>
      <c r="E76" s="13">
        <v>220</v>
      </c>
      <c r="F76" s="13">
        <v>19.8</v>
      </c>
      <c r="G76" s="13">
        <f t="shared" si="2"/>
        <v>239.8</v>
      </c>
    </row>
    <row r="77" spans="1:7" x14ac:dyDescent="0.25">
      <c r="A77">
        <v>10125</v>
      </c>
      <c r="B77" s="12">
        <v>45364</v>
      </c>
      <c r="C77" t="s">
        <v>17</v>
      </c>
      <c r="D77" t="s">
        <v>24</v>
      </c>
      <c r="E77" s="13">
        <v>709.6</v>
      </c>
      <c r="F77" s="13">
        <v>63.863999999999997</v>
      </c>
      <c r="G77" s="13">
        <f t="shared" si="2"/>
        <v>773.46400000000006</v>
      </c>
    </row>
    <row r="78" spans="1:7" x14ac:dyDescent="0.25">
      <c r="A78">
        <v>10126</v>
      </c>
      <c r="B78" s="12">
        <v>45364</v>
      </c>
      <c r="C78" t="s">
        <v>14</v>
      </c>
      <c r="D78" t="s">
        <v>22</v>
      </c>
      <c r="E78" s="13">
        <v>3849.66</v>
      </c>
      <c r="F78" s="13">
        <v>307.97280000000001</v>
      </c>
      <c r="G78" s="13">
        <f t="shared" si="2"/>
        <v>4157.6327999999994</v>
      </c>
    </row>
    <row r="79" spans="1:7" x14ac:dyDescent="0.25">
      <c r="A79">
        <v>10127</v>
      </c>
      <c r="B79" s="12">
        <v>45364</v>
      </c>
      <c r="C79" t="s">
        <v>14</v>
      </c>
      <c r="D79" t="s">
        <v>24</v>
      </c>
      <c r="E79" s="13">
        <v>1762</v>
      </c>
      <c r="F79" s="13">
        <v>176.20000000000002</v>
      </c>
      <c r="G79" s="13">
        <f t="shared" si="2"/>
        <v>1938.2</v>
      </c>
    </row>
    <row r="80" spans="1:7" x14ac:dyDescent="0.25">
      <c r="A80">
        <v>10128</v>
      </c>
      <c r="B80" s="12">
        <v>45364</v>
      </c>
      <c r="C80" t="s">
        <v>17</v>
      </c>
      <c r="D80" t="s">
        <v>18</v>
      </c>
      <c r="E80" s="13">
        <v>2508</v>
      </c>
      <c r="F80" s="13">
        <v>225.72</v>
      </c>
      <c r="G80" s="13">
        <f t="shared" si="2"/>
        <v>2733.72</v>
      </c>
    </row>
    <row r="81" spans="1:7" x14ac:dyDescent="0.25">
      <c r="A81">
        <v>10129</v>
      </c>
      <c r="B81" s="12">
        <v>45365</v>
      </c>
      <c r="C81" t="s">
        <v>14</v>
      </c>
      <c r="D81" t="s">
        <v>18</v>
      </c>
      <c r="E81" s="13">
        <v>948.67</v>
      </c>
      <c r="F81" s="13">
        <v>94.867000000000004</v>
      </c>
      <c r="G81" s="13">
        <f t="shared" si="2"/>
        <v>1043.537</v>
      </c>
    </row>
    <row r="82" spans="1:7" x14ac:dyDescent="0.25">
      <c r="A82">
        <v>10130</v>
      </c>
      <c r="B82" s="12">
        <v>45365</v>
      </c>
      <c r="C82" t="s">
        <v>17</v>
      </c>
      <c r="D82" t="s">
        <v>22</v>
      </c>
      <c r="E82" s="13">
        <v>1617.28</v>
      </c>
      <c r="F82" s="13">
        <v>145.55519999999999</v>
      </c>
      <c r="G82" s="13">
        <f t="shared" si="2"/>
        <v>1762.8352</v>
      </c>
    </row>
    <row r="83" spans="1:7" x14ac:dyDescent="0.25">
      <c r="A83">
        <v>10131</v>
      </c>
      <c r="B83" s="12">
        <v>45365</v>
      </c>
      <c r="C83" t="s">
        <v>14</v>
      </c>
      <c r="D83" t="s">
        <v>22</v>
      </c>
      <c r="E83" s="13">
        <v>1817.8</v>
      </c>
      <c r="F83" s="13">
        <v>181.78</v>
      </c>
      <c r="G83" s="13">
        <f t="shared" si="2"/>
        <v>1999.58</v>
      </c>
    </row>
    <row r="84" spans="1:7" x14ac:dyDescent="0.25">
      <c r="A84">
        <v>10132</v>
      </c>
      <c r="B84" s="12">
        <v>45368</v>
      </c>
      <c r="C84" t="s">
        <v>14</v>
      </c>
      <c r="D84" t="s">
        <v>15</v>
      </c>
      <c r="E84" s="13">
        <v>1324</v>
      </c>
      <c r="F84" s="13">
        <v>132.4</v>
      </c>
      <c r="G84" s="13">
        <f t="shared" si="2"/>
        <v>1456.4</v>
      </c>
    </row>
    <row r="85" spans="1:7" x14ac:dyDescent="0.25">
      <c r="A85">
        <v>10133</v>
      </c>
      <c r="B85" s="12">
        <v>45369</v>
      </c>
      <c r="C85" t="s">
        <v>17</v>
      </c>
      <c r="D85" t="s">
        <v>15</v>
      </c>
      <c r="E85" s="13">
        <v>161</v>
      </c>
      <c r="F85" s="13">
        <v>14.49</v>
      </c>
      <c r="G85" s="13">
        <f t="shared" si="2"/>
        <v>175.49</v>
      </c>
    </row>
    <row r="86" spans="1:7" x14ac:dyDescent="0.25">
      <c r="A86">
        <v>10134</v>
      </c>
      <c r="B86" s="12">
        <v>45370</v>
      </c>
      <c r="C86" t="s">
        <v>17</v>
      </c>
      <c r="D86" t="s">
        <v>21</v>
      </c>
      <c r="E86" s="13">
        <v>1044.8</v>
      </c>
      <c r="F86" s="13">
        <v>94.031999999999996</v>
      </c>
      <c r="G86" s="13">
        <f t="shared" si="2"/>
        <v>1138.8319999999999</v>
      </c>
    </row>
    <row r="87" spans="1:7" x14ac:dyDescent="0.25">
      <c r="A87">
        <v>10135</v>
      </c>
      <c r="B87" s="12">
        <v>45371</v>
      </c>
      <c r="C87" t="s">
        <v>14</v>
      </c>
      <c r="D87" t="s">
        <v>18</v>
      </c>
      <c r="E87" s="13">
        <v>224.4</v>
      </c>
      <c r="F87" s="13">
        <v>22.44</v>
      </c>
      <c r="G87" s="13">
        <f t="shared" si="2"/>
        <v>246.84</v>
      </c>
    </row>
    <row r="88" spans="1:7" x14ac:dyDescent="0.25">
      <c r="A88">
        <v>10136</v>
      </c>
      <c r="B88" s="12">
        <v>45373</v>
      </c>
      <c r="C88" t="s">
        <v>17</v>
      </c>
      <c r="D88" t="s">
        <v>20</v>
      </c>
      <c r="E88" s="13">
        <v>1243.0999999999999</v>
      </c>
      <c r="F88" s="13">
        <v>111.87899999999999</v>
      </c>
      <c r="G88" s="13">
        <f t="shared" si="2"/>
        <v>1354.9789999999998</v>
      </c>
    </row>
    <row r="89" spans="1:7" x14ac:dyDescent="0.25">
      <c r="A89">
        <v>10137</v>
      </c>
      <c r="B89" s="12">
        <v>45374</v>
      </c>
      <c r="C89" t="s">
        <v>14</v>
      </c>
      <c r="D89" t="s">
        <v>24</v>
      </c>
      <c r="E89" s="13">
        <v>10505.6</v>
      </c>
      <c r="F89" s="13">
        <v>525.28000000000009</v>
      </c>
      <c r="G89" s="13">
        <f t="shared" si="2"/>
        <v>11030.880000000001</v>
      </c>
    </row>
    <row r="90" spans="1:7" x14ac:dyDescent="0.25">
      <c r="A90">
        <v>10138</v>
      </c>
      <c r="B90" s="12">
        <v>45375</v>
      </c>
      <c r="C90" t="s">
        <v>17</v>
      </c>
      <c r="D90" t="s">
        <v>19</v>
      </c>
      <c r="E90" s="13">
        <v>756</v>
      </c>
      <c r="F90" s="13">
        <v>68.039999999999992</v>
      </c>
      <c r="G90" s="13">
        <f t="shared" si="2"/>
        <v>824.04</v>
      </c>
    </row>
    <row r="91" spans="1:7" x14ac:dyDescent="0.25">
      <c r="A91">
        <v>10139</v>
      </c>
      <c r="B91" s="12">
        <v>45375</v>
      </c>
      <c r="C91" t="s">
        <v>14</v>
      </c>
      <c r="D91" t="s">
        <v>21</v>
      </c>
      <c r="E91" s="13">
        <v>1482</v>
      </c>
      <c r="F91" s="13">
        <v>148.20000000000002</v>
      </c>
      <c r="G91" s="13">
        <f t="shared" si="2"/>
        <v>1630.2</v>
      </c>
    </row>
    <row r="92" spans="1:7" x14ac:dyDescent="0.25">
      <c r="A92">
        <v>10140</v>
      </c>
      <c r="B92" s="12">
        <v>45376</v>
      </c>
      <c r="C92" t="s">
        <v>17</v>
      </c>
      <c r="D92" t="s">
        <v>21</v>
      </c>
      <c r="E92" s="13">
        <v>183.48</v>
      </c>
      <c r="F92" s="13">
        <v>16.513199999999998</v>
      </c>
      <c r="G92" s="13">
        <f t="shared" si="2"/>
        <v>199.9932</v>
      </c>
    </row>
    <row r="93" spans="1:7" x14ac:dyDescent="0.25">
      <c r="A93">
        <v>10141</v>
      </c>
      <c r="B93" s="12">
        <v>45377</v>
      </c>
      <c r="C93" t="s">
        <v>14</v>
      </c>
      <c r="D93" t="s">
        <v>20</v>
      </c>
      <c r="E93" s="13">
        <v>559</v>
      </c>
      <c r="F93" s="13">
        <v>55.900000000000006</v>
      </c>
      <c r="G93" s="13">
        <f t="shared" si="2"/>
        <v>614.9</v>
      </c>
    </row>
    <row r="94" spans="1:7" x14ac:dyDescent="0.25">
      <c r="A94">
        <v>10142</v>
      </c>
      <c r="B94" s="12">
        <v>45378</v>
      </c>
      <c r="C94" t="s">
        <v>17</v>
      </c>
      <c r="D94" t="s">
        <v>15</v>
      </c>
      <c r="E94" s="13">
        <v>467.2</v>
      </c>
      <c r="F94" s="13">
        <v>42.047999999999995</v>
      </c>
      <c r="G94" s="13">
        <f t="shared" si="2"/>
        <v>509.24799999999999</v>
      </c>
    </row>
    <row r="95" spans="1:7" x14ac:dyDescent="0.25">
      <c r="A95">
        <v>10143</v>
      </c>
      <c r="B95" s="12">
        <v>45378</v>
      </c>
      <c r="C95" t="s">
        <v>17</v>
      </c>
      <c r="D95" t="s">
        <v>15</v>
      </c>
      <c r="E95" s="13">
        <v>898.7</v>
      </c>
      <c r="F95" s="13">
        <v>80.882999999999996</v>
      </c>
      <c r="G95" s="13">
        <f t="shared" si="2"/>
        <v>979.58300000000008</v>
      </c>
    </row>
    <row r="96" spans="1:7" x14ac:dyDescent="0.25">
      <c r="A96">
        <v>10144</v>
      </c>
      <c r="B96" s="12">
        <v>45381</v>
      </c>
      <c r="C96" t="s">
        <v>14</v>
      </c>
      <c r="D96" t="s">
        <v>22</v>
      </c>
      <c r="E96" s="13">
        <v>1574</v>
      </c>
      <c r="F96" s="13">
        <v>157.4</v>
      </c>
      <c r="G96" s="13">
        <f t="shared" si="2"/>
        <v>1731.4</v>
      </c>
    </row>
    <row r="97" spans="1:7" x14ac:dyDescent="0.25">
      <c r="A97">
        <v>10145</v>
      </c>
      <c r="B97" s="12">
        <v>45383</v>
      </c>
      <c r="C97" t="s">
        <v>14</v>
      </c>
      <c r="D97" t="s">
        <v>24</v>
      </c>
      <c r="E97" s="13">
        <v>379.2</v>
      </c>
      <c r="F97" s="13">
        <v>37.92</v>
      </c>
      <c r="G97" s="13">
        <f t="shared" si="2"/>
        <v>417.12</v>
      </c>
    </row>
    <row r="98" spans="1:7" x14ac:dyDescent="0.25">
      <c r="A98">
        <v>10146</v>
      </c>
      <c r="B98" s="12">
        <v>45383</v>
      </c>
      <c r="C98" t="s">
        <v>17</v>
      </c>
      <c r="D98" t="s">
        <v>18</v>
      </c>
      <c r="E98" s="13">
        <v>1280</v>
      </c>
      <c r="F98" s="13">
        <v>115.19999999999999</v>
      </c>
      <c r="G98" s="13">
        <f t="shared" si="2"/>
        <v>1395.2</v>
      </c>
    </row>
    <row r="99" spans="1:7" x14ac:dyDescent="0.25">
      <c r="A99">
        <v>10147</v>
      </c>
      <c r="B99" s="12">
        <v>45384</v>
      </c>
      <c r="C99" t="s">
        <v>17</v>
      </c>
      <c r="D99" t="s">
        <v>21</v>
      </c>
      <c r="E99" s="13">
        <v>1522</v>
      </c>
      <c r="F99" s="13">
        <v>136.97999999999999</v>
      </c>
      <c r="G99" s="13">
        <f t="shared" si="2"/>
        <v>1658.98</v>
      </c>
    </row>
    <row r="100" spans="1:7" x14ac:dyDescent="0.25">
      <c r="A100">
        <v>10148</v>
      </c>
      <c r="B100" s="12">
        <v>45386</v>
      </c>
      <c r="C100" t="s">
        <v>14</v>
      </c>
      <c r="D100" t="s">
        <v>16</v>
      </c>
      <c r="E100" s="13">
        <v>1505.18</v>
      </c>
      <c r="F100" s="13">
        <v>150.518</v>
      </c>
      <c r="G100" s="13">
        <f t="shared" si="2"/>
        <v>1655.6980000000001</v>
      </c>
    </row>
    <row r="101" spans="1:7" x14ac:dyDescent="0.25">
      <c r="A101">
        <v>10149</v>
      </c>
      <c r="B101" s="12">
        <v>45387</v>
      </c>
      <c r="C101" t="s">
        <v>14</v>
      </c>
      <c r="D101" t="s">
        <v>23</v>
      </c>
      <c r="E101" s="13">
        <v>3157.2</v>
      </c>
      <c r="F101" s="13">
        <v>252.57599999999999</v>
      </c>
      <c r="G101" s="13">
        <f t="shared" si="2"/>
        <v>3409.7759999999998</v>
      </c>
    </row>
    <row r="102" spans="1:7" x14ac:dyDescent="0.25">
      <c r="A102">
        <v>10150</v>
      </c>
      <c r="B102" s="12">
        <v>45389</v>
      </c>
      <c r="C102" t="s">
        <v>14</v>
      </c>
      <c r="D102" t="s">
        <v>21</v>
      </c>
      <c r="E102" s="13">
        <v>267.5</v>
      </c>
      <c r="F102" s="13">
        <v>26.75</v>
      </c>
      <c r="G102" s="13">
        <f t="shared" si="2"/>
        <v>294.25</v>
      </c>
    </row>
    <row r="103" spans="1:7" x14ac:dyDescent="0.25">
      <c r="A103">
        <v>10151</v>
      </c>
      <c r="B103" s="12">
        <v>45390</v>
      </c>
      <c r="C103" t="s">
        <v>14</v>
      </c>
      <c r="D103" t="s">
        <v>19</v>
      </c>
      <c r="E103" s="13">
        <v>449.2</v>
      </c>
      <c r="F103" s="13">
        <v>44.92</v>
      </c>
      <c r="G103" s="13">
        <f t="shared" si="2"/>
        <v>494.12</v>
      </c>
    </row>
    <row r="104" spans="1:7" x14ac:dyDescent="0.25">
      <c r="A104">
        <v>10152</v>
      </c>
      <c r="B104" s="12">
        <v>45390</v>
      </c>
      <c r="C104" t="s">
        <v>17</v>
      </c>
      <c r="D104" t="s">
        <v>22</v>
      </c>
      <c r="E104" s="13">
        <v>913</v>
      </c>
      <c r="F104" s="13">
        <v>82.17</v>
      </c>
      <c r="G104" s="13">
        <f t="shared" si="2"/>
        <v>995.17</v>
      </c>
    </row>
    <row r="105" spans="1:7" x14ac:dyDescent="0.25">
      <c r="A105">
        <v>10153</v>
      </c>
      <c r="B105" s="12">
        <v>45391</v>
      </c>
      <c r="C105" t="s">
        <v>17</v>
      </c>
      <c r="D105" t="s">
        <v>23</v>
      </c>
      <c r="E105" s="13">
        <v>194</v>
      </c>
      <c r="F105" s="13">
        <v>17.46</v>
      </c>
      <c r="G105" s="13">
        <f t="shared" si="2"/>
        <v>211.46</v>
      </c>
    </row>
    <row r="106" spans="1:7" x14ac:dyDescent="0.25">
      <c r="A106">
        <v>10154</v>
      </c>
      <c r="B106" s="12">
        <v>45391</v>
      </c>
      <c r="C106" t="s">
        <v>14</v>
      </c>
      <c r="D106" t="s">
        <v>23</v>
      </c>
      <c r="E106" s="13">
        <v>1373.6</v>
      </c>
      <c r="F106" s="13">
        <v>137.35999999999999</v>
      </c>
      <c r="G106" s="13">
        <f t="shared" si="2"/>
        <v>1510.9599999999998</v>
      </c>
    </row>
    <row r="107" spans="1:7" x14ac:dyDescent="0.25">
      <c r="A107">
        <v>10155</v>
      </c>
      <c r="B107" s="12">
        <v>45392</v>
      </c>
      <c r="C107" t="s">
        <v>14</v>
      </c>
      <c r="D107" t="s">
        <v>21</v>
      </c>
      <c r="E107" s="13">
        <v>573</v>
      </c>
      <c r="F107" s="13">
        <v>57.300000000000004</v>
      </c>
      <c r="G107" s="13">
        <f t="shared" si="2"/>
        <v>630.29999999999995</v>
      </c>
    </row>
    <row r="108" spans="1:7" x14ac:dyDescent="0.25">
      <c r="A108">
        <v>10156</v>
      </c>
      <c r="B108" s="12">
        <v>45393</v>
      </c>
      <c r="C108" t="s">
        <v>17</v>
      </c>
      <c r="D108" t="s">
        <v>18</v>
      </c>
      <c r="E108" s="13">
        <v>151</v>
      </c>
      <c r="F108" s="13">
        <v>13.59</v>
      </c>
      <c r="G108" s="13">
        <f t="shared" si="2"/>
        <v>164.59</v>
      </c>
    </row>
    <row r="109" spans="1:7" x14ac:dyDescent="0.25">
      <c r="A109">
        <v>10157</v>
      </c>
      <c r="B109" s="12">
        <v>45393</v>
      </c>
      <c r="C109" t="s">
        <v>14</v>
      </c>
      <c r="D109" t="s">
        <v>22</v>
      </c>
      <c r="E109" s="13">
        <v>599.4</v>
      </c>
      <c r="F109" s="13">
        <v>59.94</v>
      </c>
      <c r="G109" s="13">
        <f t="shared" si="2"/>
        <v>659.33999999999992</v>
      </c>
    </row>
    <row r="110" spans="1:7" x14ac:dyDescent="0.25">
      <c r="A110">
        <v>10158</v>
      </c>
      <c r="B110" s="12">
        <v>45393</v>
      </c>
      <c r="C110" t="s">
        <v>14</v>
      </c>
      <c r="D110" t="s">
        <v>24</v>
      </c>
      <c r="E110" s="13">
        <v>268</v>
      </c>
      <c r="F110" s="13">
        <v>26.8</v>
      </c>
      <c r="G110" s="13">
        <f t="shared" si="2"/>
        <v>294.8</v>
      </c>
    </row>
    <row r="111" spans="1:7" x14ac:dyDescent="0.25">
      <c r="A111">
        <v>10159</v>
      </c>
      <c r="B111" s="12">
        <v>45393</v>
      </c>
      <c r="C111" t="s">
        <v>17</v>
      </c>
      <c r="D111" t="s">
        <v>24</v>
      </c>
      <c r="E111" s="13">
        <v>841.2</v>
      </c>
      <c r="F111" s="13">
        <v>75.707999999999998</v>
      </c>
      <c r="G111" s="13">
        <f t="shared" si="2"/>
        <v>916.90800000000002</v>
      </c>
    </row>
    <row r="112" spans="1:7" x14ac:dyDescent="0.25">
      <c r="A112">
        <v>10160</v>
      </c>
      <c r="B112" s="12">
        <v>45397</v>
      </c>
      <c r="C112" t="s">
        <v>14</v>
      </c>
      <c r="D112" t="s">
        <v>19</v>
      </c>
      <c r="E112" s="13">
        <v>2048.5</v>
      </c>
      <c r="F112" s="13">
        <v>163.88</v>
      </c>
      <c r="G112" s="13">
        <f t="shared" si="2"/>
        <v>2212.38</v>
      </c>
    </row>
    <row r="113" spans="1:7" x14ac:dyDescent="0.25">
      <c r="A113">
        <v>10161</v>
      </c>
      <c r="B113" s="12">
        <v>45398</v>
      </c>
      <c r="C113" t="s">
        <v>14</v>
      </c>
      <c r="D113" t="s">
        <v>16</v>
      </c>
      <c r="E113" s="13">
        <v>144</v>
      </c>
      <c r="F113" s="13">
        <v>14.4</v>
      </c>
      <c r="G113" s="13">
        <f t="shared" si="2"/>
        <v>158.4</v>
      </c>
    </row>
    <row r="114" spans="1:7" x14ac:dyDescent="0.25">
      <c r="A114">
        <v>10162</v>
      </c>
      <c r="B114" s="12">
        <v>45399</v>
      </c>
      <c r="C114" t="s">
        <v>17</v>
      </c>
      <c r="D114" t="s">
        <v>22</v>
      </c>
      <c r="E114" s="13">
        <v>1402</v>
      </c>
      <c r="F114" s="13">
        <v>126.17999999999999</v>
      </c>
      <c r="G114" s="13">
        <f t="shared" si="2"/>
        <v>1528.18</v>
      </c>
    </row>
    <row r="115" spans="1:7" x14ac:dyDescent="0.25">
      <c r="A115">
        <v>10163</v>
      </c>
      <c r="B115" s="12">
        <v>45401</v>
      </c>
      <c r="C115" t="s">
        <v>14</v>
      </c>
      <c r="D115" t="s">
        <v>19</v>
      </c>
      <c r="E115" s="13">
        <v>533.26</v>
      </c>
      <c r="F115" s="13">
        <v>53.326000000000001</v>
      </c>
      <c r="G115" s="13">
        <f t="shared" si="2"/>
        <v>586.58600000000001</v>
      </c>
    </row>
    <row r="116" spans="1:7" x14ac:dyDescent="0.25">
      <c r="A116">
        <v>10164</v>
      </c>
      <c r="B116" s="12">
        <v>45401</v>
      </c>
      <c r="C116" t="s">
        <v>17</v>
      </c>
      <c r="D116" t="s">
        <v>22</v>
      </c>
      <c r="E116" s="13">
        <v>1388.5</v>
      </c>
      <c r="F116" s="13">
        <v>124.96499999999999</v>
      </c>
      <c r="G116" s="13">
        <f t="shared" si="2"/>
        <v>1513.4649999999999</v>
      </c>
    </row>
    <row r="117" spans="1:7" x14ac:dyDescent="0.25">
      <c r="A117">
        <v>10165</v>
      </c>
      <c r="B117" s="12">
        <v>45402</v>
      </c>
      <c r="C117" t="s">
        <v>14</v>
      </c>
      <c r="D117" t="s">
        <v>24</v>
      </c>
      <c r="E117" s="13">
        <v>149.9</v>
      </c>
      <c r="F117" s="13">
        <v>14.990000000000002</v>
      </c>
      <c r="G117" s="13">
        <f t="shared" si="2"/>
        <v>164.89000000000001</v>
      </c>
    </row>
    <row r="118" spans="1:7" x14ac:dyDescent="0.25">
      <c r="A118">
        <v>10166</v>
      </c>
      <c r="B118" s="12">
        <v>45404</v>
      </c>
      <c r="C118" t="s">
        <v>14</v>
      </c>
      <c r="D118" t="s">
        <v>22</v>
      </c>
      <c r="E118" s="13">
        <v>2545</v>
      </c>
      <c r="F118" s="13">
        <v>203.6</v>
      </c>
      <c r="G118" s="13">
        <f t="shared" si="2"/>
        <v>2748.6</v>
      </c>
    </row>
    <row r="119" spans="1:7" x14ac:dyDescent="0.25">
      <c r="A119">
        <v>10167</v>
      </c>
      <c r="B119" s="12">
        <v>45404</v>
      </c>
      <c r="C119" t="s">
        <v>14</v>
      </c>
      <c r="D119" t="s">
        <v>23</v>
      </c>
      <c r="E119" s="13">
        <v>758.06</v>
      </c>
      <c r="F119" s="13">
        <v>75.805999999999997</v>
      </c>
      <c r="G119" s="13">
        <f t="shared" si="2"/>
        <v>833.86599999999999</v>
      </c>
    </row>
    <row r="120" spans="1:7" x14ac:dyDescent="0.25">
      <c r="A120">
        <v>10168</v>
      </c>
      <c r="B120" s="12">
        <v>45405</v>
      </c>
      <c r="C120" t="s">
        <v>14</v>
      </c>
      <c r="D120" t="s">
        <v>23</v>
      </c>
      <c r="E120" s="13">
        <v>521.29999999999995</v>
      </c>
      <c r="F120" s="13">
        <v>52.129999999999995</v>
      </c>
      <c r="G120" s="13">
        <f t="shared" si="2"/>
        <v>573.42999999999995</v>
      </c>
    </row>
    <row r="121" spans="1:7" x14ac:dyDescent="0.25">
      <c r="A121">
        <v>10169</v>
      </c>
      <c r="B121" s="12">
        <v>45409</v>
      </c>
      <c r="C121" t="s">
        <v>14</v>
      </c>
      <c r="D121" t="s">
        <v>23</v>
      </c>
      <c r="E121" s="13">
        <v>658.8</v>
      </c>
      <c r="F121" s="13">
        <v>65.88</v>
      </c>
      <c r="G121" s="13">
        <f t="shared" si="2"/>
        <v>724.68</v>
      </c>
    </row>
    <row r="122" spans="1:7" x14ac:dyDescent="0.25">
      <c r="A122">
        <v>10170</v>
      </c>
      <c r="B122" s="12">
        <v>45410</v>
      </c>
      <c r="C122" t="s">
        <v>14</v>
      </c>
      <c r="D122" t="s">
        <v>23</v>
      </c>
      <c r="E122" s="13">
        <v>1950</v>
      </c>
      <c r="F122" s="13">
        <v>195</v>
      </c>
      <c r="G122" s="13">
        <f t="shared" si="2"/>
        <v>2145</v>
      </c>
    </row>
    <row r="123" spans="1:7" x14ac:dyDescent="0.25">
      <c r="A123">
        <v>10171</v>
      </c>
      <c r="B123" s="12">
        <v>45410</v>
      </c>
      <c r="C123" t="s">
        <v>17</v>
      </c>
      <c r="D123" t="s">
        <v>22</v>
      </c>
      <c r="E123" s="13">
        <v>144.80000000000001</v>
      </c>
      <c r="F123" s="13">
        <v>13.032</v>
      </c>
      <c r="G123" s="13">
        <f t="shared" si="2"/>
        <v>157.83200000000002</v>
      </c>
    </row>
    <row r="124" spans="1:7" x14ac:dyDescent="0.25">
      <c r="A124">
        <v>10172</v>
      </c>
      <c r="B124" s="12">
        <v>45410</v>
      </c>
      <c r="C124" t="s">
        <v>14</v>
      </c>
      <c r="D124" t="s">
        <v>24</v>
      </c>
      <c r="E124" s="13">
        <v>347</v>
      </c>
      <c r="F124" s="13">
        <v>34.700000000000003</v>
      </c>
      <c r="G124" s="13">
        <f t="shared" si="2"/>
        <v>381.7</v>
      </c>
    </row>
    <row r="125" spans="1:7" x14ac:dyDescent="0.25">
      <c r="A125">
        <v>10173</v>
      </c>
      <c r="B125" s="12">
        <v>45412</v>
      </c>
      <c r="C125" t="s">
        <v>17</v>
      </c>
      <c r="D125" t="s">
        <v>19</v>
      </c>
      <c r="E125" s="13">
        <v>4697.54</v>
      </c>
      <c r="F125" s="13">
        <v>375.8032</v>
      </c>
      <c r="G125" s="13">
        <f t="shared" si="2"/>
        <v>5073.3432000000003</v>
      </c>
    </row>
    <row r="126" spans="1:7" x14ac:dyDescent="0.25">
      <c r="A126">
        <v>10174</v>
      </c>
      <c r="B126" s="12">
        <v>45413</v>
      </c>
      <c r="C126" t="s">
        <v>14</v>
      </c>
      <c r="D126" t="s">
        <v>15</v>
      </c>
      <c r="E126" s="13">
        <v>818.3</v>
      </c>
      <c r="F126" s="13">
        <v>81.83</v>
      </c>
      <c r="G126" s="13">
        <f t="shared" si="2"/>
        <v>900.13</v>
      </c>
    </row>
    <row r="127" spans="1:7" x14ac:dyDescent="0.25">
      <c r="A127">
        <v>10175</v>
      </c>
      <c r="B127" s="12">
        <v>45413</v>
      </c>
      <c r="C127" t="s">
        <v>17</v>
      </c>
      <c r="D127" t="s">
        <v>15</v>
      </c>
      <c r="E127" s="13">
        <v>2381.0500000000002</v>
      </c>
      <c r="F127" s="13">
        <v>214.2945</v>
      </c>
      <c r="G127" s="13">
        <f t="shared" si="2"/>
        <v>2595.3445000000002</v>
      </c>
    </row>
    <row r="128" spans="1:7" x14ac:dyDescent="0.25">
      <c r="A128">
        <v>10176</v>
      </c>
      <c r="B128" s="12">
        <v>45413</v>
      </c>
      <c r="C128" t="s">
        <v>14</v>
      </c>
      <c r="D128" t="s">
        <v>19</v>
      </c>
      <c r="E128" s="13">
        <v>2319.1999999999998</v>
      </c>
      <c r="F128" s="13">
        <v>185.536</v>
      </c>
      <c r="G128" s="13">
        <f t="shared" si="2"/>
        <v>2504.7359999999999</v>
      </c>
    </row>
    <row r="129" spans="1:7" x14ac:dyDescent="0.25">
      <c r="A129">
        <v>10177</v>
      </c>
      <c r="B129" s="12">
        <v>45414</v>
      </c>
      <c r="C129" t="s">
        <v>14</v>
      </c>
      <c r="D129" t="s">
        <v>23</v>
      </c>
      <c r="E129" s="13">
        <v>205</v>
      </c>
      <c r="F129" s="13">
        <v>20.5</v>
      </c>
      <c r="G129" s="13">
        <f t="shared" si="2"/>
        <v>225.5</v>
      </c>
    </row>
    <row r="130" spans="1:7" x14ac:dyDescent="0.25">
      <c r="A130">
        <v>10178</v>
      </c>
      <c r="B130" s="12">
        <v>45415</v>
      </c>
      <c r="C130" t="s">
        <v>14</v>
      </c>
      <c r="D130" t="s">
        <v>21</v>
      </c>
      <c r="E130" s="13">
        <v>223.5</v>
      </c>
      <c r="F130" s="13">
        <v>22.35</v>
      </c>
      <c r="G130" s="13">
        <f t="shared" si="2"/>
        <v>245.85</v>
      </c>
    </row>
    <row r="131" spans="1:7" x14ac:dyDescent="0.25">
      <c r="A131">
        <v>10179</v>
      </c>
      <c r="B131" s="12">
        <v>45416</v>
      </c>
      <c r="C131" t="s">
        <v>14</v>
      </c>
      <c r="D131" t="s">
        <v>16</v>
      </c>
      <c r="E131" s="13">
        <v>416.8</v>
      </c>
      <c r="F131" s="13">
        <v>41.680000000000007</v>
      </c>
      <c r="G131" s="13">
        <f t="shared" si="2"/>
        <v>458.48</v>
      </c>
    </row>
    <row r="132" spans="1:7" x14ac:dyDescent="0.25">
      <c r="A132">
        <v>10180</v>
      </c>
      <c r="B132" s="12">
        <v>45419</v>
      </c>
      <c r="C132" t="s">
        <v>14</v>
      </c>
      <c r="D132" t="s">
        <v>22</v>
      </c>
      <c r="E132" s="13">
        <v>4147.05</v>
      </c>
      <c r="F132" s="13">
        <v>331.76400000000001</v>
      </c>
      <c r="G132" s="13">
        <f t="shared" si="2"/>
        <v>4478.8140000000003</v>
      </c>
    </row>
    <row r="133" spans="1:7" x14ac:dyDescent="0.25">
      <c r="A133">
        <v>10181</v>
      </c>
      <c r="B133" s="12">
        <v>45419</v>
      </c>
      <c r="C133" t="s">
        <v>17</v>
      </c>
      <c r="D133" t="s">
        <v>23</v>
      </c>
      <c r="E133" s="13">
        <v>1502</v>
      </c>
      <c r="F133" s="13">
        <v>135.18</v>
      </c>
      <c r="G133" s="13">
        <f t="shared" ref="G133:G196" si="3">SUM(E133:F133)</f>
        <v>1637.18</v>
      </c>
    </row>
    <row r="134" spans="1:7" x14ac:dyDescent="0.25">
      <c r="A134">
        <v>10182</v>
      </c>
      <c r="B134" s="12">
        <v>45420</v>
      </c>
      <c r="C134" t="s">
        <v>17</v>
      </c>
      <c r="D134" t="s">
        <v>22</v>
      </c>
      <c r="E134" s="13">
        <v>2315.2399999999998</v>
      </c>
      <c r="F134" s="13">
        <v>208.37159999999997</v>
      </c>
      <c r="G134" s="13">
        <f t="shared" si="3"/>
        <v>2523.6115999999997</v>
      </c>
    </row>
    <row r="135" spans="1:7" x14ac:dyDescent="0.25">
      <c r="A135">
        <v>10183</v>
      </c>
      <c r="B135" s="12">
        <v>45420</v>
      </c>
      <c r="C135" t="s">
        <v>14</v>
      </c>
      <c r="D135" t="s">
        <v>19</v>
      </c>
      <c r="E135" s="13">
        <v>390.2</v>
      </c>
      <c r="F135" s="13">
        <v>39.020000000000003</v>
      </c>
      <c r="G135" s="13">
        <f t="shared" si="3"/>
        <v>429.21999999999997</v>
      </c>
    </row>
    <row r="136" spans="1:7" x14ac:dyDescent="0.25">
      <c r="A136">
        <v>10184</v>
      </c>
      <c r="B136" s="12">
        <v>45421</v>
      </c>
      <c r="C136" t="s">
        <v>14</v>
      </c>
      <c r="D136" t="s">
        <v>18</v>
      </c>
      <c r="E136" s="13">
        <v>3190.65</v>
      </c>
      <c r="F136" s="13">
        <v>255.25200000000001</v>
      </c>
      <c r="G136" s="13">
        <f t="shared" si="3"/>
        <v>3445.902</v>
      </c>
    </row>
    <row r="137" spans="1:7" x14ac:dyDescent="0.25">
      <c r="A137">
        <v>10185</v>
      </c>
      <c r="B137" s="12">
        <v>45421</v>
      </c>
      <c r="C137" t="s">
        <v>17</v>
      </c>
      <c r="D137" t="s">
        <v>20</v>
      </c>
      <c r="E137" s="13">
        <v>950</v>
      </c>
      <c r="F137" s="13">
        <v>85.5</v>
      </c>
      <c r="G137" s="13">
        <f t="shared" si="3"/>
        <v>1035.5</v>
      </c>
    </row>
    <row r="138" spans="1:7" x14ac:dyDescent="0.25">
      <c r="A138">
        <v>10186</v>
      </c>
      <c r="B138" s="12">
        <v>45423</v>
      </c>
      <c r="C138" t="s">
        <v>17</v>
      </c>
      <c r="D138" t="s">
        <v>24</v>
      </c>
      <c r="E138" s="13">
        <v>4170</v>
      </c>
      <c r="F138" s="13">
        <v>333.6</v>
      </c>
      <c r="G138" s="13">
        <f t="shared" si="3"/>
        <v>4503.6000000000004</v>
      </c>
    </row>
    <row r="139" spans="1:7" x14ac:dyDescent="0.25">
      <c r="A139">
        <v>10187</v>
      </c>
      <c r="B139" s="12">
        <v>45425</v>
      </c>
      <c r="C139" t="s">
        <v>17</v>
      </c>
      <c r="D139" t="s">
        <v>23</v>
      </c>
      <c r="E139" s="13">
        <v>803.35</v>
      </c>
      <c r="F139" s="13">
        <v>72.301500000000004</v>
      </c>
      <c r="G139" s="13">
        <f t="shared" si="3"/>
        <v>875.65150000000006</v>
      </c>
    </row>
    <row r="140" spans="1:7" x14ac:dyDescent="0.25">
      <c r="A140">
        <v>10188</v>
      </c>
      <c r="B140" s="12">
        <v>45426</v>
      </c>
      <c r="C140" t="s">
        <v>14</v>
      </c>
      <c r="D140" t="s">
        <v>22</v>
      </c>
      <c r="E140" s="13">
        <v>1160.4000000000001</v>
      </c>
      <c r="F140" s="13">
        <v>116.04000000000002</v>
      </c>
      <c r="G140" s="13">
        <f t="shared" si="3"/>
        <v>1276.44</v>
      </c>
    </row>
    <row r="141" spans="1:7" x14ac:dyDescent="0.25">
      <c r="A141">
        <v>10189</v>
      </c>
      <c r="B141" s="12">
        <v>45427</v>
      </c>
      <c r="C141" t="s">
        <v>17</v>
      </c>
      <c r="D141" t="s">
        <v>18</v>
      </c>
      <c r="E141" s="13">
        <v>237</v>
      </c>
      <c r="F141" s="13">
        <v>21.33</v>
      </c>
      <c r="G141" s="13">
        <f t="shared" si="3"/>
        <v>258.33</v>
      </c>
    </row>
    <row r="142" spans="1:7" x14ac:dyDescent="0.25">
      <c r="A142">
        <v>10190</v>
      </c>
      <c r="B142" s="12">
        <v>45427</v>
      </c>
      <c r="C142" t="s">
        <v>14</v>
      </c>
      <c r="D142" t="s">
        <v>21</v>
      </c>
      <c r="E142" s="13">
        <v>463.7</v>
      </c>
      <c r="F142" s="13">
        <v>46.370000000000005</v>
      </c>
      <c r="G142" s="13">
        <f t="shared" si="3"/>
        <v>510.07</v>
      </c>
    </row>
    <row r="143" spans="1:7" x14ac:dyDescent="0.25">
      <c r="A143">
        <v>10191</v>
      </c>
      <c r="B143" s="12">
        <v>45428</v>
      </c>
      <c r="C143" t="s">
        <v>14</v>
      </c>
      <c r="D143" t="s">
        <v>16</v>
      </c>
      <c r="E143" s="13">
        <v>132.80000000000001</v>
      </c>
      <c r="F143" s="13">
        <v>13.280000000000001</v>
      </c>
      <c r="G143" s="13">
        <f t="shared" si="3"/>
        <v>146.08000000000001</v>
      </c>
    </row>
    <row r="144" spans="1:7" x14ac:dyDescent="0.25">
      <c r="A144">
        <v>10192</v>
      </c>
      <c r="B144" s="12">
        <v>45430</v>
      </c>
      <c r="C144" t="s">
        <v>17</v>
      </c>
      <c r="D144" t="s">
        <v>24</v>
      </c>
      <c r="E144" s="13">
        <v>8613.4500000000007</v>
      </c>
      <c r="F144" s="13">
        <v>344.53800000000001</v>
      </c>
      <c r="G144" s="13">
        <f t="shared" si="3"/>
        <v>8957.9880000000012</v>
      </c>
    </row>
    <row r="145" spans="1:7" x14ac:dyDescent="0.25">
      <c r="A145">
        <v>10193</v>
      </c>
      <c r="B145" s="12">
        <v>45430</v>
      </c>
      <c r="C145" t="s">
        <v>14</v>
      </c>
      <c r="D145" t="s">
        <v>18</v>
      </c>
      <c r="E145" s="13">
        <v>1827.8</v>
      </c>
      <c r="F145" s="13">
        <v>182.78</v>
      </c>
      <c r="G145" s="13">
        <f t="shared" si="3"/>
        <v>2010.58</v>
      </c>
    </row>
    <row r="146" spans="1:7" x14ac:dyDescent="0.25">
      <c r="A146">
        <v>10194</v>
      </c>
      <c r="B146" s="12">
        <v>45433</v>
      </c>
      <c r="C146" t="s">
        <v>14</v>
      </c>
      <c r="D146" t="s">
        <v>23</v>
      </c>
      <c r="E146" s="13">
        <v>101</v>
      </c>
      <c r="F146" s="13">
        <v>10.100000000000001</v>
      </c>
      <c r="G146" s="13">
        <f t="shared" si="3"/>
        <v>111.1</v>
      </c>
    </row>
    <row r="147" spans="1:7" x14ac:dyDescent="0.25">
      <c r="A147">
        <v>10195</v>
      </c>
      <c r="B147" s="12">
        <v>45434</v>
      </c>
      <c r="C147" t="s">
        <v>14</v>
      </c>
      <c r="D147" t="s">
        <v>22</v>
      </c>
      <c r="E147" s="13">
        <v>1938.85</v>
      </c>
      <c r="F147" s="13">
        <v>193.88499999999999</v>
      </c>
      <c r="G147" s="13">
        <f t="shared" si="3"/>
        <v>2132.7349999999997</v>
      </c>
    </row>
    <row r="148" spans="1:7" x14ac:dyDescent="0.25">
      <c r="A148">
        <v>10196</v>
      </c>
      <c r="B148" s="12">
        <v>45434</v>
      </c>
      <c r="C148" t="s">
        <v>17</v>
      </c>
      <c r="D148" t="s">
        <v>21</v>
      </c>
      <c r="E148" s="13">
        <v>2215.1999999999998</v>
      </c>
      <c r="F148" s="13">
        <v>199.36799999999997</v>
      </c>
      <c r="G148" s="13">
        <f t="shared" si="3"/>
        <v>2414.5679999999998</v>
      </c>
    </row>
    <row r="149" spans="1:7" x14ac:dyDescent="0.25">
      <c r="A149">
        <v>10197</v>
      </c>
      <c r="B149" s="12">
        <v>45434</v>
      </c>
      <c r="C149" t="s">
        <v>17</v>
      </c>
      <c r="D149" t="s">
        <v>19</v>
      </c>
      <c r="E149" s="13">
        <v>352.5</v>
      </c>
      <c r="F149" s="13">
        <v>31.724999999999998</v>
      </c>
      <c r="G149" s="13">
        <f t="shared" si="3"/>
        <v>384.22500000000002</v>
      </c>
    </row>
    <row r="150" spans="1:7" x14ac:dyDescent="0.25">
      <c r="A150">
        <v>10198</v>
      </c>
      <c r="B150" s="12">
        <v>45434</v>
      </c>
      <c r="C150" t="s">
        <v>14</v>
      </c>
      <c r="D150" t="s">
        <v>21</v>
      </c>
      <c r="E150" s="13">
        <v>1495.5</v>
      </c>
      <c r="F150" s="13">
        <v>149.55000000000001</v>
      </c>
      <c r="G150" s="13">
        <f t="shared" si="3"/>
        <v>1645.05</v>
      </c>
    </row>
    <row r="151" spans="1:7" x14ac:dyDescent="0.25">
      <c r="A151">
        <v>10199</v>
      </c>
      <c r="B151" s="12">
        <v>45435</v>
      </c>
      <c r="C151" t="s">
        <v>17</v>
      </c>
      <c r="D151" t="s">
        <v>15</v>
      </c>
      <c r="E151" s="13">
        <v>9928.2999999999993</v>
      </c>
      <c r="F151" s="13">
        <v>397.13200000000001</v>
      </c>
      <c r="G151" s="13">
        <f t="shared" si="3"/>
        <v>10325.431999999999</v>
      </c>
    </row>
    <row r="152" spans="1:7" x14ac:dyDescent="0.25">
      <c r="A152">
        <v>10200</v>
      </c>
      <c r="B152" s="12">
        <v>45437</v>
      </c>
      <c r="C152" t="s">
        <v>14</v>
      </c>
      <c r="D152" t="s">
        <v>18</v>
      </c>
      <c r="E152" s="13">
        <v>813.4</v>
      </c>
      <c r="F152" s="13">
        <v>81.34</v>
      </c>
      <c r="G152" s="13">
        <f t="shared" si="3"/>
        <v>894.74</v>
      </c>
    </row>
    <row r="153" spans="1:7" x14ac:dyDescent="0.25">
      <c r="A153">
        <v>10201</v>
      </c>
      <c r="B153" s="12">
        <v>45437</v>
      </c>
      <c r="C153" t="s">
        <v>17</v>
      </c>
      <c r="D153" t="s">
        <v>18</v>
      </c>
      <c r="E153" s="13">
        <v>473.11</v>
      </c>
      <c r="F153" s="13">
        <v>42.579900000000002</v>
      </c>
      <c r="G153" s="13">
        <f t="shared" si="3"/>
        <v>515.68989999999997</v>
      </c>
    </row>
    <row r="154" spans="1:7" x14ac:dyDescent="0.25">
      <c r="A154">
        <v>10202</v>
      </c>
      <c r="B154" s="12">
        <v>45439</v>
      </c>
      <c r="C154" t="s">
        <v>17</v>
      </c>
      <c r="D154" t="s">
        <v>18</v>
      </c>
      <c r="E154" s="13">
        <v>2816</v>
      </c>
      <c r="F154" s="13">
        <v>253.44</v>
      </c>
      <c r="G154" s="13">
        <f t="shared" si="3"/>
        <v>3069.44</v>
      </c>
    </row>
    <row r="155" spans="1:7" x14ac:dyDescent="0.25">
      <c r="A155">
        <v>10203</v>
      </c>
      <c r="B155" s="12">
        <v>45441</v>
      </c>
      <c r="C155" t="s">
        <v>14</v>
      </c>
      <c r="D155" t="s">
        <v>15</v>
      </c>
      <c r="E155" s="13">
        <v>1948.52</v>
      </c>
      <c r="F155" s="13">
        <v>194.852</v>
      </c>
      <c r="G155" s="13">
        <f t="shared" si="3"/>
        <v>2143.3719999999998</v>
      </c>
    </row>
    <row r="156" spans="1:7" x14ac:dyDescent="0.25">
      <c r="A156">
        <v>10204</v>
      </c>
      <c r="B156" s="12">
        <v>45442</v>
      </c>
      <c r="C156" t="s">
        <v>17</v>
      </c>
      <c r="D156" t="s">
        <v>22</v>
      </c>
      <c r="E156" s="13">
        <v>409.2</v>
      </c>
      <c r="F156" s="13">
        <v>36.827999999999996</v>
      </c>
      <c r="G156" s="13">
        <f t="shared" si="3"/>
        <v>446.02799999999996</v>
      </c>
    </row>
    <row r="157" spans="1:7" x14ac:dyDescent="0.25">
      <c r="A157">
        <v>10205</v>
      </c>
      <c r="B157" s="12">
        <v>45442</v>
      </c>
      <c r="C157" t="s">
        <v>14</v>
      </c>
      <c r="D157" t="s">
        <v>20</v>
      </c>
      <c r="E157" s="13">
        <v>3550.27</v>
      </c>
      <c r="F157" s="13">
        <v>284.02159999999998</v>
      </c>
      <c r="G157" s="13">
        <f t="shared" si="3"/>
        <v>3834.2916</v>
      </c>
    </row>
    <row r="158" spans="1:7" x14ac:dyDescent="0.25">
      <c r="A158">
        <v>10206</v>
      </c>
      <c r="B158" s="12">
        <v>45444</v>
      </c>
      <c r="C158" t="s">
        <v>17</v>
      </c>
      <c r="D158" t="s">
        <v>23</v>
      </c>
      <c r="E158" s="13">
        <v>2441.31</v>
      </c>
      <c r="F158" s="13">
        <v>219.71789999999999</v>
      </c>
      <c r="G158" s="13">
        <f t="shared" si="3"/>
        <v>2661.0279</v>
      </c>
    </row>
    <row r="159" spans="1:7" x14ac:dyDescent="0.25">
      <c r="A159">
        <v>10207</v>
      </c>
      <c r="B159" s="12">
        <v>45445</v>
      </c>
      <c r="C159" t="s">
        <v>14</v>
      </c>
      <c r="D159" t="s">
        <v>24</v>
      </c>
      <c r="E159" s="13">
        <v>248.1</v>
      </c>
      <c r="F159" s="13">
        <v>24.810000000000002</v>
      </c>
      <c r="G159" s="13">
        <f t="shared" si="3"/>
        <v>272.90999999999997</v>
      </c>
    </row>
    <row r="160" spans="1:7" x14ac:dyDescent="0.25">
      <c r="A160">
        <v>10208</v>
      </c>
      <c r="B160" s="12">
        <v>45446</v>
      </c>
      <c r="C160" t="s">
        <v>14</v>
      </c>
      <c r="D160" t="s">
        <v>24</v>
      </c>
      <c r="E160" s="13">
        <v>1798.8</v>
      </c>
      <c r="F160" s="13">
        <v>179.88</v>
      </c>
      <c r="G160" s="13">
        <f t="shared" si="3"/>
        <v>1978.6799999999998</v>
      </c>
    </row>
    <row r="161" spans="1:7" x14ac:dyDescent="0.25">
      <c r="A161">
        <v>10209</v>
      </c>
      <c r="B161" s="12">
        <v>45447</v>
      </c>
      <c r="C161" t="s">
        <v>17</v>
      </c>
      <c r="D161" t="s">
        <v>15</v>
      </c>
      <c r="E161" s="13">
        <v>1553.3</v>
      </c>
      <c r="F161" s="13">
        <v>139.797</v>
      </c>
      <c r="G161" s="13">
        <f t="shared" si="3"/>
        <v>1693.097</v>
      </c>
    </row>
    <row r="162" spans="1:7" x14ac:dyDescent="0.25">
      <c r="A162">
        <v>10210</v>
      </c>
      <c r="B162" s="12">
        <v>45447</v>
      </c>
      <c r="C162" t="s">
        <v>14</v>
      </c>
      <c r="D162" t="s">
        <v>22</v>
      </c>
      <c r="E162" s="13">
        <v>1731.52</v>
      </c>
      <c r="F162" s="13">
        <v>173.15200000000002</v>
      </c>
      <c r="G162" s="13">
        <f t="shared" si="3"/>
        <v>1904.672</v>
      </c>
    </row>
    <row r="163" spans="1:7" x14ac:dyDescent="0.25">
      <c r="A163">
        <v>10211</v>
      </c>
      <c r="B163" s="12">
        <v>45448</v>
      </c>
      <c r="C163" t="s">
        <v>14</v>
      </c>
      <c r="D163" t="s">
        <v>22</v>
      </c>
      <c r="E163" s="13">
        <v>1684.3</v>
      </c>
      <c r="F163" s="13">
        <v>168.43</v>
      </c>
      <c r="G163" s="13">
        <f t="shared" si="3"/>
        <v>1852.73</v>
      </c>
    </row>
    <row r="164" spans="1:7" x14ac:dyDescent="0.25">
      <c r="A164">
        <v>10212</v>
      </c>
      <c r="B164" s="12">
        <v>45449</v>
      </c>
      <c r="C164" t="s">
        <v>14</v>
      </c>
      <c r="D164" t="s">
        <v>19</v>
      </c>
      <c r="E164" s="13">
        <v>2936.4</v>
      </c>
      <c r="F164" s="13">
        <v>234.91200000000001</v>
      </c>
      <c r="G164" s="13">
        <f t="shared" si="3"/>
        <v>3171.3119999999999</v>
      </c>
    </row>
    <row r="165" spans="1:7" x14ac:dyDescent="0.25">
      <c r="A165">
        <v>10213</v>
      </c>
      <c r="B165" s="12">
        <v>45449</v>
      </c>
      <c r="C165" t="s">
        <v>14</v>
      </c>
      <c r="D165" t="s">
        <v>15</v>
      </c>
      <c r="E165" s="13">
        <v>880.5</v>
      </c>
      <c r="F165" s="13">
        <v>88.050000000000011</v>
      </c>
      <c r="G165" s="13">
        <f t="shared" si="3"/>
        <v>968.55</v>
      </c>
    </row>
    <row r="166" spans="1:7" x14ac:dyDescent="0.25">
      <c r="A166">
        <v>10214</v>
      </c>
      <c r="B166" s="12">
        <v>45449</v>
      </c>
      <c r="C166" t="s">
        <v>14</v>
      </c>
      <c r="D166" t="s">
        <v>24</v>
      </c>
      <c r="E166" s="13">
        <v>1636</v>
      </c>
      <c r="F166" s="13">
        <v>163.60000000000002</v>
      </c>
      <c r="G166" s="13">
        <f t="shared" si="3"/>
        <v>1799.6</v>
      </c>
    </row>
    <row r="167" spans="1:7" x14ac:dyDescent="0.25">
      <c r="A167">
        <v>10215</v>
      </c>
      <c r="B167" s="12">
        <v>45450</v>
      </c>
      <c r="C167" t="s">
        <v>14</v>
      </c>
      <c r="D167" t="s">
        <v>23</v>
      </c>
      <c r="E167" s="13">
        <v>675.3</v>
      </c>
      <c r="F167" s="13">
        <v>67.53</v>
      </c>
      <c r="G167" s="13">
        <f t="shared" si="3"/>
        <v>742.82999999999993</v>
      </c>
    </row>
    <row r="168" spans="1:7" x14ac:dyDescent="0.25">
      <c r="A168">
        <v>10216</v>
      </c>
      <c r="B168" s="12">
        <v>45451</v>
      </c>
      <c r="C168" t="s">
        <v>17</v>
      </c>
      <c r="D168" t="s">
        <v>16</v>
      </c>
      <c r="E168" s="13">
        <v>1154.5</v>
      </c>
      <c r="F168" s="13">
        <v>103.905</v>
      </c>
      <c r="G168" s="13">
        <f t="shared" si="3"/>
        <v>1258.405</v>
      </c>
    </row>
    <row r="169" spans="1:7" x14ac:dyDescent="0.25">
      <c r="A169">
        <v>10217</v>
      </c>
      <c r="B169" s="12">
        <v>45452</v>
      </c>
      <c r="C169" t="s">
        <v>17</v>
      </c>
      <c r="D169" t="s">
        <v>18</v>
      </c>
      <c r="E169" s="13">
        <v>2149.9</v>
      </c>
      <c r="F169" s="13">
        <v>193.49100000000001</v>
      </c>
      <c r="G169" s="13">
        <f t="shared" si="3"/>
        <v>2343.3910000000001</v>
      </c>
    </row>
    <row r="170" spans="1:7" x14ac:dyDescent="0.25">
      <c r="A170">
        <v>10218</v>
      </c>
      <c r="B170" s="12">
        <v>45453</v>
      </c>
      <c r="C170" t="s">
        <v>14</v>
      </c>
      <c r="D170" t="s">
        <v>21</v>
      </c>
      <c r="E170" s="13">
        <v>1075.42</v>
      </c>
      <c r="F170" s="13">
        <v>107.54200000000002</v>
      </c>
      <c r="G170" s="13">
        <f t="shared" si="3"/>
        <v>1182.962</v>
      </c>
    </row>
    <row r="171" spans="1:7" x14ac:dyDescent="0.25">
      <c r="A171">
        <v>10219</v>
      </c>
      <c r="B171" s="12">
        <v>45454</v>
      </c>
      <c r="C171" t="s">
        <v>14</v>
      </c>
      <c r="D171" t="s">
        <v>15</v>
      </c>
      <c r="E171" s="13">
        <v>2846.5</v>
      </c>
      <c r="F171" s="13">
        <v>227.72</v>
      </c>
      <c r="G171" s="13">
        <f t="shared" si="3"/>
        <v>3074.22</v>
      </c>
    </row>
    <row r="172" spans="1:7" x14ac:dyDescent="0.25">
      <c r="A172">
        <v>10220</v>
      </c>
      <c r="B172" s="12">
        <v>45454</v>
      </c>
      <c r="C172" t="s">
        <v>14</v>
      </c>
      <c r="D172" t="s">
        <v>18</v>
      </c>
      <c r="E172" s="13">
        <v>498.7</v>
      </c>
      <c r="F172" s="13">
        <v>49.870000000000005</v>
      </c>
      <c r="G172" s="13">
        <f t="shared" si="3"/>
        <v>548.56999999999994</v>
      </c>
    </row>
    <row r="173" spans="1:7" x14ac:dyDescent="0.25">
      <c r="A173">
        <v>10221</v>
      </c>
      <c r="B173" s="12">
        <v>45455</v>
      </c>
      <c r="C173" t="s">
        <v>17</v>
      </c>
      <c r="D173" t="s">
        <v>19</v>
      </c>
      <c r="E173" s="13">
        <v>526.41</v>
      </c>
      <c r="F173" s="13">
        <v>47.376899999999992</v>
      </c>
      <c r="G173" s="13">
        <f t="shared" si="3"/>
        <v>573.78689999999995</v>
      </c>
    </row>
    <row r="174" spans="1:7" x14ac:dyDescent="0.25">
      <c r="A174">
        <v>10222</v>
      </c>
      <c r="B174" s="12">
        <v>45455</v>
      </c>
      <c r="C174" t="s">
        <v>17</v>
      </c>
      <c r="D174" t="s">
        <v>15</v>
      </c>
      <c r="E174" s="13">
        <v>837.2</v>
      </c>
      <c r="F174" s="13">
        <v>75.347999999999999</v>
      </c>
      <c r="G174" s="13">
        <f t="shared" si="3"/>
        <v>912.548</v>
      </c>
    </row>
    <row r="175" spans="1:7" x14ac:dyDescent="0.25">
      <c r="A175">
        <v>10223</v>
      </c>
      <c r="B175" s="12">
        <v>45458</v>
      </c>
      <c r="C175" t="s">
        <v>14</v>
      </c>
      <c r="D175" t="s">
        <v>24</v>
      </c>
      <c r="E175" s="13">
        <v>10187.700000000001</v>
      </c>
      <c r="F175" s="13">
        <v>509.38500000000005</v>
      </c>
      <c r="G175" s="13">
        <f t="shared" si="3"/>
        <v>10697.085000000001</v>
      </c>
    </row>
    <row r="176" spans="1:7" x14ac:dyDescent="0.25">
      <c r="A176">
        <v>10224</v>
      </c>
      <c r="B176" s="12">
        <v>45460</v>
      </c>
      <c r="C176" t="s">
        <v>14</v>
      </c>
      <c r="D176" t="s">
        <v>21</v>
      </c>
      <c r="E176" s="13">
        <v>634.9</v>
      </c>
      <c r="F176" s="13">
        <v>63.49</v>
      </c>
      <c r="G176" s="13">
        <f t="shared" si="3"/>
        <v>698.39</v>
      </c>
    </row>
    <row r="177" spans="1:7" x14ac:dyDescent="0.25">
      <c r="A177">
        <v>10225</v>
      </c>
      <c r="B177" s="12">
        <v>45461</v>
      </c>
      <c r="C177" t="s">
        <v>14</v>
      </c>
      <c r="D177" t="s">
        <v>22</v>
      </c>
      <c r="E177" s="13">
        <v>1242.05</v>
      </c>
      <c r="F177" s="13">
        <v>124.205</v>
      </c>
      <c r="G177" s="13">
        <f t="shared" si="3"/>
        <v>1366.2549999999999</v>
      </c>
    </row>
    <row r="178" spans="1:7" x14ac:dyDescent="0.25">
      <c r="A178">
        <v>10226</v>
      </c>
      <c r="B178" s="12">
        <v>45462</v>
      </c>
      <c r="C178" t="s">
        <v>14</v>
      </c>
      <c r="D178" t="s">
        <v>18</v>
      </c>
      <c r="E178" s="13">
        <v>2522</v>
      </c>
      <c r="F178" s="13">
        <v>201.76</v>
      </c>
      <c r="G178" s="13">
        <f t="shared" si="3"/>
        <v>2723.76</v>
      </c>
    </row>
    <row r="179" spans="1:7" x14ac:dyDescent="0.25">
      <c r="A179">
        <v>10227</v>
      </c>
      <c r="B179" s="12">
        <v>45463</v>
      </c>
      <c r="C179" t="s">
        <v>14</v>
      </c>
      <c r="D179" t="s">
        <v>16</v>
      </c>
      <c r="E179" s="13">
        <v>1768</v>
      </c>
      <c r="F179" s="13">
        <v>176.8</v>
      </c>
      <c r="G179" s="13">
        <f t="shared" si="3"/>
        <v>1944.8</v>
      </c>
    </row>
    <row r="180" spans="1:7" x14ac:dyDescent="0.25">
      <c r="A180">
        <v>10228</v>
      </c>
      <c r="B180" s="12">
        <v>45463</v>
      </c>
      <c r="C180" t="s">
        <v>14</v>
      </c>
      <c r="D180" t="s">
        <v>24</v>
      </c>
      <c r="E180" s="13">
        <v>2474.25</v>
      </c>
      <c r="F180" s="13">
        <v>197.94</v>
      </c>
      <c r="G180" s="13">
        <f t="shared" si="3"/>
        <v>2672.19</v>
      </c>
    </row>
    <row r="181" spans="1:7" x14ac:dyDescent="0.25">
      <c r="A181">
        <v>10229</v>
      </c>
      <c r="B181" s="12">
        <v>45465</v>
      </c>
      <c r="C181" t="s">
        <v>17</v>
      </c>
      <c r="D181" t="s">
        <v>23</v>
      </c>
      <c r="E181" s="13">
        <v>2079</v>
      </c>
      <c r="F181" s="13">
        <v>187.10999999999999</v>
      </c>
      <c r="G181" s="13">
        <f t="shared" si="3"/>
        <v>2266.11</v>
      </c>
    </row>
    <row r="182" spans="1:7" x14ac:dyDescent="0.25">
      <c r="A182">
        <v>10230</v>
      </c>
      <c r="B182" s="12">
        <v>45468</v>
      </c>
      <c r="C182" t="s">
        <v>14</v>
      </c>
      <c r="D182" t="s">
        <v>15</v>
      </c>
      <c r="E182" s="13">
        <v>958</v>
      </c>
      <c r="F182" s="13">
        <v>95.800000000000011</v>
      </c>
      <c r="G182" s="13">
        <f t="shared" si="3"/>
        <v>1053.8</v>
      </c>
    </row>
    <row r="183" spans="1:7" x14ac:dyDescent="0.25">
      <c r="A183">
        <v>10231</v>
      </c>
      <c r="B183" s="12">
        <v>45468</v>
      </c>
      <c r="C183" t="s">
        <v>14</v>
      </c>
      <c r="D183" t="s">
        <v>24</v>
      </c>
      <c r="E183" s="13">
        <v>1498.08</v>
      </c>
      <c r="F183" s="13">
        <v>149.80799999999999</v>
      </c>
      <c r="G183" s="13">
        <f t="shared" si="3"/>
        <v>1647.8879999999999</v>
      </c>
    </row>
    <row r="184" spans="1:7" x14ac:dyDescent="0.25">
      <c r="A184">
        <v>10232</v>
      </c>
      <c r="B184" s="12">
        <v>45469</v>
      </c>
      <c r="C184" t="s">
        <v>17</v>
      </c>
      <c r="D184" t="s">
        <v>21</v>
      </c>
      <c r="E184" s="13">
        <v>200</v>
      </c>
      <c r="F184" s="13">
        <v>18</v>
      </c>
      <c r="G184" s="13">
        <f t="shared" si="3"/>
        <v>218</v>
      </c>
    </row>
    <row r="185" spans="1:7" x14ac:dyDescent="0.25">
      <c r="A185">
        <v>10233</v>
      </c>
      <c r="B185" s="12">
        <v>45473</v>
      </c>
      <c r="C185" t="s">
        <v>14</v>
      </c>
      <c r="D185" t="s">
        <v>22</v>
      </c>
      <c r="E185" s="13">
        <v>754.3</v>
      </c>
      <c r="F185" s="13">
        <v>75.429999999999993</v>
      </c>
      <c r="G185" s="13">
        <f t="shared" si="3"/>
        <v>829.7299999999999</v>
      </c>
    </row>
    <row r="186" spans="1:7" x14ac:dyDescent="0.25">
      <c r="A186">
        <v>10234</v>
      </c>
      <c r="B186" s="12">
        <v>45473</v>
      </c>
      <c r="C186" t="s">
        <v>17</v>
      </c>
      <c r="D186" t="s">
        <v>24</v>
      </c>
      <c r="E186" s="13">
        <v>839.45</v>
      </c>
      <c r="F186" s="13">
        <v>75.5505</v>
      </c>
      <c r="G186" s="13">
        <f t="shared" si="3"/>
        <v>915.0005000000001</v>
      </c>
    </row>
    <row r="187" spans="1:7" x14ac:dyDescent="0.25">
      <c r="A187">
        <v>10235</v>
      </c>
      <c r="B187" s="12">
        <v>45473</v>
      </c>
      <c r="C187" t="s">
        <v>17</v>
      </c>
      <c r="D187" t="s">
        <v>20</v>
      </c>
      <c r="E187" s="13">
        <v>2151.4</v>
      </c>
      <c r="F187" s="13">
        <v>193.626</v>
      </c>
      <c r="G187" s="13">
        <f t="shared" si="3"/>
        <v>2345.0260000000003</v>
      </c>
    </row>
    <row r="188" spans="1:7" x14ac:dyDescent="0.25">
      <c r="A188">
        <v>10236</v>
      </c>
      <c r="B188" s="12">
        <v>45473</v>
      </c>
      <c r="C188" t="s">
        <v>14</v>
      </c>
      <c r="D188" t="s">
        <v>22</v>
      </c>
      <c r="E188" s="13">
        <v>1021.74</v>
      </c>
      <c r="F188" s="13">
        <v>102.17400000000001</v>
      </c>
      <c r="G188" s="13">
        <f t="shared" si="3"/>
        <v>1123.914</v>
      </c>
    </row>
    <row r="189" spans="1:7" x14ac:dyDescent="0.25">
      <c r="A189">
        <v>10237</v>
      </c>
      <c r="B189" s="12">
        <v>45474</v>
      </c>
      <c r="C189" t="s">
        <v>17</v>
      </c>
      <c r="D189" t="s">
        <v>16</v>
      </c>
      <c r="E189" s="13">
        <v>568</v>
      </c>
      <c r="F189" s="13">
        <v>51.12</v>
      </c>
      <c r="G189" s="13">
        <f t="shared" si="3"/>
        <v>619.12</v>
      </c>
    </row>
    <row r="190" spans="1:7" x14ac:dyDescent="0.25">
      <c r="A190">
        <v>10238</v>
      </c>
      <c r="B190" s="12">
        <v>45477</v>
      </c>
      <c r="C190" t="s">
        <v>17</v>
      </c>
      <c r="D190" t="s">
        <v>24</v>
      </c>
      <c r="E190" s="13">
        <v>310</v>
      </c>
      <c r="F190" s="13">
        <v>27.9</v>
      </c>
      <c r="G190" s="13">
        <f t="shared" si="3"/>
        <v>337.9</v>
      </c>
    </row>
    <row r="191" spans="1:7" x14ac:dyDescent="0.25">
      <c r="A191">
        <v>10239</v>
      </c>
      <c r="B191" s="12">
        <v>45477</v>
      </c>
      <c r="C191" t="s">
        <v>14</v>
      </c>
      <c r="D191" t="s">
        <v>18</v>
      </c>
      <c r="E191" s="13">
        <v>313.75</v>
      </c>
      <c r="F191" s="13">
        <v>31.375</v>
      </c>
      <c r="G191" s="13">
        <f t="shared" si="3"/>
        <v>345.125</v>
      </c>
    </row>
    <row r="192" spans="1:7" x14ac:dyDescent="0.25">
      <c r="A192">
        <v>10240</v>
      </c>
      <c r="B192" s="12">
        <v>45477</v>
      </c>
      <c r="C192" t="s">
        <v>14</v>
      </c>
      <c r="D192" t="s">
        <v>21</v>
      </c>
      <c r="E192" s="13">
        <v>560.59</v>
      </c>
      <c r="F192" s="13">
        <v>56.059000000000005</v>
      </c>
      <c r="G192" s="13">
        <f t="shared" si="3"/>
        <v>616.649</v>
      </c>
    </row>
    <row r="193" spans="1:7" x14ac:dyDescent="0.25">
      <c r="A193">
        <v>10241</v>
      </c>
      <c r="B193" s="12">
        <v>45478</v>
      </c>
      <c r="C193" t="s">
        <v>14</v>
      </c>
      <c r="D193" t="s">
        <v>22</v>
      </c>
      <c r="E193" s="13">
        <v>587.75</v>
      </c>
      <c r="F193" s="13">
        <v>58.775000000000006</v>
      </c>
      <c r="G193" s="13">
        <f t="shared" si="3"/>
        <v>646.52499999999998</v>
      </c>
    </row>
    <row r="194" spans="1:7" x14ac:dyDescent="0.25">
      <c r="A194">
        <v>10242</v>
      </c>
      <c r="B194" s="12">
        <v>45479</v>
      </c>
      <c r="C194" t="s">
        <v>14</v>
      </c>
      <c r="D194" t="s">
        <v>15</v>
      </c>
      <c r="E194" s="13">
        <v>2245.5</v>
      </c>
      <c r="F194" s="13">
        <v>179.64000000000001</v>
      </c>
      <c r="G194" s="13">
        <f t="shared" si="3"/>
        <v>2425.14</v>
      </c>
    </row>
    <row r="195" spans="1:7" x14ac:dyDescent="0.25">
      <c r="A195">
        <v>10243</v>
      </c>
      <c r="B195" s="12">
        <v>45481</v>
      </c>
      <c r="C195" t="s">
        <v>17</v>
      </c>
      <c r="D195" t="s">
        <v>16</v>
      </c>
      <c r="E195" s="13">
        <v>32.799999999999997</v>
      </c>
      <c r="F195" s="13">
        <v>5</v>
      </c>
      <c r="G195" s="13">
        <f t="shared" si="3"/>
        <v>37.799999999999997</v>
      </c>
    </row>
    <row r="196" spans="1:7" x14ac:dyDescent="0.25">
      <c r="A196">
        <v>10244</v>
      </c>
      <c r="B196" s="12">
        <v>45482</v>
      </c>
      <c r="C196" t="s">
        <v>17</v>
      </c>
      <c r="D196" t="s">
        <v>24</v>
      </c>
      <c r="E196" s="13">
        <v>162</v>
      </c>
      <c r="F196" s="13">
        <v>14.58</v>
      </c>
      <c r="G196" s="13">
        <f t="shared" si="3"/>
        <v>176.58</v>
      </c>
    </row>
    <row r="197" spans="1:7" x14ac:dyDescent="0.25">
      <c r="A197">
        <v>10245</v>
      </c>
      <c r="B197" s="12">
        <v>45483</v>
      </c>
      <c r="C197" t="s">
        <v>14</v>
      </c>
      <c r="D197" t="s">
        <v>18</v>
      </c>
      <c r="E197" s="13">
        <v>814.38</v>
      </c>
      <c r="F197" s="13">
        <v>81.438000000000002</v>
      </c>
      <c r="G197" s="13">
        <f t="shared" ref="G197:G260" si="4">SUM(E197:F197)</f>
        <v>895.81799999999998</v>
      </c>
    </row>
    <row r="198" spans="1:7" x14ac:dyDescent="0.25">
      <c r="A198">
        <v>10246</v>
      </c>
      <c r="B198" s="12">
        <v>45485</v>
      </c>
      <c r="C198" t="s">
        <v>17</v>
      </c>
      <c r="D198" t="s">
        <v>23</v>
      </c>
      <c r="E198" s="13">
        <v>134.5</v>
      </c>
      <c r="F198" s="13">
        <v>12.105</v>
      </c>
      <c r="G198" s="13">
        <f t="shared" si="4"/>
        <v>146.60499999999999</v>
      </c>
    </row>
    <row r="199" spans="1:7" x14ac:dyDescent="0.25">
      <c r="A199">
        <v>10247</v>
      </c>
      <c r="B199" s="12">
        <v>45485</v>
      </c>
      <c r="C199" t="s">
        <v>17</v>
      </c>
      <c r="D199" t="s">
        <v>15</v>
      </c>
      <c r="E199" s="13">
        <v>3128</v>
      </c>
      <c r="F199" s="13">
        <v>250.24</v>
      </c>
      <c r="G199" s="13">
        <f t="shared" si="4"/>
        <v>3378.24</v>
      </c>
    </row>
    <row r="200" spans="1:7" x14ac:dyDescent="0.25">
      <c r="A200">
        <v>10248</v>
      </c>
      <c r="B200" s="12">
        <v>45489</v>
      </c>
      <c r="C200" t="s">
        <v>17</v>
      </c>
      <c r="D200" t="s">
        <v>20</v>
      </c>
      <c r="E200" s="13">
        <v>440</v>
      </c>
      <c r="F200" s="13">
        <v>39.6</v>
      </c>
      <c r="G200" s="13">
        <f t="shared" si="4"/>
        <v>479.6</v>
      </c>
    </row>
    <row r="201" spans="1:7" x14ac:dyDescent="0.25">
      <c r="A201">
        <v>10249</v>
      </c>
      <c r="B201" s="12">
        <v>45483</v>
      </c>
      <c r="C201" t="s">
        <v>17</v>
      </c>
      <c r="D201" t="s">
        <v>19</v>
      </c>
      <c r="E201" s="13">
        <v>1863.4</v>
      </c>
      <c r="F201" s="13">
        <v>167.70599999999999</v>
      </c>
      <c r="G201" s="13">
        <f t="shared" si="4"/>
        <v>2031.106</v>
      </c>
    </row>
    <row r="202" spans="1:7" x14ac:dyDescent="0.25">
      <c r="A202">
        <v>10250</v>
      </c>
      <c r="B202" s="12">
        <v>45485</v>
      </c>
      <c r="C202" t="s">
        <v>14</v>
      </c>
      <c r="D202" t="s">
        <v>22</v>
      </c>
      <c r="E202" s="13">
        <v>1552.6</v>
      </c>
      <c r="F202" s="13">
        <v>155.26</v>
      </c>
      <c r="G202" s="13">
        <f t="shared" si="4"/>
        <v>1707.86</v>
      </c>
    </row>
    <row r="203" spans="1:7" x14ac:dyDescent="0.25">
      <c r="A203">
        <v>10251</v>
      </c>
      <c r="B203" s="12">
        <v>45488</v>
      </c>
      <c r="C203" t="s">
        <v>14</v>
      </c>
      <c r="D203" t="s">
        <v>24</v>
      </c>
      <c r="E203" s="13">
        <v>654.05999999999995</v>
      </c>
      <c r="F203" s="13">
        <v>65.405999999999992</v>
      </c>
      <c r="G203" s="13">
        <f t="shared" si="4"/>
        <v>719.46599999999989</v>
      </c>
    </row>
    <row r="204" spans="1:7" x14ac:dyDescent="0.25">
      <c r="A204">
        <v>10252</v>
      </c>
      <c r="B204" s="12">
        <v>45484</v>
      </c>
      <c r="C204" t="s">
        <v>14</v>
      </c>
      <c r="D204" t="s">
        <v>22</v>
      </c>
      <c r="E204" s="13">
        <v>3597.9</v>
      </c>
      <c r="F204" s="13">
        <v>287.83199999999999</v>
      </c>
      <c r="G204" s="13">
        <f t="shared" si="4"/>
        <v>3885.732</v>
      </c>
    </row>
    <row r="205" spans="1:7" x14ac:dyDescent="0.25">
      <c r="A205">
        <v>10253</v>
      </c>
      <c r="B205" s="12">
        <v>45489</v>
      </c>
      <c r="C205" t="s">
        <v>14</v>
      </c>
      <c r="D205" t="s">
        <v>24</v>
      </c>
      <c r="E205" s="13">
        <v>1444.8</v>
      </c>
      <c r="F205" s="13">
        <v>144.47999999999999</v>
      </c>
      <c r="G205" s="13">
        <f t="shared" si="4"/>
        <v>1589.28</v>
      </c>
    </row>
    <row r="206" spans="1:7" x14ac:dyDescent="0.25">
      <c r="A206">
        <v>10254</v>
      </c>
      <c r="B206" s="12">
        <v>45496</v>
      </c>
      <c r="C206" t="s">
        <v>17</v>
      </c>
      <c r="D206" t="s">
        <v>20</v>
      </c>
      <c r="E206" s="13">
        <v>556.62</v>
      </c>
      <c r="F206" s="13">
        <v>50.095799999999997</v>
      </c>
      <c r="G206" s="13">
        <f t="shared" si="4"/>
        <v>606.71579999999994</v>
      </c>
    </row>
    <row r="207" spans="1:7" x14ac:dyDescent="0.25">
      <c r="A207">
        <v>10255</v>
      </c>
      <c r="B207" s="12">
        <v>45488</v>
      </c>
      <c r="C207" t="s">
        <v>17</v>
      </c>
      <c r="D207" t="s">
        <v>16</v>
      </c>
      <c r="E207" s="13">
        <v>2490.5</v>
      </c>
      <c r="F207" s="13">
        <v>224.14499999999998</v>
      </c>
      <c r="G207" s="13">
        <f t="shared" si="4"/>
        <v>2714.645</v>
      </c>
    </row>
    <row r="208" spans="1:7" x14ac:dyDescent="0.25">
      <c r="A208">
        <v>10256</v>
      </c>
      <c r="B208" s="12">
        <v>45490</v>
      </c>
      <c r="C208" t="s">
        <v>14</v>
      </c>
      <c r="D208" t="s">
        <v>24</v>
      </c>
      <c r="E208" s="13">
        <v>517.79999999999995</v>
      </c>
      <c r="F208" s="13">
        <v>51.78</v>
      </c>
      <c r="G208" s="13">
        <f t="shared" si="4"/>
        <v>569.57999999999993</v>
      </c>
    </row>
    <row r="209" spans="1:7" x14ac:dyDescent="0.25">
      <c r="A209">
        <v>10257</v>
      </c>
      <c r="B209" s="12">
        <v>45495</v>
      </c>
      <c r="C209" t="s">
        <v>14</v>
      </c>
      <c r="D209" t="s">
        <v>22</v>
      </c>
      <c r="E209" s="13">
        <v>1119.9000000000001</v>
      </c>
      <c r="F209" s="13">
        <v>111.99000000000001</v>
      </c>
      <c r="G209" s="13">
        <f t="shared" si="4"/>
        <v>1231.8900000000001</v>
      </c>
    </row>
    <row r="210" spans="1:7" x14ac:dyDescent="0.25">
      <c r="A210">
        <v>10258</v>
      </c>
      <c r="B210" s="12">
        <v>45496</v>
      </c>
      <c r="C210" t="s">
        <v>14</v>
      </c>
      <c r="D210" t="s">
        <v>18</v>
      </c>
      <c r="E210" s="13">
        <v>1614.88</v>
      </c>
      <c r="F210" s="13">
        <v>161.48800000000003</v>
      </c>
      <c r="G210" s="13">
        <f t="shared" si="4"/>
        <v>1776.3680000000002</v>
      </c>
    </row>
    <row r="211" spans="1:7" x14ac:dyDescent="0.25">
      <c r="A211">
        <v>10259</v>
      </c>
      <c r="B211" s="12">
        <v>45498</v>
      </c>
      <c r="C211" t="s">
        <v>14</v>
      </c>
      <c r="D211" t="s">
        <v>22</v>
      </c>
      <c r="E211" s="13">
        <v>100.8</v>
      </c>
      <c r="F211" s="13">
        <v>10.08</v>
      </c>
      <c r="G211" s="13">
        <f t="shared" si="4"/>
        <v>110.88</v>
      </c>
    </row>
    <row r="212" spans="1:7" x14ac:dyDescent="0.25">
      <c r="A212">
        <v>10260</v>
      </c>
      <c r="B212" s="12">
        <v>45502</v>
      </c>
      <c r="C212" t="s">
        <v>14</v>
      </c>
      <c r="D212" t="s">
        <v>22</v>
      </c>
      <c r="E212" s="13">
        <v>1504.65</v>
      </c>
      <c r="F212" s="13">
        <v>150.465</v>
      </c>
      <c r="G212" s="13">
        <f t="shared" si="4"/>
        <v>1655.115</v>
      </c>
    </row>
    <row r="213" spans="1:7" x14ac:dyDescent="0.25">
      <c r="A213">
        <v>10261</v>
      </c>
      <c r="B213" s="12">
        <v>45503</v>
      </c>
      <c r="C213" t="s">
        <v>14</v>
      </c>
      <c r="D213" t="s">
        <v>22</v>
      </c>
      <c r="E213" s="13">
        <v>448</v>
      </c>
      <c r="F213" s="13">
        <v>44.800000000000004</v>
      </c>
      <c r="G213" s="13">
        <f t="shared" si="4"/>
        <v>492.8</v>
      </c>
    </row>
    <row r="214" spans="1:7" x14ac:dyDescent="0.25">
      <c r="A214">
        <v>10262</v>
      </c>
      <c r="B214" s="12">
        <v>45498</v>
      </c>
      <c r="C214" t="s">
        <v>14</v>
      </c>
      <c r="D214" t="s">
        <v>21</v>
      </c>
      <c r="E214" s="13">
        <v>584</v>
      </c>
      <c r="F214" s="13">
        <v>58.400000000000006</v>
      </c>
      <c r="G214" s="13">
        <f t="shared" si="4"/>
        <v>642.4</v>
      </c>
    </row>
    <row r="215" spans="1:7" x14ac:dyDescent="0.25">
      <c r="A215">
        <v>10263</v>
      </c>
      <c r="B215" s="12">
        <v>45504</v>
      </c>
      <c r="C215" t="s">
        <v>17</v>
      </c>
      <c r="D215" t="s">
        <v>16</v>
      </c>
      <c r="E215" s="13">
        <v>1873.8</v>
      </c>
      <c r="F215" s="13">
        <v>168.642</v>
      </c>
      <c r="G215" s="13">
        <f t="shared" si="4"/>
        <v>2042.442</v>
      </c>
    </row>
    <row r="216" spans="1:7" x14ac:dyDescent="0.25">
      <c r="A216">
        <v>10264</v>
      </c>
      <c r="B216" s="12">
        <v>45527</v>
      </c>
      <c r="C216" t="s">
        <v>17</v>
      </c>
      <c r="D216" t="s">
        <v>19</v>
      </c>
      <c r="E216" s="13">
        <v>695.62</v>
      </c>
      <c r="F216" s="13">
        <v>62.605799999999995</v>
      </c>
      <c r="G216" s="13">
        <f t="shared" si="4"/>
        <v>758.22580000000005</v>
      </c>
    </row>
    <row r="217" spans="1:7" x14ac:dyDescent="0.25">
      <c r="A217">
        <v>10265</v>
      </c>
      <c r="B217" s="12">
        <v>45516</v>
      </c>
      <c r="C217" t="s">
        <v>14</v>
      </c>
      <c r="D217" t="s">
        <v>15</v>
      </c>
      <c r="E217" s="13">
        <v>1176</v>
      </c>
      <c r="F217" s="13">
        <v>117.60000000000001</v>
      </c>
      <c r="G217" s="13">
        <f t="shared" si="4"/>
        <v>1293.5999999999999</v>
      </c>
    </row>
    <row r="218" spans="1:7" x14ac:dyDescent="0.25">
      <c r="A218">
        <v>10266</v>
      </c>
      <c r="B218" s="12">
        <v>45504</v>
      </c>
      <c r="C218" t="s">
        <v>14</v>
      </c>
      <c r="D218" t="s">
        <v>24</v>
      </c>
      <c r="E218" s="13">
        <v>346.56</v>
      </c>
      <c r="F218" s="13">
        <v>34.655999999999999</v>
      </c>
      <c r="G218" s="13">
        <f t="shared" si="4"/>
        <v>381.21600000000001</v>
      </c>
    </row>
    <row r="219" spans="1:7" x14ac:dyDescent="0.25">
      <c r="A219">
        <v>10267</v>
      </c>
      <c r="B219" s="12">
        <v>45510</v>
      </c>
      <c r="C219" t="s">
        <v>14</v>
      </c>
      <c r="D219" t="s">
        <v>22</v>
      </c>
      <c r="E219" s="13">
        <v>3536.6</v>
      </c>
      <c r="F219" s="13">
        <v>282.928</v>
      </c>
      <c r="G219" s="13">
        <f t="shared" si="4"/>
        <v>3819.5279999999998</v>
      </c>
    </row>
    <row r="220" spans="1:7" x14ac:dyDescent="0.25">
      <c r="A220">
        <v>10268</v>
      </c>
      <c r="B220" s="12">
        <v>45506</v>
      </c>
      <c r="C220" t="s">
        <v>14</v>
      </c>
      <c r="D220" t="s">
        <v>21</v>
      </c>
      <c r="E220" s="13">
        <v>1101.2</v>
      </c>
      <c r="F220" s="13">
        <v>110.12</v>
      </c>
      <c r="G220" s="13">
        <f t="shared" si="4"/>
        <v>1211.3200000000002</v>
      </c>
    </row>
    <row r="221" spans="1:7" x14ac:dyDescent="0.25">
      <c r="A221">
        <v>10269</v>
      </c>
      <c r="B221" s="12">
        <v>45513</v>
      </c>
      <c r="C221" t="s">
        <v>17</v>
      </c>
      <c r="D221" t="s">
        <v>20</v>
      </c>
      <c r="E221" s="13">
        <v>642.20000000000005</v>
      </c>
      <c r="F221" s="13">
        <v>57.798000000000002</v>
      </c>
      <c r="G221" s="13">
        <f t="shared" si="4"/>
        <v>699.99800000000005</v>
      </c>
    </row>
    <row r="222" spans="1:7" x14ac:dyDescent="0.25">
      <c r="A222">
        <v>10270</v>
      </c>
      <c r="B222" s="12">
        <v>45506</v>
      </c>
      <c r="C222" t="s">
        <v>14</v>
      </c>
      <c r="D222" t="s">
        <v>18</v>
      </c>
      <c r="E222" s="13">
        <v>1376</v>
      </c>
      <c r="F222" s="13">
        <v>137.6</v>
      </c>
      <c r="G222" s="13">
        <f t="shared" si="4"/>
        <v>1513.6</v>
      </c>
    </row>
    <row r="223" spans="1:7" x14ac:dyDescent="0.25">
      <c r="A223">
        <v>10271</v>
      </c>
      <c r="B223" s="12">
        <v>45534</v>
      </c>
      <c r="C223" t="s">
        <v>17</v>
      </c>
      <c r="D223" t="s">
        <v>19</v>
      </c>
      <c r="E223" s="13">
        <v>48</v>
      </c>
      <c r="F223" s="13">
        <v>5</v>
      </c>
      <c r="G223" s="13">
        <f t="shared" si="4"/>
        <v>53</v>
      </c>
    </row>
    <row r="224" spans="1:7" x14ac:dyDescent="0.25">
      <c r="A224">
        <v>10272</v>
      </c>
      <c r="B224" s="12">
        <v>45510</v>
      </c>
      <c r="C224" t="s">
        <v>17</v>
      </c>
      <c r="D224" t="s">
        <v>19</v>
      </c>
      <c r="E224" s="13">
        <v>1456</v>
      </c>
      <c r="F224" s="13">
        <v>131.04</v>
      </c>
      <c r="G224" s="13">
        <f t="shared" si="4"/>
        <v>1587.04</v>
      </c>
    </row>
    <row r="225" spans="1:7" x14ac:dyDescent="0.25">
      <c r="A225">
        <v>10273</v>
      </c>
      <c r="B225" s="12">
        <v>45516</v>
      </c>
      <c r="C225" t="s">
        <v>14</v>
      </c>
      <c r="D225" t="s">
        <v>24</v>
      </c>
      <c r="E225" s="13">
        <v>2037.28</v>
      </c>
      <c r="F225" s="13">
        <v>162.98240000000001</v>
      </c>
      <c r="G225" s="13">
        <f t="shared" si="4"/>
        <v>2200.2624000000001</v>
      </c>
    </row>
    <row r="226" spans="1:7" x14ac:dyDescent="0.25">
      <c r="A226">
        <v>10274</v>
      </c>
      <c r="B226" s="12">
        <v>45520</v>
      </c>
      <c r="C226" t="s">
        <v>17</v>
      </c>
      <c r="D226" t="s">
        <v>19</v>
      </c>
      <c r="E226" s="13">
        <v>538.6</v>
      </c>
      <c r="F226" s="13">
        <v>48.474000000000004</v>
      </c>
      <c r="G226" s="13">
        <f t="shared" si="4"/>
        <v>587.07400000000007</v>
      </c>
    </row>
    <row r="227" spans="1:7" x14ac:dyDescent="0.25">
      <c r="A227">
        <v>10275</v>
      </c>
      <c r="B227" s="12">
        <v>45513</v>
      </c>
      <c r="C227" t="s">
        <v>14</v>
      </c>
      <c r="D227" t="s">
        <v>18</v>
      </c>
      <c r="E227" s="13">
        <v>291.83999999999997</v>
      </c>
      <c r="F227" s="13">
        <v>29.183999999999997</v>
      </c>
      <c r="G227" s="13">
        <f t="shared" si="4"/>
        <v>321.024</v>
      </c>
    </row>
    <row r="228" spans="1:7" x14ac:dyDescent="0.25">
      <c r="A228">
        <v>10276</v>
      </c>
      <c r="B228" s="12">
        <v>45518</v>
      </c>
      <c r="C228" t="s">
        <v>14</v>
      </c>
      <c r="D228" t="s">
        <v>21</v>
      </c>
      <c r="E228" s="13">
        <v>420</v>
      </c>
      <c r="F228" s="13">
        <v>42</v>
      </c>
      <c r="G228" s="13">
        <f t="shared" si="4"/>
        <v>462</v>
      </c>
    </row>
    <row r="229" spans="1:7" x14ac:dyDescent="0.25">
      <c r="A229">
        <v>10277</v>
      </c>
      <c r="B229" s="12">
        <v>45517</v>
      </c>
      <c r="C229" t="s">
        <v>14</v>
      </c>
      <c r="D229" t="s">
        <v>15</v>
      </c>
      <c r="E229" s="13">
        <v>1200.8</v>
      </c>
      <c r="F229" s="13">
        <v>120.08</v>
      </c>
      <c r="G229" s="13">
        <f t="shared" si="4"/>
        <v>1320.8799999999999</v>
      </c>
    </row>
    <row r="230" spans="1:7" x14ac:dyDescent="0.25">
      <c r="A230">
        <v>10278</v>
      </c>
      <c r="B230" s="12">
        <v>45520</v>
      </c>
      <c r="C230" t="s">
        <v>14</v>
      </c>
      <c r="D230" t="s">
        <v>21</v>
      </c>
      <c r="E230" s="13">
        <v>1488.8</v>
      </c>
      <c r="F230" s="13">
        <v>148.88</v>
      </c>
      <c r="G230" s="13">
        <f t="shared" si="4"/>
        <v>1637.6799999999998</v>
      </c>
    </row>
    <row r="231" spans="1:7" x14ac:dyDescent="0.25">
      <c r="A231">
        <v>10279</v>
      </c>
      <c r="B231" s="12">
        <v>45520</v>
      </c>
      <c r="C231" t="s">
        <v>14</v>
      </c>
      <c r="D231" t="s">
        <v>21</v>
      </c>
      <c r="E231" s="13">
        <v>351</v>
      </c>
      <c r="F231" s="13">
        <v>35.1</v>
      </c>
      <c r="G231" s="13">
        <f t="shared" si="4"/>
        <v>386.1</v>
      </c>
    </row>
    <row r="232" spans="1:7" x14ac:dyDescent="0.25">
      <c r="A232">
        <v>10280</v>
      </c>
      <c r="B232" s="12">
        <v>45547</v>
      </c>
      <c r="C232" t="s">
        <v>14</v>
      </c>
      <c r="D232" t="s">
        <v>15</v>
      </c>
      <c r="E232" s="13">
        <v>613.20000000000005</v>
      </c>
      <c r="F232" s="13">
        <v>61.320000000000007</v>
      </c>
      <c r="G232" s="13">
        <f t="shared" si="4"/>
        <v>674.5200000000001</v>
      </c>
    </row>
    <row r="233" spans="1:7" x14ac:dyDescent="0.25">
      <c r="A233">
        <v>10281</v>
      </c>
      <c r="B233" s="12">
        <v>45525</v>
      </c>
      <c r="C233" t="s">
        <v>14</v>
      </c>
      <c r="D233" t="s">
        <v>22</v>
      </c>
      <c r="E233" s="13">
        <v>86.5</v>
      </c>
      <c r="F233" s="13">
        <v>8.65</v>
      </c>
      <c r="G233" s="13">
        <f t="shared" si="4"/>
        <v>95.15</v>
      </c>
    </row>
    <row r="234" spans="1:7" x14ac:dyDescent="0.25">
      <c r="A234">
        <v>10282</v>
      </c>
      <c r="B234" s="12">
        <v>45525</v>
      </c>
      <c r="C234" t="s">
        <v>14</v>
      </c>
      <c r="D234" t="s">
        <v>22</v>
      </c>
      <c r="E234" s="13">
        <v>155.4</v>
      </c>
      <c r="F234" s="13">
        <v>15.540000000000001</v>
      </c>
      <c r="G234" s="13">
        <f t="shared" si="4"/>
        <v>170.94</v>
      </c>
    </row>
    <row r="235" spans="1:7" x14ac:dyDescent="0.25">
      <c r="A235">
        <v>10283</v>
      </c>
      <c r="B235" s="12">
        <v>45527</v>
      </c>
      <c r="C235" t="s">
        <v>14</v>
      </c>
      <c r="D235" t="s">
        <v>24</v>
      </c>
      <c r="E235" s="13">
        <v>1414.8</v>
      </c>
      <c r="F235" s="13">
        <v>141.47999999999999</v>
      </c>
      <c r="G235" s="13">
        <f t="shared" si="4"/>
        <v>1556.28</v>
      </c>
    </row>
    <row r="236" spans="1:7" x14ac:dyDescent="0.25">
      <c r="A236">
        <v>10284</v>
      </c>
      <c r="B236" s="12">
        <v>45531</v>
      </c>
      <c r="C236" t="s">
        <v>14</v>
      </c>
      <c r="D236" t="s">
        <v>22</v>
      </c>
      <c r="E236" s="13">
        <v>1170.3699999999999</v>
      </c>
      <c r="F236" s="13">
        <v>117.03699999999999</v>
      </c>
      <c r="G236" s="13">
        <f t="shared" si="4"/>
        <v>1287.4069999999999</v>
      </c>
    </row>
    <row r="237" spans="1:7" x14ac:dyDescent="0.25">
      <c r="A237">
        <v>10285</v>
      </c>
      <c r="B237" s="12">
        <v>45530</v>
      </c>
      <c r="C237" t="s">
        <v>14</v>
      </c>
      <c r="D237" t="s">
        <v>18</v>
      </c>
      <c r="E237" s="13">
        <v>1743.36</v>
      </c>
      <c r="F237" s="13">
        <v>174.33600000000001</v>
      </c>
      <c r="G237" s="13">
        <f t="shared" si="4"/>
        <v>1917.6959999999999</v>
      </c>
    </row>
    <row r="238" spans="1:7" x14ac:dyDescent="0.25">
      <c r="A238">
        <v>10286</v>
      </c>
      <c r="B238" s="12">
        <v>45534</v>
      </c>
      <c r="C238" t="s">
        <v>14</v>
      </c>
      <c r="D238" t="s">
        <v>21</v>
      </c>
      <c r="E238" s="13">
        <v>3016</v>
      </c>
      <c r="F238" s="13">
        <v>241.28</v>
      </c>
      <c r="G238" s="13">
        <f t="shared" si="4"/>
        <v>3257.28</v>
      </c>
    </row>
    <row r="239" spans="1:7" x14ac:dyDescent="0.25">
      <c r="A239">
        <v>10287</v>
      </c>
      <c r="B239" s="12">
        <v>45532</v>
      </c>
      <c r="C239" t="s">
        <v>14</v>
      </c>
      <c r="D239" t="s">
        <v>21</v>
      </c>
      <c r="E239" s="13">
        <v>819</v>
      </c>
      <c r="F239" s="13">
        <v>81.900000000000006</v>
      </c>
      <c r="G239" s="13">
        <f t="shared" si="4"/>
        <v>900.9</v>
      </c>
    </row>
    <row r="240" spans="1:7" x14ac:dyDescent="0.25">
      <c r="A240">
        <v>10288</v>
      </c>
      <c r="B240" s="12">
        <v>45538</v>
      </c>
      <c r="C240" t="s">
        <v>14</v>
      </c>
      <c r="D240" t="s">
        <v>22</v>
      </c>
      <c r="E240" s="13">
        <v>80.099999999999994</v>
      </c>
      <c r="F240" s="13">
        <v>8.01</v>
      </c>
      <c r="G240" s="13">
        <f t="shared" si="4"/>
        <v>88.11</v>
      </c>
    </row>
    <row r="241" spans="1:7" x14ac:dyDescent="0.25">
      <c r="A241">
        <v>10289</v>
      </c>
      <c r="B241" s="12">
        <v>45532</v>
      </c>
      <c r="C241" t="s">
        <v>17</v>
      </c>
      <c r="D241" t="s">
        <v>23</v>
      </c>
      <c r="E241" s="13">
        <v>479.4</v>
      </c>
      <c r="F241" s="13">
        <v>43.145999999999994</v>
      </c>
      <c r="G241" s="13">
        <f t="shared" si="4"/>
        <v>522.54599999999994</v>
      </c>
    </row>
    <row r="242" spans="1:7" x14ac:dyDescent="0.25">
      <c r="A242">
        <v>10290</v>
      </c>
      <c r="B242" s="12">
        <v>45538</v>
      </c>
      <c r="C242" t="s">
        <v>14</v>
      </c>
      <c r="D242" t="s">
        <v>21</v>
      </c>
      <c r="E242" s="13">
        <v>2169</v>
      </c>
      <c r="F242" s="13">
        <v>173.52</v>
      </c>
      <c r="G242" s="13">
        <f t="shared" si="4"/>
        <v>2342.52</v>
      </c>
    </row>
    <row r="243" spans="1:7" x14ac:dyDescent="0.25">
      <c r="A243">
        <v>10291</v>
      </c>
      <c r="B243" s="12">
        <v>45539</v>
      </c>
      <c r="C243" t="s">
        <v>17</v>
      </c>
      <c r="D243" t="s">
        <v>19</v>
      </c>
      <c r="E243" s="13">
        <v>497.52</v>
      </c>
      <c r="F243" s="13">
        <v>44.776799999999994</v>
      </c>
      <c r="G243" s="13">
        <f t="shared" si="4"/>
        <v>542.29679999999996</v>
      </c>
    </row>
    <row r="244" spans="1:7" x14ac:dyDescent="0.25">
      <c r="A244">
        <v>10292</v>
      </c>
      <c r="B244" s="12">
        <v>45537</v>
      </c>
      <c r="C244" t="s">
        <v>14</v>
      </c>
      <c r="D244" t="s">
        <v>18</v>
      </c>
      <c r="E244" s="13">
        <v>1296</v>
      </c>
      <c r="F244" s="13">
        <v>129.6</v>
      </c>
      <c r="G244" s="13">
        <f t="shared" si="4"/>
        <v>1425.6</v>
      </c>
    </row>
    <row r="245" spans="1:7" x14ac:dyDescent="0.25">
      <c r="A245">
        <v>10293</v>
      </c>
      <c r="B245" s="12">
        <v>45546</v>
      </c>
      <c r="C245" t="s">
        <v>14</v>
      </c>
      <c r="D245" t="s">
        <v>18</v>
      </c>
      <c r="E245" s="13">
        <v>848.7</v>
      </c>
      <c r="F245" s="13">
        <v>84.87</v>
      </c>
      <c r="G245" s="13">
        <f t="shared" si="4"/>
        <v>933.57</v>
      </c>
    </row>
    <row r="246" spans="1:7" x14ac:dyDescent="0.25">
      <c r="A246">
        <v>10294</v>
      </c>
      <c r="B246" s="12">
        <v>45540</v>
      </c>
      <c r="C246" t="s">
        <v>14</v>
      </c>
      <c r="D246" t="s">
        <v>22</v>
      </c>
      <c r="E246" s="13">
        <v>1887.6</v>
      </c>
      <c r="F246" s="13">
        <v>188.76</v>
      </c>
      <c r="G246" s="13">
        <f t="shared" si="4"/>
        <v>2076.3599999999997</v>
      </c>
    </row>
    <row r="247" spans="1:7" x14ac:dyDescent="0.25">
      <c r="A247">
        <v>10295</v>
      </c>
      <c r="B247" s="12">
        <v>45545</v>
      </c>
      <c r="C247" t="s">
        <v>14</v>
      </c>
      <c r="D247" t="s">
        <v>15</v>
      </c>
      <c r="E247" s="13">
        <v>121.6</v>
      </c>
      <c r="F247" s="13">
        <v>12.16</v>
      </c>
      <c r="G247" s="13">
        <f t="shared" si="4"/>
        <v>133.76</v>
      </c>
    </row>
    <row r="248" spans="1:7" x14ac:dyDescent="0.25">
      <c r="A248">
        <v>10296</v>
      </c>
      <c r="B248" s="12">
        <v>45546</v>
      </c>
      <c r="C248" t="s">
        <v>17</v>
      </c>
      <c r="D248" t="s">
        <v>19</v>
      </c>
      <c r="E248" s="13">
        <v>1050.5999999999999</v>
      </c>
      <c r="F248" s="13">
        <v>94.553999999999988</v>
      </c>
      <c r="G248" s="13">
        <f t="shared" si="4"/>
        <v>1145.154</v>
      </c>
    </row>
    <row r="249" spans="1:7" x14ac:dyDescent="0.25">
      <c r="A249">
        <v>10297</v>
      </c>
      <c r="B249" s="12">
        <v>45545</v>
      </c>
      <c r="C249" t="s">
        <v>17</v>
      </c>
      <c r="D249" t="s">
        <v>20</v>
      </c>
      <c r="E249" s="13">
        <v>1420</v>
      </c>
      <c r="F249" s="13">
        <v>127.8</v>
      </c>
      <c r="G249" s="13">
        <f t="shared" si="4"/>
        <v>1547.8</v>
      </c>
    </row>
    <row r="250" spans="1:7" x14ac:dyDescent="0.25">
      <c r="A250">
        <v>10298</v>
      </c>
      <c r="B250" s="12">
        <v>45546</v>
      </c>
      <c r="C250" t="s">
        <v>17</v>
      </c>
      <c r="D250" t="s">
        <v>19</v>
      </c>
      <c r="E250" s="13">
        <v>2645</v>
      </c>
      <c r="F250" s="13">
        <v>238.04999999999998</v>
      </c>
      <c r="G250" s="13">
        <f t="shared" si="4"/>
        <v>2883.05</v>
      </c>
    </row>
    <row r="251" spans="1:7" x14ac:dyDescent="0.25">
      <c r="A251">
        <v>10299</v>
      </c>
      <c r="B251" s="12">
        <v>45548</v>
      </c>
      <c r="C251" t="s">
        <v>14</v>
      </c>
      <c r="D251" t="s">
        <v>22</v>
      </c>
      <c r="E251" s="13">
        <v>349.5</v>
      </c>
      <c r="F251" s="13">
        <v>34.950000000000003</v>
      </c>
      <c r="G251" s="13">
        <f t="shared" si="4"/>
        <v>384.45</v>
      </c>
    </row>
    <row r="252" spans="1:7" x14ac:dyDescent="0.25">
      <c r="A252">
        <v>10300</v>
      </c>
      <c r="B252" s="12">
        <v>45553</v>
      </c>
      <c r="C252" t="s">
        <v>14</v>
      </c>
      <c r="D252" t="s">
        <v>15</v>
      </c>
      <c r="E252" s="13">
        <v>608</v>
      </c>
      <c r="F252" s="13">
        <v>60.800000000000004</v>
      </c>
      <c r="G252" s="13">
        <f t="shared" si="4"/>
        <v>668.8</v>
      </c>
    </row>
    <row r="253" spans="1:7" x14ac:dyDescent="0.25">
      <c r="A253">
        <v>10301</v>
      </c>
      <c r="B253" s="12">
        <v>45552</v>
      </c>
      <c r="C253" t="s">
        <v>14</v>
      </c>
      <c r="D253" t="s">
        <v>21</v>
      </c>
      <c r="E253" s="13">
        <v>755</v>
      </c>
      <c r="F253" s="13">
        <v>75.5</v>
      </c>
      <c r="G253" s="13">
        <f t="shared" si="4"/>
        <v>830.5</v>
      </c>
    </row>
    <row r="254" spans="1:7" x14ac:dyDescent="0.25">
      <c r="A254">
        <v>10302</v>
      </c>
      <c r="B254" s="12">
        <v>45574</v>
      </c>
      <c r="C254" t="s">
        <v>14</v>
      </c>
      <c r="D254" t="s">
        <v>22</v>
      </c>
      <c r="E254" s="13">
        <v>2708.8</v>
      </c>
      <c r="F254" s="13">
        <v>216.70400000000001</v>
      </c>
      <c r="G254" s="13">
        <f t="shared" si="4"/>
        <v>2925.5040000000004</v>
      </c>
    </row>
    <row r="255" spans="1:7" x14ac:dyDescent="0.25">
      <c r="A255">
        <v>10303</v>
      </c>
      <c r="B255" s="12">
        <v>45553</v>
      </c>
      <c r="C255" t="s">
        <v>17</v>
      </c>
      <c r="D255" t="s">
        <v>23</v>
      </c>
      <c r="E255" s="13">
        <v>1117.8</v>
      </c>
      <c r="F255" s="13">
        <v>100.60199999999999</v>
      </c>
      <c r="G255" s="13">
        <f t="shared" si="4"/>
        <v>1218.402</v>
      </c>
    </row>
    <row r="256" spans="1:7" x14ac:dyDescent="0.25">
      <c r="A256">
        <v>10304</v>
      </c>
      <c r="B256" s="12">
        <v>45552</v>
      </c>
      <c r="C256" t="s">
        <v>14</v>
      </c>
      <c r="D256" t="s">
        <v>18</v>
      </c>
      <c r="E256" s="13">
        <v>954.4</v>
      </c>
      <c r="F256" s="13">
        <v>95.44</v>
      </c>
      <c r="G256" s="13">
        <f t="shared" si="4"/>
        <v>1049.8399999999999</v>
      </c>
    </row>
    <row r="257" spans="1:7" x14ac:dyDescent="0.25">
      <c r="A257">
        <v>10305</v>
      </c>
      <c r="B257" s="12">
        <v>45574</v>
      </c>
      <c r="C257" t="s">
        <v>14</v>
      </c>
      <c r="D257" t="s">
        <v>21</v>
      </c>
      <c r="E257" s="13">
        <v>3741.3</v>
      </c>
      <c r="F257" s="13">
        <v>299.30400000000003</v>
      </c>
      <c r="G257" s="13">
        <f t="shared" si="4"/>
        <v>4040.6040000000003</v>
      </c>
    </row>
    <row r="258" spans="1:7" x14ac:dyDescent="0.25">
      <c r="A258">
        <v>10306</v>
      </c>
      <c r="B258" s="12">
        <v>45558</v>
      </c>
      <c r="C258" t="s">
        <v>14</v>
      </c>
      <c r="D258" t="s">
        <v>18</v>
      </c>
      <c r="E258" s="13">
        <v>498.5</v>
      </c>
      <c r="F258" s="13">
        <v>49.85</v>
      </c>
      <c r="G258" s="13">
        <f t="shared" si="4"/>
        <v>548.35</v>
      </c>
    </row>
    <row r="259" spans="1:7" x14ac:dyDescent="0.25">
      <c r="A259">
        <v>10307</v>
      </c>
      <c r="B259" s="12">
        <v>45560</v>
      </c>
      <c r="C259" t="s">
        <v>14</v>
      </c>
      <c r="D259" t="s">
        <v>15</v>
      </c>
      <c r="E259" s="13">
        <v>424</v>
      </c>
      <c r="F259" s="13">
        <v>42.400000000000006</v>
      </c>
      <c r="G259" s="13">
        <f t="shared" si="4"/>
        <v>466.4</v>
      </c>
    </row>
    <row r="260" spans="1:7" x14ac:dyDescent="0.25">
      <c r="A260">
        <v>10308</v>
      </c>
      <c r="B260" s="12">
        <v>45559</v>
      </c>
      <c r="C260" t="s">
        <v>17</v>
      </c>
      <c r="D260" t="s">
        <v>23</v>
      </c>
      <c r="E260" s="13">
        <v>88.8</v>
      </c>
      <c r="F260" s="13">
        <v>7.9919999999999991</v>
      </c>
      <c r="G260" s="13">
        <f t="shared" si="4"/>
        <v>96.792000000000002</v>
      </c>
    </row>
    <row r="261" spans="1:7" x14ac:dyDescent="0.25">
      <c r="A261">
        <v>10309</v>
      </c>
      <c r="B261" s="12">
        <v>45588</v>
      </c>
      <c r="C261" t="s">
        <v>14</v>
      </c>
      <c r="D261" t="s">
        <v>24</v>
      </c>
      <c r="E261" s="13">
        <v>1762</v>
      </c>
      <c r="F261" s="13">
        <v>176.20000000000002</v>
      </c>
      <c r="G261" s="13">
        <f t="shared" ref="G261:G324" si="5">SUM(E261:F261)</f>
        <v>1938.2</v>
      </c>
    </row>
    <row r="262" spans="1:7" x14ac:dyDescent="0.25">
      <c r="A262">
        <v>10310</v>
      </c>
      <c r="B262" s="12">
        <v>45562</v>
      </c>
      <c r="C262" t="s">
        <v>14</v>
      </c>
      <c r="D262" t="s">
        <v>21</v>
      </c>
      <c r="E262" s="13">
        <v>336</v>
      </c>
      <c r="F262" s="13">
        <v>33.6</v>
      </c>
      <c r="G262" s="13">
        <f t="shared" si="5"/>
        <v>369.6</v>
      </c>
    </row>
    <row r="263" spans="1:7" x14ac:dyDescent="0.25">
      <c r="A263">
        <v>10311</v>
      </c>
      <c r="B263" s="12">
        <v>45561</v>
      </c>
      <c r="C263" t="s">
        <v>14</v>
      </c>
      <c r="D263" t="s">
        <v>18</v>
      </c>
      <c r="E263" s="13">
        <v>268.8</v>
      </c>
      <c r="F263" s="13">
        <v>26.880000000000003</v>
      </c>
      <c r="G263" s="13">
        <f t="shared" si="5"/>
        <v>295.68</v>
      </c>
    </row>
    <row r="264" spans="1:7" x14ac:dyDescent="0.25">
      <c r="A264">
        <v>10312</v>
      </c>
      <c r="B264" s="12">
        <v>45568</v>
      </c>
      <c r="C264" t="s">
        <v>14</v>
      </c>
      <c r="D264" t="s">
        <v>15</v>
      </c>
      <c r="E264" s="13">
        <v>1614.8</v>
      </c>
      <c r="F264" s="13">
        <v>161.48000000000002</v>
      </c>
      <c r="G264" s="13">
        <f t="shared" si="5"/>
        <v>1776.28</v>
      </c>
    </row>
    <row r="265" spans="1:7" x14ac:dyDescent="0.25">
      <c r="A265">
        <v>10313</v>
      </c>
      <c r="B265" s="12">
        <v>45569</v>
      </c>
      <c r="C265" t="s">
        <v>14</v>
      </c>
      <c r="D265" t="s">
        <v>15</v>
      </c>
      <c r="E265" s="13">
        <v>182.4</v>
      </c>
      <c r="F265" s="13">
        <v>18.240000000000002</v>
      </c>
      <c r="G265" s="13">
        <f t="shared" si="5"/>
        <v>200.64000000000001</v>
      </c>
    </row>
    <row r="266" spans="1:7" x14ac:dyDescent="0.25">
      <c r="A266">
        <v>10314</v>
      </c>
      <c r="B266" s="12">
        <v>45569</v>
      </c>
      <c r="C266" t="s">
        <v>14</v>
      </c>
      <c r="D266" t="s">
        <v>18</v>
      </c>
      <c r="E266" s="13">
        <v>2094.3000000000002</v>
      </c>
      <c r="F266" s="13">
        <v>167.54400000000001</v>
      </c>
      <c r="G266" s="13">
        <f t="shared" si="5"/>
        <v>2261.8440000000001</v>
      </c>
    </row>
    <row r="267" spans="1:7" x14ac:dyDescent="0.25">
      <c r="A267">
        <v>10315</v>
      </c>
      <c r="B267" s="12">
        <v>45568</v>
      </c>
      <c r="C267" t="s">
        <v>14</v>
      </c>
      <c r="D267" t="s">
        <v>22</v>
      </c>
      <c r="E267" s="13">
        <v>516.79999999999995</v>
      </c>
      <c r="F267" s="13">
        <v>51.68</v>
      </c>
      <c r="G267" s="13">
        <f t="shared" si="5"/>
        <v>568.4799999999999</v>
      </c>
    </row>
    <row r="268" spans="1:7" x14ac:dyDescent="0.25">
      <c r="A268">
        <v>10316</v>
      </c>
      <c r="B268" s="12">
        <v>45573</v>
      </c>
      <c r="C268" t="s">
        <v>14</v>
      </c>
      <c r="D268" t="s">
        <v>18</v>
      </c>
      <c r="E268" s="13">
        <v>2835</v>
      </c>
      <c r="F268" s="13">
        <v>226.8</v>
      </c>
      <c r="G268" s="13">
        <f t="shared" si="5"/>
        <v>3061.8</v>
      </c>
    </row>
    <row r="269" spans="1:7" x14ac:dyDescent="0.25">
      <c r="A269">
        <v>10317</v>
      </c>
      <c r="B269" s="12">
        <v>45575</v>
      </c>
      <c r="C269" t="s">
        <v>17</v>
      </c>
      <c r="D269" t="s">
        <v>19</v>
      </c>
      <c r="E269" s="13">
        <v>288</v>
      </c>
      <c r="F269" s="13">
        <v>25.919999999999998</v>
      </c>
      <c r="G269" s="13">
        <f t="shared" si="5"/>
        <v>313.92</v>
      </c>
    </row>
    <row r="270" spans="1:7" x14ac:dyDescent="0.25">
      <c r="A270">
        <v>10318</v>
      </c>
      <c r="B270" s="12">
        <v>45569</v>
      </c>
      <c r="C270" t="s">
        <v>14</v>
      </c>
      <c r="D270" t="s">
        <v>21</v>
      </c>
      <c r="E270" s="13">
        <v>240.4</v>
      </c>
      <c r="F270" s="13">
        <v>24.040000000000003</v>
      </c>
      <c r="G270" s="13">
        <f t="shared" si="5"/>
        <v>264.44</v>
      </c>
    </row>
    <row r="271" spans="1:7" x14ac:dyDescent="0.25">
      <c r="A271">
        <v>10319</v>
      </c>
      <c r="B271" s="12">
        <v>45576</v>
      </c>
      <c r="C271" t="s">
        <v>17</v>
      </c>
      <c r="D271" t="s">
        <v>23</v>
      </c>
      <c r="E271" s="13">
        <v>1191.2</v>
      </c>
      <c r="F271" s="13">
        <v>107.208</v>
      </c>
      <c r="G271" s="13">
        <f t="shared" si="5"/>
        <v>1298.4080000000001</v>
      </c>
    </row>
    <row r="272" spans="1:7" x14ac:dyDescent="0.25">
      <c r="A272">
        <v>10320</v>
      </c>
      <c r="B272" s="12">
        <v>45583</v>
      </c>
      <c r="C272" t="s">
        <v>17</v>
      </c>
      <c r="D272" t="s">
        <v>20</v>
      </c>
      <c r="E272" s="13">
        <v>516</v>
      </c>
      <c r="F272" s="13">
        <v>46.44</v>
      </c>
      <c r="G272" s="13">
        <f t="shared" si="5"/>
        <v>562.44000000000005</v>
      </c>
    </row>
    <row r="273" spans="1:7" x14ac:dyDescent="0.25">
      <c r="A273">
        <v>10321</v>
      </c>
      <c r="B273" s="12">
        <v>45576</v>
      </c>
      <c r="C273" t="s">
        <v>14</v>
      </c>
      <c r="D273" t="s">
        <v>24</v>
      </c>
      <c r="E273" s="13">
        <v>144</v>
      </c>
      <c r="F273" s="13">
        <v>14.4</v>
      </c>
      <c r="G273" s="13">
        <f t="shared" si="5"/>
        <v>158.4</v>
      </c>
    </row>
    <row r="274" spans="1:7" x14ac:dyDescent="0.25">
      <c r="A274">
        <v>10322</v>
      </c>
      <c r="B274" s="12">
        <v>45588</v>
      </c>
      <c r="C274" t="s">
        <v>17</v>
      </c>
      <c r="D274" t="s">
        <v>23</v>
      </c>
      <c r="E274" s="13">
        <v>112</v>
      </c>
      <c r="F274" s="13">
        <v>10.08</v>
      </c>
      <c r="G274" s="13">
        <f t="shared" si="5"/>
        <v>122.08</v>
      </c>
    </row>
    <row r="275" spans="1:7" x14ac:dyDescent="0.25">
      <c r="A275">
        <v>10323</v>
      </c>
      <c r="B275" s="12">
        <v>45579</v>
      </c>
      <c r="C275" t="s">
        <v>14</v>
      </c>
      <c r="D275" t="s">
        <v>22</v>
      </c>
      <c r="E275" s="13">
        <v>164.4</v>
      </c>
      <c r="F275" s="13">
        <v>16.440000000000001</v>
      </c>
      <c r="G275" s="13">
        <f t="shared" si="5"/>
        <v>180.84</v>
      </c>
    </row>
    <row r="276" spans="1:7" x14ac:dyDescent="0.25">
      <c r="A276">
        <v>10324</v>
      </c>
      <c r="B276" s="12">
        <v>45575</v>
      </c>
      <c r="C276" t="s">
        <v>17</v>
      </c>
      <c r="D276" t="s">
        <v>16</v>
      </c>
      <c r="E276" s="13">
        <v>5275.71</v>
      </c>
      <c r="F276" s="13">
        <v>422.05680000000001</v>
      </c>
      <c r="G276" s="13">
        <f t="shared" si="5"/>
        <v>5697.7668000000003</v>
      </c>
    </row>
    <row r="277" spans="1:7" x14ac:dyDescent="0.25">
      <c r="A277">
        <v>10325</v>
      </c>
      <c r="B277" s="12">
        <v>45579</v>
      </c>
      <c r="C277" t="s">
        <v>14</v>
      </c>
      <c r="D277" t="s">
        <v>18</v>
      </c>
      <c r="E277" s="13">
        <v>1497</v>
      </c>
      <c r="F277" s="13">
        <v>149.70000000000002</v>
      </c>
      <c r="G277" s="13">
        <f t="shared" si="5"/>
        <v>1646.7</v>
      </c>
    </row>
    <row r="278" spans="1:7" x14ac:dyDescent="0.25">
      <c r="A278">
        <v>10326</v>
      </c>
      <c r="B278" s="12">
        <v>45579</v>
      </c>
      <c r="C278" t="s">
        <v>14</v>
      </c>
      <c r="D278" t="s">
        <v>22</v>
      </c>
      <c r="E278" s="13">
        <v>982</v>
      </c>
      <c r="F278" s="13">
        <v>98.2</v>
      </c>
      <c r="G278" s="13">
        <f t="shared" si="5"/>
        <v>1080.2</v>
      </c>
    </row>
    <row r="279" spans="1:7" x14ac:dyDescent="0.25">
      <c r="A279">
        <v>10327</v>
      </c>
      <c r="B279" s="12">
        <v>45579</v>
      </c>
      <c r="C279" t="s">
        <v>14</v>
      </c>
      <c r="D279" t="s">
        <v>15</v>
      </c>
      <c r="E279" s="13">
        <v>1810</v>
      </c>
      <c r="F279" s="13">
        <v>181</v>
      </c>
      <c r="G279" s="13">
        <f t="shared" si="5"/>
        <v>1991</v>
      </c>
    </row>
    <row r="280" spans="1:7" x14ac:dyDescent="0.25">
      <c r="A280">
        <v>10328</v>
      </c>
      <c r="B280" s="12">
        <v>45582</v>
      </c>
      <c r="C280" t="s">
        <v>14</v>
      </c>
      <c r="D280" t="s">
        <v>22</v>
      </c>
      <c r="E280" s="13">
        <v>1168</v>
      </c>
      <c r="F280" s="13">
        <v>116.80000000000001</v>
      </c>
      <c r="G280" s="13">
        <f t="shared" si="5"/>
        <v>1284.8</v>
      </c>
    </row>
    <row r="281" spans="1:7" x14ac:dyDescent="0.25">
      <c r="A281">
        <v>10329</v>
      </c>
      <c r="B281" s="12">
        <v>45588</v>
      </c>
      <c r="C281" t="s">
        <v>14</v>
      </c>
      <c r="D281" t="s">
        <v>22</v>
      </c>
      <c r="E281" s="13">
        <v>4578.43</v>
      </c>
      <c r="F281" s="13">
        <v>366.27440000000001</v>
      </c>
      <c r="G281" s="13">
        <f t="shared" si="5"/>
        <v>4944.7044000000005</v>
      </c>
    </row>
    <row r="282" spans="1:7" x14ac:dyDescent="0.25">
      <c r="A282">
        <v>10330</v>
      </c>
      <c r="B282" s="12">
        <v>45593</v>
      </c>
      <c r="C282" t="s">
        <v>14</v>
      </c>
      <c r="D282" t="s">
        <v>24</v>
      </c>
      <c r="E282" s="13">
        <v>1649</v>
      </c>
      <c r="F282" s="13">
        <v>164.9</v>
      </c>
      <c r="G282" s="13">
        <f t="shared" si="5"/>
        <v>1813.9</v>
      </c>
    </row>
    <row r="283" spans="1:7" x14ac:dyDescent="0.25">
      <c r="A283">
        <v>10331</v>
      </c>
      <c r="B283" s="12">
        <v>45586</v>
      </c>
      <c r="C283" t="s">
        <v>17</v>
      </c>
      <c r="D283" t="s">
        <v>16</v>
      </c>
      <c r="E283" s="13">
        <v>88.5</v>
      </c>
      <c r="F283" s="13">
        <v>7.9649999999999999</v>
      </c>
      <c r="G283" s="13">
        <f t="shared" si="5"/>
        <v>96.465000000000003</v>
      </c>
    </row>
    <row r="284" spans="1:7" x14ac:dyDescent="0.25">
      <c r="A284">
        <v>10332</v>
      </c>
      <c r="B284" s="12">
        <v>45586</v>
      </c>
      <c r="C284" t="s">
        <v>14</v>
      </c>
      <c r="D284" t="s">
        <v>24</v>
      </c>
      <c r="E284" s="13">
        <v>1786.88</v>
      </c>
      <c r="F284" s="13">
        <v>178.68800000000002</v>
      </c>
      <c r="G284" s="13">
        <f t="shared" si="5"/>
        <v>1965.5680000000002</v>
      </c>
    </row>
    <row r="285" spans="1:7" x14ac:dyDescent="0.25">
      <c r="A285">
        <v>10333</v>
      </c>
      <c r="B285" s="12">
        <v>45590</v>
      </c>
      <c r="C285" t="s">
        <v>17</v>
      </c>
      <c r="D285" t="s">
        <v>20</v>
      </c>
      <c r="E285" s="13">
        <v>877.2</v>
      </c>
      <c r="F285" s="13">
        <v>78.948000000000008</v>
      </c>
      <c r="G285" s="13">
        <f t="shared" si="5"/>
        <v>956.14800000000002</v>
      </c>
    </row>
    <row r="286" spans="1:7" x14ac:dyDescent="0.25">
      <c r="A286">
        <v>10334</v>
      </c>
      <c r="B286" s="12">
        <v>45593</v>
      </c>
      <c r="C286" t="s">
        <v>14</v>
      </c>
      <c r="D286" t="s">
        <v>21</v>
      </c>
      <c r="E286" s="13">
        <v>144.80000000000001</v>
      </c>
      <c r="F286" s="13">
        <v>14.480000000000002</v>
      </c>
      <c r="G286" s="13">
        <f t="shared" si="5"/>
        <v>159.28</v>
      </c>
    </row>
    <row r="287" spans="1:7" x14ac:dyDescent="0.25">
      <c r="A287">
        <v>10335</v>
      </c>
      <c r="B287" s="12">
        <v>45589</v>
      </c>
      <c r="C287" t="s">
        <v>17</v>
      </c>
      <c r="D287" t="s">
        <v>23</v>
      </c>
      <c r="E287" s="13">
        <v>2036.16</v>
      </c>
      <c r="F287" s="13">
        <v>183.2544</v>
      </c>
      <c r="G287" s="13">
        <f t="shared" si="5"/>
        <v>2219.4144000000001</v>
      </c>
    </row>
    <row r="288" spans="1:7" x14ac:dyDescent="0.25">
      <c r="A288">
        <v>10336</v>
      </c>
      <c r="B288" s="12">
        <v>45590</v>
      </c>
      <c r="C288" t="s">
        <v>17</v>
      </c>
      <c r="D288" t="s">
        <v>23</v>
      </c>
      <c r="E288" s="13">
        <v>285.12</v>
      </c>
      <c r="F288" s="13">
        <v>25.660799999999998</v>
      </c>
      <c r="G288" s="13">
        <f t="shared" si="5"/>
        <v>310.7808</v>
      </c>
    </row>
    <row r="289" spans="1:7" x14ac:dyDescent="0.25">
      <c r="A289">
        <v>10337</v>
      </c>
      <c r="B289" s="12">
        <v>45594</v>
      </c>
      <c r="C289" t="s">
        <v>14</v>
      </c>
      <c r="D289" t="s">
        <v>22</v>
      </c>
      <c r="E289" s="13">
        <v>2467</v>
      </c>
      <c r="F289" s="13">
        <v>197.36</v>
      </c>
      <c r="G289" s="13">
        <f t="shared" si="5"/>
        <v>2664.36</v>
      </c>
    </row>
    <row r="290" spans="1:7" x14ac:dyDescent="0.25">
      <c r="A290">
        <v>10338</v>
      </c>
      <c r="B290" s="12">
        <v>45594</v>
      </c>
      <c r="C290" t="s">
        <v>14</v>
      </c>
      <c r="D290" t="s">
        <v>22</v>
      </c>
      <c r="E290" s="13">
        <v>934.5</v>
      </c>
      <c r="F290" s="13">
        <v>93.45</v>
      </c>
      <c r="G290" s="13">
        <f t="shared" si="5"/>
        <v>1027.95</v>
      </c>
    </row>
    <row r="291" spans="1:7" x14ac:dyDescent="0.25">
      <c r="A291">
        <v>10339</v>
      </c>
      <c r="B291" s="12">
        <v>45600</v>
      </c>
      <c r="C291" t="s">
        <v>14</v>
      </c>
      <c r="D291" t="s">
        <v>15</v>
      </c>
      <c r="E291" s="13">
        <v>3354</v>
      </c>
      <c r="F291" s="13">
        <v>268.32</v>
      </c>
      <c r="G291" s="13">
        <f t="shared" si="5"/>
        <v>3622.32</v>
      </c>
    </row>
    <row r="292" spans="1:7" x14ac:dyDescent="0.25">
      <c r="A292">
        <v>10340</v>
      </c>
      <c r="B292" s="12">
        <v>45604</v>
      </c>
      <c r="C292" t="s">
        <v>14</v>
      </c>
      <c r="D292" t="s">
        <v>18</v>
      </c>
      <c r="E292" s="13">
        <v>2436.1799999999998</v>
      </c>
      <c r="F292" s="13">
        <v>194.89439999999999</v>
      </c>
      <c r="G292" s="13">
        <f t="shared" si="5"/>
        <v>2631.0744</v>
      </c>
    </row>
    <row r="293" spans="1:7" x14ac:dyDescent="0.25">
      <c r="A293">
        <v>10341</v>
      </c>
      <c r="B293" s="12">
        <v>45601</v>
      </c>
      <c r="C293" t="s">
        <v>17</v>
      </c>
      <c r="D293" t="s">
        <v>23</v>
      </c>
      <c r="E293" s="13">
        <v>352.6</v>
      </c>
      <c r="F293" s="13">
        <v>31.734000000000002</v>
      </c>
      <c r="G293" s="13">
        <f t="shared" si="5"/>
        <v>384.334</v>
      </c>
    </row>
    <row r="294" spans="1:7" x14ac:dyDescent="0.25">
      <c r="A294">
        <v>10342</v>
      </c>
      <c r="B294" s="12">
        <v>45600</v>
      </c>
      <c r="C294" t="s">
        <v>14</v>
      </c>
      <c r="D294" t="s">
        <v>22</v>
      </c>
      <c r="E294" s="13">
        <v>1840.64</v>
      </c>
      <c r="F294" s="13">
        <v>184.06400000000002</v>
      </c>
      <c r="G294" s="13">
        <f t="shared" si="5"/>
        <v>2024.7040000000002</v>
      </c>
    </row>
    <row r="295" spans="1:7" x14ac:dyDescent="0.25">
      <c r="A295">
        <v>10343</v>
      </c>
      <c r="B295" s="12">
        <v>45602</v>
      </c>
      <c r="C295" t="s">
        <v>14</v>
      </c>
      <c r="D295" t="s">
        <v>22</v>
      </c>
      <c r="E295" s="13">
        <v>1584</v>
      </c>
      <c r="F295" s="13">
        <v>158.4</v>
      </c>
      <c r="G295" s="13">
        <f t="shared" si="5"/>
        <v>1742.4</v>
      </c>
    </row>
    <row r="296" spans="1:7" x14ac:dyDescent="0.25">
      <c r="A296">
        <v>10344</v>
      </c>
      <c r="B296" s="12">
        <v>45601</v>
      </c>
      <c r="C296" t="s">
        <v>14</v>
      </c>
      <c r="D296" t="s">
        <v>22</v>
      </c>
      <c r="E296" s="13">
        <v>2296</v>
      </c>
      <c r="F296" s="13">
        <v>183.68</v>
      </c>
      <c r="G296" s="13">
        <f t="shared" si="5"/>
        <v>2479.6799999999998</v>
      </c>
    </row>
    <row r="297" spans="1:7" x14ac:dyDescent="0.25">
      <c r="A297">
        <v>10345</v>
      </c>
      <c r="B297" s="12">
        <v>45607</v>
      </c>
      <c r="C297" t="s">
        <v>14</v>
      </c>
      <c r="D297" t="s">
        <v>15</v>
      </c>
      <c r="E297" s="13">
        <v>2924.8</v>
      </c>
      <c r="F297" s="13">
        <v>233.98400000000001</v>
      </c>
      <c r="G297" s="13">
        <f t="shared" si="5"/>
        <v>3158.7840000000001</v>
      </c>
    </row>
    <row r="298" spans="1:7" x14ac:dyDescent="0.25">
      <c r="A298">
        <v>10346</v>
      </c>
      <c r="B298" s="12">
        <v>45604</v>
      </c>
      <c r="C298" t="s">
        <v>14</v>
      </c>
      <c r="D298" t="s">
        <v>24</v>
      </c>
      <c r="E298" s="13">
        <v>1618.88</v>
      </c>
      <c r="F298" s="13">
        <v>161.88800000000003</v>
      </c>
      <c r="G298" s="13">
        <f t="shared" si="5"/>
        <v>1780.768</v>
      </c>
    </row>
    <row r="299" spans="1:7" x14ac:dyDescent="0.25">
      <c r="A299">
        <v>10347</v>
      </c>
      <c r="B299" s="12">
        <v>45604</v>
      </c>
      <c r="C299" t="s">
        <v>14</v>
      </c>
      <c r="D299" t="s">
        <v>22</v>
      </c>
      <c r="E299" s="13">
        <v>814.42</v>
      </c>
      <c r="F299" s="13">
        <v>81.442000000000007</v>
      </c>
      <c r="G299" s="13">
        <f t="shared" si="5"/>
        <v>895.86199999999997</v>
      </c>
    </row>
    <row r="300" spans="1:7" x14ac:dyDescent="0.25">
      <c r="A300">
        <v>10348</v>
      </c>
      <c r="B300" s="12">
        <v>45611</v>
      </c>
      <c r="C300" t="s">
        <v>14</v>
      </c>
      <c r="D300" t="s">
        <v>22</v>
      </c>
      <c r="E300" s="13">
        <v>363.6</v>
      </c>
      <c r="F300" s="13">
        <v>36.360000000000007</v>
      </c>
      <c r="G300" s="13">
        <f t="shared" si="5"/>
        <v>399.96000000000004</v>
      </c>
    </row>
    <row r="301" spans="1:7" x14ac:dyDescent="0.25">
      <c r="A301">
        <v>10349</v>
      </c>
      <c r="B301" s="12">
        <v>45611</v>
      </c>
      <c r="C301" t="s">
        <v>17</v>
      </c>
      <c r="D301" t="s">
        <v>23</v>
      </c>
      <c r="E301" s="13">
        <v>141.6</v>
      </c>
      <c r="F301" s="13">
        <v>12.744</v>
      </c>
      <c r="G301" s="13">
        <f t="shared" si="5"/>
        <v>154.34399999999999</v>
      </c>
    </row>
    <row r="302" spans="1:7" x14ac:dyDescent="0.25">
      <c r="A302">
        <v>10350</v>
      </c>
      <c r="B302" s="12">
        <v>45629</v>
      </c>
      <c r="C302" t="s">
        <v>17</v>
      </c>
      <c r="D302" t="s">
        <v>19</v>
      </c>
      <c r="E302" s="13">
        <v>642.05999999999995</v>
      </c>
      <c r="F302" s="13">
        <v>57.785399999999996</v>
      </c>
      <c r="G302" s="13">
        <f t="shared" si="5"/>
        <v>699.84539999999993</v>
      </c>
    </row>
    <row r="303" spans="1:7" x14ac:dyDescent="0.25">
      <c r="A303">
        <v>10351</v>
      </c>
      <c r="B303" s="12">
        <v>45616</v>
      </c>
      <c r="C303" t="s">
        <v>14</v>
      </c>
      <c r="D303" t="s">
        <v>18</v>
      </c>
      <c r="E303" s="13">
        <v>5398.72</v>
      </c>
      <c r="F303" s="13">
        <v>431.89760000000001</v>
      </c>
      <c r="G303" s="13">
        <f t="shared" si="5"/>
        <v>5830.6176000000005</v>
      </c>
    </row>
    <row r="304" spans="1:7" x14ac:dyDescent="0.25">
      <c r="A304">
        <v>10352</v>
      </c>
      <c r="B304" s="12">
        <v>45614</v>
      </c>
      <c r="C304" t="s">
        <v>14</v>
      </c>
      <c r="D304" t="s">
        <v>24</v>
      </c>
      <c r="E304" s="13">
        <v>136.30000000000001</v>
      </c>
      <c r="F304" s="13">
        <v>13.630000000000003</v>
      </c>
      <c r="G304" s="13">
        <f t="shared" si="5"/>
        <v>149.93</v>
      </c>
    </row>
    <row r="305" spans="1:7" x14ac:dyDescent="0.25">
      <c r="A305">
        <v>10353</v>
      </c>
      <c r="B305" s="12">
        <v>45621</v>
      </c>
      <c r="C305" t="s">
        <v>17</v>
      </c>
      <c r="D305" t="s">
        <v>23</v>
      </c>
      <c r="E305" s="13">
        <v>8593.2800000000007</v>
      </c>
      <c r="F305" s="13">
        <v>343.73120000000006</v>
      </c>
      <c r="G305" s="13">
        <f t="shared" si="5"/>
        <v>8937.0112000000008</v>
      </c>
    </row>
    <row r="306" spans="1:7" x14ac:dyDescent="0.25">
      <c r="A306">
        <v>10354</v>
      </c>
      <c r="B306" s="12">
        <v>45616</v>
      </c>
      <c r="C306" t="s">
        <v>14</v>
      </c>
      <c r="D306" t="s">
        <v>21</v>
      </c>
      <c r="E306" s="13">
        <v>568.79999999999995</v>
      </c>
      <c r="F306" s="13">
        <v>56.879999999999995</v>
      </c>
      <c r="G306" s="13">
        <f t="shared" si="5"/>
        <v>625.67999999999995</v>
      </c>
    </row>
    <row r="307" spans="1:7" x14ac:dyDescent="0.25">
      <c r="A307">
        <v>10355</v>
      </c>
      <c r="B307" s="12">
        <v>45616</v>
      </c>
      <c r="C307" t="s">
        <v>17</v>
      </c>
      <c r="D307" t="s">
        <v>19</v>
      </c>
      <c r="E307" s="13">
        <v>480</v>
      </c>
      <c r="F307" s="13">
        <v>43.199999999999996</v>
      </c>
      <c r="G307" s="13">
        <f t="shared" si="5"/>
        <v>523.20000000000005</v>
      </c>
    </row>
    <row r="308" spans="1:7" x14ac:dyDescent="0.25">
      <c r="A308">
        <v>10356</v>
      </c>
      <c r="B308" s="12">
        <v>45623</v>
      </c>
      <c r="C308" t="s">
        <v>17</v>
      </c>
      <c r="D308" t="s">
        <v>19</v>
      </c>
      <c r="E308" s="13">
        <v>1106.4000000000001</v>
      </c>
      <c r="F308" s="13">
        <v>99.576000000000008</v>
      </c>
      <c r="G308" s="13">
        <f t="shared" si="5"/>
        <v>1205.9760000000001</v>
      </c>
    </row>
    <row r="309" spans="1:7" x14ac:dyDescent="0.25">
      <c r="A309">
        <v>10357</v>
      </c>
      <c r="B309" s="12">
        <v>45628</v>
      </c>
      <c r="C309" t="s">
        <v>14</v>
      </c>
      <c r="D309" t="s">
        <v>18</v>
      </c>
      <c r="E309" s="13">
        <v>1167.68</v>
      </c>
      <c r="F309" s="13">
        <v>116.76800000000001</v>
      </c>
      <c r="G309" s="13">
        <f t="shared" si="5"/>
        <v>1284.4480000000001</v>
      </c>
    </row>
    <row r="310" spans="1:7" x14ac:dyDescent="0.25">
      <c r="A310">
        <v>10358</v>
      </c>
      <c r="B310" s="12">
        <v>45623</v>
      </c>
      <c r="C310" t="s">
        <v>17</v>
      </c>
      <c r="D310" t="s">
        <v>20</v>
      </c>
      <c r="E310" s="13">
        <v>429.4</v>
      </c>
      <c r="F310" s="13">
        <v>38.645999999999994</v>
      </c>
      <c r="G310" s="13">
        <f t="shared" si="5"/>
        <v>468.04599999999999</v>
      </c>
    </row>
    <row r="311" spans="1:7" x14ac:dyDescent="0.25">
      <c r="A311">
        <v>10359</v>
      </c>
      <c r="B311" s="12">
        <v>45622</v>
      </c>
      <c r="C311" t="s">
        <v>17</v>
      </c>
      <c r="D311" t="s">
        <v>20</v>
      </c>
      <c r="E311" s="13">
        <v>3471.68</v>
      </c>
      <c r="F311" s="13">
        <v>277.73439999999999</v>
      </c>
      <c r="G311" s="13">
        <f t="shared" si="5"/>
        <v>3749.4143999999997</v>
      </c>
    </row>
    <row r="312" spans="1:7" x14ac:dyDescent="0.25">
      <c r="A312">
        <v>10360</v>
      </c>
      <c r="B312" s="12">
        <v>45628</v>
      </c>
      <c r="C312" t="s">
        <v>14</v>
      </c>
      <c r="D312" t="s">
        <v>22</v>
      </c>
      <c r="E312" s="13">
        <v>7390.2</v>
      </c>
      <c r="F312" s="13">
        <v>369.51</v>
      </c>
      <c r="G312" s="13">
        <f t="shared" si="5"/>
        <v>7759.71</v>
      </c>
    </row>
    <row r="313" spans="1:7" x14ac:dyDescent="0.25">
      <c r="A313">
        <v>10361</v>
      </c>
      <c r="B313" s="12">
        <v>45629</v>
      </c>
      <c r="C313" t="s">
        <v>14</v>
      </c>
      <c r="D313" t="s">
        <v>18</v>
      </c>
      <c r="E313" s="13">
        <v>2046.24</v>
      </c>
      <c r="F313" s="13">
        <v>163.69919999999999</v>
      </c>
      <c r="G313" s="13">
        <f t="shared" si="5"/>
        <v>2209.9391999999998</v>
      </c>
    </row>
    <row r="314" spans="1:7" x14ac:dyDescent="0.25">
      <c r="A314">
        <v>10362</v>
      </c>
      <c r="B314" s="12">
        <v>45624</v>
      </c>
      <c r="C314" t="s">
        <v>14</v>
      </c>
      <c r="D314" t="s">
        <v>24</v>
      </c>
      <c r="E314" s="13">
        <v>1549.6</v>
      </c>
      <c r="F314" s="13">
        <v>154.96</v>
      </c>
      <c r="G314" s="13">
        <f t="shared" si="5"/>
        <v>1704.56</v>
      </c>
    </row>
    <row r="315" spans="1:7" x14ac:dyDescent="0.25">
      <c r="A315">
        <v>10363</v>
      </c>
      <c r="B315" s="12">
        <v>45630</v>
      </c>
      <c r="C315" t="s">
        <v>14</v>
      </c>
      <c r="D315" t="s">
        <v>22</v>
      </c>
      <c r="E315" s="13">
        <v>447.2</v>
      </c>
      <c r="F315" s="13">
        <v>44.72</v>
      </c>
      <c r="G315" s="13">
        <f t="shared" si="5"/>
        <v>491.91999999999996</v>
      </c>
    </row>
    <row r="316" spans="1:7" x14ac:dyDescent="0.25">
      <c r="A316">
        <v>10364</v>
      </c>
      <c r="B316" s="12">
        <v>45630</v>
      </c>
      <c r="C316" t="s">
        <v>14</v>
      </c>
      <c r="D316" t="s">
        <v>18</v>
      </c>
      <c r="E316" s="13">
        <v>950</v>
      </c>
      <c r="F316" s="13">
        <v>95</v>
      </c>
      <c r="G316" s="13">
        <f t="shared" si="5"/>
        <v>1045</v>
      </c>
    </row>
    <row r="317" spans="1:7" x14ac:dyDescent="0.25">
      <c r="A317">
        <v>10365</v>
      </c>
      <c r="B317" s="12">
        <v>45628</v>
      </c>
      <c r="C317" t="s">
        <v>14</v>
      </c>
      <c r="D317" t="s">
        <v>24</v>
      </c>
      <c r="E317" s="13">
        <v>403.2</v>
      </c>
      <c r="F317" s="13">
        <v>40.32</v>
      </c>
      <c r="G317" s="13">
        <f t="shared" si="5"/>
        <v>443.52</v>
      </c>
    </row>
    <row r="318" spans="1:7" x14ac:dyDescent="0.25">
      <c r="A318">
        <v>10366</v>
      </c>
      <c r="B318" s="12">
        <v>45656</v>
      </c>
      <c r="C318" t="s">
        <v>14</v>
      </c>
      <c r="D318" t="s">
        <v>21</v>
      </c>
      <c r="E318" s="13">
        <v>136</v>
      </c>
      <c r="F318" s="13">
        <v>13.600000000000001</v>
      </c>
      <c r="G318" s="13">
        <f t="shared" si="5"/>
        <v>149.6</v>
      </c>
    </row>
    <row r="319" spans="1:7" x14ac:dyDescent="0.25">
      <c r="A319">
        <v>10367</v>
      </c>
      <c r="B319" s="12">
        <v>45628</v>
      </c>
      <c r="C319" t="s">
        <v>17</v>
      </c>
      <c r="D319" t="s">
        <v>23</v>
      </c>
      <c r="E319" s="13">
        <v>834.2</v>
      </c>
      <c r="F319" s="13">
        <v>75.078000000000003</v>
      </c>
      <c r="G319" s="13">
        <f t="shared" si="5"/>
        <v>909.27800000000002</v>
      </c>
    </row>
    <row r="320" spans="1:7" x14ac:dyDescent="0.25">
      <c r="A320">
        <v>10368</v>
      </c>
      <c r="B320" s="12">
        <v>45628</v>
      </c>
      <c r="C320" t="s">
        <v>14</v>
      </c>
      <c r="D320" t="s">
        <v>15</v>
      </c>
      <c r="E320" s="13">
        <v>1689.78</v>
      </c>
      <c r="F320" s="13">
        <v>168.97800000000001</v>
      </c>
      <c r="G320" s="13">
        <f t="shared" si="5"/>
        <v>1858.758</v>
      </c>
    </row>
    <row r="321" spans="1:7" x14ac:dyDescent="0.25">
      <c r="A321">
        <v>10369</v>
      </c>
      <c r="B321" s="12">
        <v>45635</v>
      </c>
      <c r="C321" t="s">
        <v>14</v>
      </c>
      <c r="D321" t="s">
        <v>21</v>
      </c>
      <c r="E321" s="13">
        <v>2390.4</v>
      </c>
      <c r="F321" s="13">
        <v>191.232</v>
      </c>
      <c r="G321" s="13">
        <f t="shared" si="5"/>
        <v>2581.6320000000001</v>
      </c>
    </row>
    <row r="322" spans="1:7" x14ac:dyDescent="0.25">
      <c r="A322">
        <v>10370</v>
      </c>
      <c r="B322" s="12">
        <v>45653</v>
      </c>
      <c r="C322" t="s">
        <v>17</v>
      </c>
      <c r="D322" t="s">
        <v>19</v>
      </c>
      <c r="E322" s="13">
        <v>1117.5999999999999</v>
      </c>
      <c r="F322" s="13">
        <v>100.58399999999999</v>
      </c>
      <c r="G322" s="13">
        <f t="shared" si="5"/>
        <v>1218.184</v>
      </c>
    </row>
    <row r="323" spans="1:7" x14ac:dyDescent="0.25">
      <c r="A323">
        <v>10371</v>
      </c>
      <c r="B323" s="12">
        <v>45650</v>
      </c>
      <c r="C323" t="s">
        <v>14</v>
      </c>
      <c r="D323" t="s">
        <v>18</v>
      </c>
      <c r="E323" s="13">
        <v>72.959999999999994</v>
      </c>
      <c r="F323" s="13">
        <v>7.2959999999999994</v>
      </c>
      <c r="G323" s="13">
        <f t="shared" si="5"/>
        <v>80.256</v>
      </c>
    </row>
    <row r="324" spans="1:7" x14ac:dyDescent="0.25">
      <c r="A324">
        <v>10372</v>
      </c>
      <c r="B324" s="12">
        <v>45635</v>
      </c>
      <c r="C324" t="s">
        <v>17</v>
      </c>
      <c r="D324" t="s">
        <v>20</v>
      </c>
      <c r="E324" s="13">
        <v>9210.9</v>
      </c>
      <c r="F324" s="13">
        <v>368.43599999999998</v>
      </c>
      <c r="G324" s="13">
        <f t="shared" si="5"/>
        <v>9579.3359999999993</v>
      </c>
    </row>
    <row r="325" spans="1:7" x14ac:dyDescent="0.25">
      <c r="A325">
        <v>10373</v>
      </c>
      <c r="B325" s="12">
        <v>45637</v>
      </c>
      <c r="C325" t="s">
        <v>14</v>
      </c>
      <c r="D325" t="s">
        <v>22</v>
      </c>
      <c r="E325" s="13">
        <v>1366.4</v>
      </c>
      <c r="F325" s="13">
        <v>136.64000000000001</v>
      </c>
      <c r="G325" s="13">
        <f t="shared" ref="G325:G388" si="6">SUM(E325:F325)</f>
        <v>1503.0400000000002</v>
      </c>
    </row>
    <row r="326" spans="1:7" x14ac:dyDescent="0.25">
      <c r="A326">
        <v>10374</v>
      </c>
      <c r="B326" s="12">
        <v>45635</v>
      </c>
      <c r="C326" t="s">
        <v>14</v>
      </c>
      <c r="D326" t="s">
        <v>18</v>
      </c>
      <c r="E326" s="13">
        <v>459</v>
      </c>
      <c r="F326" s="13">
        <v>45.900000000000006</v>
      </c>
      <c r="G326" s="13">
        <f t="shared" si="6"/>
        <v>504.9</v>
      </c>
    </row>
    <row r="327" spans="1:7" x14ac:dyDescent="0.25">
      <c r="A327">
        <v>10375</v>
      </c>
      <c r="B327" s="12">
        <v>45635</v>
      </c>
      <c r="C327" t="s">
        <v>14</v>
      </c>
      <c r="D327" t="s">
        <v>24</v>
      </c>
      <c r="E327" s="13">
        <v>338</v>
      </c>
      <c r="F327" s="13">
        <v>33.800000000000004</v>
      </c>
      <c r="G327" s="13">
        <f t="shared" si="6"/>
        <v>371.8</v>
      </c>
    </row>
    <row r="328" spans="1:7" x14ac:dyDescent="0.25">
      <c r="A328">
        <v>10376</v>
      </c>
      <c r="B328" s="12">
        <v>45639</v>
      </c>
      <c r="C328" t="s">
        <v>14</v>
      </c>
      <c r="D328" t="s">
        <v>18</v>
      </c>
      <c r="E328" s="13">
        <v>399</v>
      </c>
      <c r="F328" s="13">
        <v>39.900000000000006</v>
      </c>
      <c r="G328" s="13">
        <f t="shared" si="6"/>
        <v>438.9</v>
      </c>
    </row>
    <row r="329" spans="1:7" x14ac:dyDescent="0.25">
      <c r="A329">
        <v>10377</v>
      </c>
      <c r="B329" s="12">
        <v>45639</v>
      </c>
      <c r="C329" t="s">
        <v>14</v>
      </c>
      <c r="D329" t="s">
        <v>18</v>
      </c>
      <c r="E329" s="13">
        <v>863.6</v>
      </c>
      <c r="F329" s="13">
        <v>86.360000000000014</v>
      </c>
      <c r="G329" s="13">
        <f t="shared" si="6"/>
        <v>949.96</v>
      </c>
    </row>
    <row r="330" spans="1:7" x14ac:dyDescent="0.25">
      <c r="A330">
        <v>10378</v>
      </c>
      <c r="B330" s="12">
        <v>45645</v>
      </c>
      <c r="C330" t="s">
        <v>17</v>
      </c>
      <c r="D330" t="s">
        <v>20</v>
      </c>
      <c r="E330" s="13">
        <v>103.2</v>
      </c>
      <c r="F330" s="13">
        <v>9.2880000000000003</v>
      </c>
      <c r="G330" s="13">
        <f t="shared" si="6"/>
        <v>112.488</v>
      </c>
    </row>
    <row r="331" spans="1:7" x14ac:dyDescent="0.25">
      <c r="A331">
        <v>10379</v>
      </c>
      <c r="B331" s="12">
        <v>45639</v>
      </c>
      <c r="C331" t="s">
        <v>14</v>
      </c>
      <c r="D331" t="s">
        <v>15</v>
      </c>
      <c r="E331" s="13">
        <v>863.28</v>
      </c>
      <c r="F331" s="13">
        <v>86.328000000000003</v>
      </c>
      <c r="G331" s="13">
        <f t="shared" si="6"/>
        <v>949.60799999999995</v>
      </c>
    </row>
    <row r="332" spans="1:7" x14ac:dyDescent="0.25">
      <c r="A332">
        <v>10380</v>
      </c>
      <c r="B332" s="12">
        <v>44942</v>
      </c>
      <c r="C332" t="s">
        <v>14</v>
      </c>
      <c r="D332" t="s">
        <v>21</v>
      </c>
      <c r="E332" s="13">
        <v>1313.82</v>
      </c>
      <c r="F332" s="13">
        <v>131.38200000000001</v>
      </c>
      <c r="G332" s="13">
        <f t="shared" si="6"/>
        <v>1445.202</v>
      </c>
    </row>
    <row r="333" spans="1:7" x14ac:dyDescent="0.25">
      <c r="A333">
        <v>10381</v>
      </c>
      <c r="B333" s="12">
        <v>45639</v>
      </c>
      <c r="C333" t="s">
        <v>14</v>
      </c>
      <c r="D333" t="s">
        <v>24</v>
      </c>
      <c r="E333" s="13">
        <v>112</v>
      </c>
      <c r="F333" s="13">
        <v>11.200000000000001</v>
      </c>
      <c r="G333" s="13">
        <f t="shared" si="6"/>
        <v>123.2</v>
      </c>
    </row>
    <row r="334" spans="1:7" x14ac:dyDescent="0.25">
      <c r="A334">
        <v>10382</v>
      </c>
      <c r="B334" s="12">
        <v>45642</v>
      </c>
      <c r="C334" t="s">
        <v>14</v>
      </c>
      <c r="D334" t="s">
        <v>22</v>
      </c>
      <c r="E334" s="13">
        <v>2900</v>
      </c>
      <c r="F334" s="13">
        <v>232</v>
      </c>
      <c r="G334" s="13">
        <f t="shared" si="6"/>
        <v>3132</v>
      </c>
    </row>
    <row r="335" spans="1:7" x14ac:dyDescent="0.25">
      <c r="A335">
        <v>10383</v>
      </c>
      <c r="B335" s="12">
        <v>45644</v>
      </c>
      <c r="C335" t="s">
        <v>14</v>
      </c>
      <c r="D335" t="s">
        <v>21</v>
      </c>
      <c r="E335" s="13">
        <v>899</v>
      </c>
      <c r="F335" s="13">
        <v>89.9</v>
      </c>
      <c r="G335" s="13">
        <f t="shared" si="6"/>
        <v>988.9</v>
      </c>
    </row>
    <row r="336" spans="1:7" x14ac:dyDescent="0.25">
      <c r="A336">
        <v>10384</v>
      </c>
      <c r="B336" s="12">
        <v>45646</v>
      </c>
      <c r="C336" t="s">
        <v>14</v>
      </c>
      <c r="D336" t="s">
        <v>24</v>
      </c>
      <c r="E336" s="13">
        <v>2222.4</v>
      </c>
      <c r="F336" s="13">
        <v>177.792</v>
      </c>
      <c r="G336" s="13">
        <f t="shared" si="6"/>
        <v>2400.192</v>
      </c>
    </row>
    <row r="337" spans="1:7" x14ac:dyDescent="0.25">
      <c r="A337">
        <v>10385</v>
      </c>
      <c r="B337" s="12">
        <v>45649</v>
      </c>
      <c r="C337" t="s">
        <v>14</v>
      </c>
      <c r="D337" t="s">
        <v>18</v>
      </c>
      <c r="E337" s="13">
        <v>691.2</v>
      </c>
      <c r="F337" s="13">
        <v>69.12</v>
      </c>
      <c r="G337" s="13">
        <f t="shared" si="6"/>
        <v>760.32</v>
      </c>
    </row>
    <row r="338" spans="1:7" x14ac:dyDescent="0.25">
      <c r="A338">
        <v>10386</v>
      </c>
      <c r="B338" s="12">
        <v>45651</v>
      </c>
      <c r="C338" t="s">
        <v>17</v>
      </c>
      <c r="D338" t="s">
        <v>16</v>
      </c>
      <c r="E338" s="13">
        <v>166</v>
      </c>
      <c r="F338" s="13">
        <v>14.94</v>
      </c>
      <c r="G338" s="13">
        <f t="shared" si="6"/>
        <v>180.94</v>
      </c>
    </row>
    <row r="339" spans="1:7" x14ac:dyDescent="0.25">
      <c r="A339">
        <v>10387</v>
      </c>
      <c r="B339" s="12">
        <v>45646</v>
      </c>
      <c r="C339" t="s">
        <v>14</v>
      </c>
      <c r="D339" t="s">
        <v>18</v>
      </c>
      <c r="E339" s="13">
        <v>1058.4000000000001</v>
      </c>
      <c r="F339" s="13">
        <v>105.84000000000002</v>
      </c>
      <c r="G339" s="13">
        <f t="shared" si="6"/>
        <v>1164.24</v>
      </c>
    </row>
    <row r="340" spans="1:7" x14ac:dyDescent="0.25">
      <c r="A340">
        <v>10388</v>
      </c>
      <c r="B340" s="12">
        <v>45646</v>
      </c>
      <c r="C340" t="s">
        <v>14</v>
      </c>
      <c r="D340" t="s">
        <v>15</v>
      </c>
      <c r="E340" s="13">
        <v>1228.8</v>
      </c>
      <c r="F340" s="13">
        <v>122.88</v>
      </c>
      <c r="G340" s="13">
        <f t="shared" si="6"/>
        <v>1351.6799999999998</v>
      </c>
    </row>
    <row r="341" spans="1:7" x14ac:dyDescent="0.25">
      <c r="A341">
        <v>10389</v>
      </c>
      <c r="B341" s="12">
        <v>45650</v>
      </c>
      <c r="C341" t="s">
        <v>14</v>
      </c>
      <c r="D341" t="s">
        <v>22</v>
      </c>
      <c r="E341" s="13">
        <v>1832.8</v>
      </c>
      <c r="F341" s="13">
        <v>183.28</v>
      </c>
      <c r="G341" s="13">
        <f t="shared" si="6"/>
        <v>2016.08</v>
      </c>
    </row>
    <row r="342" spans="1:7" x14ac:dyDescent="0.25">
      <c r="A342">
        <v>10390</v>
      </c>
      <c r="B342" s="12">
        <v>45652</v>
      </c>
      <c r="C342" t="s">
        <v>17</v>
      </c>
      <c r="D342" t="s">
        <v>19</v>
      </c>
      <c r="E342" s="13">
        <v>2090.88</v>
      </c>
      <c r="F342" s="13">
        <v>188.17920000000001</v>
      </c>
      <c r="G342" s="13">
        <f t="shared" si="6"/>
        <v>2279.0592000000001</v>
      </c>
    </row>
    <row r="343" spans="1:7" x14ac:dyDescent="0.25">
      <c r="A343">
        <v>10391</v>
      </c>
      <c r="B343" s="12">
        <v>45657</v>
      </c>
      <c r="C343" t="s">
        <v>14</v>
      </c>
      <c r="D343" t="s">
        <v>24</v>
      </c>
      <c r="E343" s="13">
        <v>86.4</v>
      </c>
      <c r="F343" s="13">
        <v>8.64</v>
      </c>
      <c r="G343" s="13">
        <f t="shared" si="6"/>
        <v>95.04</v>
      </c>
    </row>
    <row r="344" spans="1:7" x14ac:dyDescent="0.25">
      <c r="A344">
        <v>10392</v>
      </c>
      <c r="B344" s="12">
        <v>44927</v>
      </c>
      <c r="C344" t="s">
        <v>14</v>
      </c>
      <c r="D344" t="s">
        <v>15</v>
      </c>
      <c r="E344" s="13">
        <v>1440</v>
      </c>
      <c r="F344" s="13">
        <v>144</v>
      </c>
      <c r="G344" s="13">
        <f t="shared" si="6"/>
        <v>1584</v>
      </c>
    </row>
    <row r="345" spans="1:7" x14ac:dyDescent="0.25">
      <c r="A345">
        <v>10393</v>
      </c>
      <c r="B345" s="12">
        <v>44929</v>
      </c>
      <c r="C345" t="s">
        <v>14</v>
      </c>
      <c r="D345" t="s">
        <v>18</v>
      </c>
      <c r="E345" s="13">
        <v>2556.9499999999998</v>
      </c>
      <c r="F345" s="13">
        <v>204.55599999999998</v>
      </c>
      <c r="G345" s="13">
        <f t="shared" si="6"/>
        <v>2761.5059999999999</v>
      </c>
    </row>
    <row r="346" spans="1:7" x14ac:dyDescent="0.25">
      <c r="A346">
        <v>10394</v>
      </c>
      <c r="B346" s="12">
        <v>44929</v>
      </c>
      <c r="C346" t="s">
        <v>14</v>
      </c>
      <c r="D346" t="s">
        <v>18</v>
      </c>
      <c r="E346" s="13">
        <v>442</v>
      </c>
      <c r="F346" s="13">
        <v>44.2</v>
      </c>
      <c r="G346" s="13">
        <f t="shared" si="6"/>
        <v>486.2</v>
      </c>
    </row>
    <row r="347" spans="1:7" x14ac:dyDescent="0.25">
      <c r="A347">
        <v>10395</v>
      </c>
      <c r="B347" s="12">
        <v>44929</v>
      </c>
      <c r="C347" t="s">
        <v>17</v>
      </c>
      <c r="D347" t="s">
        <v>19</v>
      </c>
      <c r="E347" s="13">
        <v>2122.92</v>
      </c>
      <c r="F347" s="13">
        <v>191.06280000000001</v>
      </c>
      <c r="G347" s="13">
        <f t="shared" si="6"/>
        <v>2313.9828000000002</v>
      </c>
    </row>
    <row r="348" spans="1:7" x14ac:dyDescent="0.25">
      <c r="A348">
        <v>10396</v>
      </c>
      <c r="B348" s="12">
        <v>44932</v>
      </c>
      <c r="C348" t="s">
        <v>14</v>
      </c>
      <c r="D348" t="s">
        <v>18</v>
      </c>
      <c r="E348" s="13">
        <v>1903.8</v>
      </c>
      <c r="F348" s="13">
        <v>190.38</v>
      </c>
      <c r="G348" s="13">
        <f t="shared" si="6"/>
        <v>2094.1799999999998</v>
      </c>
    </row>
    <row r="349" spans="1:7" x14ac:dyDescent="0.25">
      <c r="A349">
        <v>10397</v>
      </c>
      <c r="B349" s="12">
        <v>44928</v>
      </c>
      <c r="C349" t="s">
        <v>17</v>
      </c>
      <c r="D349" t="s">
        <v>20</v>
      </c>
      <c r="E349" s="13">
        <v>716.72</v>
      </c>
      <c r="F349" s="13">
        <v>64.504800000000003</v>
      </c>
      <c r="G349" s="13">
        <f t="shared" si="6"/>
        <v>781.22480000000007</v>
      </c>
    </row>
    <row r="350" spans="1:7" x14ac:dyDescent="0.25">
      <c r="A350">
        <v>10398</v>
      </c>
      <c r="B350" s="12">
        <v>44935</v>
      </c>
      <c r="C350" t="s">
        <v>14</v>
      </c>
      <c r="D350" t="s">
        <v>15</v>
      </c>
      <c r="E350" s="13">
        <v>2505.6</v>
      </c>
      <c r="F350" s="13">
        <v>200.44800000000001</v>
      </c>
      <c r="G350" s="13">
        <f t="shared" si="6"/>
        <v>2706.0479999999998</v>
      </c>
    </row>
    <row r="351" spans="1:7" x14ac:dyDescent="0.25">
      <c r="A351">
        <v>10399</v>
      </c>
      <c r="B351" s="12">
        <v>44934</v>
      </c>
      <c r="C351" t="s">
        <v>14</v>
      </c>
      <c r="D351" t="s">
        <v>21</v>
      </c>
      <c r="E351" s="13">
        <v>1765.6</v>
      </c>
      <c r="F351" s="13">
        <v>176.56</v>
      </c>
      <c r="G351" s="13">
        <f t="shared" si="6"/>
        <v>1942.1599999999999</v>
      </c>
    </row>
    <row r="352" spans="1:7" x14ac:dyDescent="0.25">
      <c r="A352">
        <v>10400</v>
      </c>
      <c r="B352" s="12">
        <v>44942</v>
      </c>
      <c r="C352" t="s">
        <v>14</v>
      </c>
      <c r="D352" t="s">
        <v>18</v>
      </c>
      <c r="E352" s="13">
        <v>3063</v>
      </c>
      <c r="F352" s="13">
        <v>245.04</v>
      </c>
      <c r="G352" s="13">
        <f t="shared" si="6"/>
        <v>3308.04</v>
      </c>
    </row>
    <row r="353" spans="1:7" x14ac:dyDescent="0.25">
      <c r="A353">
        <v>10401</v>
      </c>
      <c r="B353" s="12">
        <v>44936</v>
      </c>
      <c r="C353" t="s">
        <v>14</v>
      </c>
      <c r="D353" t="s">
        <v>18</v>
      </c>
      <c r="E353" s="13">
        <v>3868.6</v>
      </c>
      <c r="F353" s="13">
        <v>309.488</v>
      </c>
      <c r="G353" s="13">
        <f t="shared" si="6"/>
        <v>4178.0879999999997</v>
      </c>
    </row>
    <row r="354" spans="1:7" x14ac:dyDescent="0.25">
      <c r="A354">
        <v>10402</v>
      </c>
      <c r="B354" s="12">
        <v>44936</v>
      </c>
      <c r="C354" t="s">
        <v>14</v>
      </c>
      <c r="D354" t="s">
        <v>21</v>
      </c>
      <c r="E354" s="13">
        <v>2713.5</v>
      </c>
      <c r="F354" s="13">
        <v>217.08</v>
      </c>
      <c r="G354" s="13">
        <f t="shared" si="6"/>
        <v>2930.58</v>
      </c>
    </row>
    <row r="355" spans="1:7" x14ac:dyDescent="0.25">
      <c r="A355">
        <v>10403</v>
      </c>
      <c r="B355" s="12">
        <v>44935</v>
      </c>
      <c r="C355" t="s">
        <v>14</v>
      </c>
      <c r="D355" t="s">
        <v>22</v>
      </c>
      <c r="E355" s="13">
        <v>855.01</v>
      </c>
      <c r="F355" s="13">
        <v>85.501000000000005</v>
      </c>
      <c r="G355" s="13">
        <f t="shared" si="6"/>
        <v>940.51099999999997</v>
      </c>
    </row>
    <row r="356" spans="1:7" x14ac:dyDescent="0.25">
      <c r="A356">
        <v>10404</v>
      </c>
      <c r="B356" s="12">
        <v>44934</v>
      </c>
      <c r="C356" t="s">
        <v>14</v>
      </c>
      <c r="D356" t="s">
        <v>15</v>
      </c>
      <c r="E356" s="13">
        <v>1591.25</v>
      </c>
      <c r="F356" s="13">
        <v>159.125</v>
      </c>
      <c r="G356" s="13">
        <f t="shared" si="6"/>
        <v>1750.375</v>
      </c>
    </row>
    <row r="357" spans="1:7" x14ac:dyDescent="0.25">
      <c r="A357">
        <v>10405</v>
      </c>
      <c r="B357" s="12">
        <v>44948</v>
      </c>
      <c r="C357" t="s">
        <v>14</v>
      </c>
      <c r="D357" t="s">
        <v>18</v>
      </c>
      <c r="E357" s="13">
        <v>400</v>
      </c>
      <c r="F357" s="13">
        <v>40</v>
      </c>
      <c r="G357" s="13">
        <f t="shared" si="6"/>
        <v>440</v>
      </c>
    </row>
    <row r="358" spans="1:7" x14ac:dyDescent="0.25">
      <c r="A358">
        <v>10406</v>
      </c>
      <c r="B358" s="12">
        <v>44939</v>
      </c>
      <c r="C358" t="s">
        <v>17</v>
      </c>
      <c r="D358" t="s">
        <v>23</v>
      </c>
      <c r="E358" s="13">
        <v>1830.78</v>
      </c>
      <c r="F358" s="13">
        <v>164.77019999999999</v>
      </c>
      <c r="G358" s="13">
        <f t="shared" si="6"/>
        <v>1995.5501999999999</v>
      </c>
    </row>
    <row r="359" spans="1:7" x14ac:dyDescent="0.25">
      <c r="A359">
        <v>10407</v>
      </c>
      <c r="B359" s="12">
        <v>44956</v>
      </c>
      <c r="C359" t="s">
        <v>14</v>
      </c>
      <c r="D359" t="s">
        <v>15</v>
      </c>
      <c r="E359" s="13">
        <v>1194</v>
      </c>
      <c r="F359" s="13">
        <v>119.4</v>
      </c>
      <c r="G359" s="13">
        <f t="shared" si="6"/>
        <v>1313.4</v>
      </c>
    </row>
    <row r="360" spans="1:7" x14ac:dyDescent="0.25">
      <c r="A360">
        <v>10408</v>
      </c>
      <c r="B360" s="12">
        <v>44940</v>
      </c>
      <c r="C360" t="s">
        <v>14</v>
      </c>
      <c r="D360" t="s">
        <v>21</v>
      </c>
      <c r="E360" s="13">
        <v>1622.4</v>
      </c>
      <c r="F360" s="13">
        <v>162.24</v>
      </c>
      <c r="G360" s="13">
        <f t="shared" si="6"/>
        <v>1784.64</v>
      </c>
    </row>
    <row r="361" spans="1:7" x14ac:dyDescent="0.25">
      <c r="A361">
        <v>10409</v>
      </c>
      <c r="B361" s="12">
        <v>44940</v>
      </c>
      <c r="C361" t="s">
        <v>14</v>
      </c>
      <c r="D361" t="s">
        <v>24</v>
      </c>
      <c r="E361" s="13">
        <v>319.2</v>
      </c>
      <c r="F361" s="13">
        <v>31.92</v>
      </c>
      <c r="G361" s="13">
        <f t="shared" si="6"/>
        <v>351.12</v>
      </c>
    </row>
    <row r="362" spans="1:7" x14ac:dyDescent="0.25">
      <c r="A362">
        <v>10410</v>
      </c>
      <c r="B362" s="12">
        <v>44941</v>
      </c>
      <c r="C362" t="s">
        <v>14</v>
      </c>
      <c r="D362" t="s">
        <v>24</v>
      </c>
      <c r="E362" s="13">
        <v>802</v>
      </c>
      <c r="F362" s="13">
        <v>80.2</v>
      </c>
      <c r="G362" s="13">
        <f t="shared" si="6"/>
        <v>882.2</v>
      </c>
    </row>
    <row r="363" spans="1:7" x14ac:dyDescent="0.25">
      <c r="A363">
        <v>10411</v>
      </c>
      <c r="B363" s="12">
        <v>44947</v>
      </c>
      <c r="C363" t="s">
        <v>17</v>
      </c>
      <c r="D363" t="s">
        <v>16</v>
      </c>
      <c r="E363" s="13">
        <v>966.8</v>
      </c>
      <c r="F363" s="13">
        <v>87.011999999999986</v>
      </c>
      <c r="G363" s="13">
        <f t="shared" si="6"/>
        <v>1053.8119999999999</v>
      </c>
    </row>
    <row r="364" spans="1:7" x14ac:dyDescent="0.25">
      <c r="A364">
        <v>10412</v>
      </c>
      <c r="B364" s="12">
        <v>44941</v>
      </c>
      <c r="C364" t="s">
        <v>14</v>
      </c>
      <c r="D364" t="s">
        <v>21</v>
      </c>
      <c r="E364" s="13">
        <v>334.8</v>
      </c>
      <c r="F364" s="13">
        <v>33.480000000000004</v>
      </c>
      <c r="G364" s="13">
        <f t="shared" si="6"/>
        <v>368.28000000000003</v>
      </c>
    </row>
    <row r="365" spans="1:7" x14ac:dyDescent="0.25">
      <c r="A365">
        <v>10413</v>
      </c>
      <c r="B365" s="12">
        <v>44942</v>
      </c>
      <c r="C365" t="s">
        <v>14</v>
      </c>
      <c r="D365" t="s">
        <v>24</v>
      </c>
      <c r="E365" s="13">
        <v>2123.1999999999998</v>
      </c>
      <c r="F365" s="13">
        <v>169.85599999999999</v>
      </c>
      <c r="G365" s="13">
        <f t="shared" si="6"/>
        <v>2293.0559999999996</v>
      </c>
    </row>
    <row r="366" spans="1:7" x14ac:dyDescent="0.25">
      <c r="A366">
        <v>10414</v>
      </c>
      <c r="B366" s="12">
        <v>44943</v>
      </c>
      <c r="C366" t="s">
        <v>14</v>
      </c>
      <c r="D366" t="s">
        <v>15</v>
      </c>
      <c r="E366" s="13">
        <v>224.83</v>
      </c>
      <c r="F366" s="13">
        <v>22.483000000000004</v>
      </c>
      <c r="G366" s="13">
        <f t="shared" si="6"/>
        <v>247.31300000000002</v>
      </c>
    </row>
    <row r="367" spans="1:7" x14ac:dyDescent="0.25">
      <c r="A367">
        <v>10415</v>
      </c>
      <c r="B367" s="12">
        <v>44950</v>
      </c>
      <c r="C367" t="s">
        <v>14</v>
      </c>
      <c r="D367" t="s">
        <v>24</v>
      </c>
      <c r="E367" s="13">
        <v>102.4</v>
      </c>
      <c r="F367" s="13">
        <v>10.240000000000002</v>
      </c>
      <c r="G367" s="13">
        <f t="shared" si="6"/>
        <v>112.64000000000001</v>
      </c>
    </row>
    <row r="368" spans="1:7" x14ac:dyDescent="0.25">
      <c r="A368">
        <v>10416</v>
      </c>
      <c r="B368" s="12">
        <v>44953</v>
      </c>
      <c r="C368" t="s">
        <v>14</v>
      </c>
      <c r="D368" t="s">
        <v>21</v>
      </c>
      <c r="E368" s="13">
        <v>720</v>
      </c>
      <c r="F368" s="13">
        <v>72</v>
      </c>
      <c r="G368" s="13">
        <f t="shared" si="6"/>
        <v>792</v>
      </c>
    </row>
    <row r="369" spans="1:7" x14ac:dyDescent="0.25">
      <c r="A369">
        <v>10417</v>
      </c>
      <c r="B369" s="12">
        <v>44954</v>
      </c>
      <c r="C369" t="s">
        <v>14</v>
      </c>
      <c r="D369" t="s">
        <v>22</v>
      </c>
      <c r="E369" s="13">
        <v>11188.4</v>
      </c>
      <c r="F369" s="13">
        <v>559.41999999999996</v>
      </c>
      <c r="G369" s="13">
        <f t="shared" si="6"/>
        <v>11747.82</v>
      </c>
    </row>
    <row r="370" spans="1:7" x14ac:dyDescent="0.25">
      <c r="A370">
        <v>10418</v>
      </c>
      <c r="B370" s="12">
        <v>44950</v>
      </c>
      <c r="C370" t="s">
        <v>14</v>
      </c>
      <c r="D370" t="s">
        <v>22</v>
      </c>
      <c r="E370" s="13">
        <v>1814.8</v>
      </c>
      <c r="F370" s="13">
        <v>181.48000000000002</v>
      </c>
      <c r="G370" s="13">
        <f t="shared" si="6"/>
        <v>1996.28</v>
      </c>
    </row>
    <row r="371" spans="1:7" x14ac:dyDescent="0.25">
      <c r="A371">
        <v>10419</v>
      </c>
      <c r="B371" s="12">
        <v>44956</v>
      </c>
      <c r="C371" t="s">
        <v>14</v>
      </c>
      <c r="D371" t="s">
        <v>22</v>
      </c>
      <c r="E371" s="13">
        <v>2097.6</v>
      </c>
      <c r="F371" s="13">
        <v>167.80799999999999</v>
      </c>
      <c r="G371" s="13">
        <f t="shared" si="6"/>
        <v>2265.4079999999999</v>
      </c>
    </row>
    <row r="372" spans="1:7" x14ac:dyDescent="0.25">
      <c r="A372">
        <v>10420</v>
      </c>
      <c r="B372" s="12">
        <v>44953</v>
      </c>
      <c r="C372" t="s">
        <v>14</v>
      </c>
      <c r="D372" t="s">
        <v>24</v>
      </c>
      <c r="E372" s="13">
        <v>1707.84</v>
      </c>
      <c r="F372" s="13">
        <v>170.78399999999999</v>
      </c>
      <c r="G372" s="13">
        <f t="shared" si="6"/>
        <v>1878.6239999999998</v>
      </c>
    </row>
    <row r="373" spans="1:7" x14ac:dyDescent="0.25">
      <c r="A373">
        <v>10421</v>
      </c>
      <c r="B373" s="12">
        <v>44953</v>
      </c>
      <c r="C373" t="s">
        <v>14</v>
      </c>
      <c r="D373" t="s">
        <v>21</v>
      </c>
      <c r="E373" s="13">
        <v>1194.27</v>
      </c>
      <c r="F373" s="13">
        <v>119.42700000000001</v>
      </c>
      <c r="G373" s="13">
        <f t="shared" si="6"/>
        <v>1313.6969999999999</v>
      </c>
    </row>
    <row r="374" spans="1:7" x14ac:dyDescent="0.25">
      <c r="A374">
        <v>10422</v>
      </c>
      <c r="B374" s="12">
        <v>44957</v>
      </c>
      <c r="C374" t="s">
        <v>14</v>
      </c>
      <c r="D374" t="s">
        <v>15</v>
      </c>
      <c r="E374" s="13">
        <v>49.8</v>
      </c>
      <c r="F374" s="13">
        <v>5</v>
      </c>
      <c r="G374" s="13">
        <f t="shared" si="6"/>
        <v>54.8</v>
      </c>
    </row>
    <row r="375" spans="1:7" x14ac:dyDescent="0.25">
      <c r="A375">
        <v>10423</v>
      </c>
      <c r="B375" s="12">
        <v>44981</v>
      </c>
      <c r="C375" t="s">
        <v>17</v>
      </c>
      <c r="D375" t="s">
        <v>19</v>
      </c>
      <c r="E375" s="13">
        <v>1020</v>
      </c>
      <c r="F375" s="13">
        <v>91.8</v>
      </c>
      <c r="G375" s="13">
        <f t="shared" si="6"/>
        <v>1111.8</v>
      </c>
    </row>
    <row r="376" spans="1:7" x14ac:dyDescent="0.25">
      <c r="A376">
        <v>10424</v>
      </c>
      <c r="B376" s="12">
        <v>44953</v>
      </c>
      <c r="C376" t="s">
        <v>17</v>
      </c>
      <c r="D376" t="s">
        <v>23</v>
      </c>
      <c r="E376" s="13">
        <v>9194.56</v>
      </c>
      <c r="F376" s="13">
        <v>367.7824</v>
      </c>
      <c r="G376" s="13">
        <f t="shared" si="6"/>
        <v>9562.3423999999995</v>
      </c>
    </row>
    <row r="377" spans="1:7" x14ac:dyDescent="0.25">
      <c r="A377">
        <v>10425</v>
      </c>
      <c r="B377" s="12">
        <v>44971</v>
      </c>
      <c r="C377" t="s">
        <v>17</v>
      </c>
      <c r="D377" t="s">
        <v>19</v>
      </c>
      <c r="E377" s="13">
        <v>360</v>
      </c>
      <c r="F377" s="13">
        <v>32.4</v>
      </c>
      <c r="G377" s="13">
        <f t="shared" si="6"/>
        <v>392.4</v>
      </c>
    </row>
    <row r="378" spans="1:7" x14ac:dyDescent="0.25">
      <c r="A378">
        <v>10426</v>
      </c>
      <c r="B378" s="12">
        <v>44963</v>
      </c>
      <c r="C378" t="s">
        <v>14</v>
      </c>
      <c r="D378" t="s">
        <v>22</v>
      </c>
      <c r="E378" s="13">
        <v>338.2</v>
      </c>
      <c r="F378" s="13">
        <v>33.82</v>
      </c>
      <c r="G378" s="13">
        <f t="shared" si="6"/>
        <v>372.02</v>
      </c>
    </row>
    <row r="379" spans="1:7" x14ac:dyDescent="0.25">
      <c r="A379">
        <v>10427</v>
      </c>
      <c r="B379" s="12">
        <v>44988</v>
      </c>
      <c r="C379" t="s">
        <v>14</v>
      </c>
      <c r="D379" t="s">
        <v>22</v>
      </c>
      <c r="E379" s="13">
        <v>651</v>
      </c>
      <c r="F379" s="13">
        <v>65.100000000000009</v>
      </c>
      <c r="G379" s="13">
        <f t="shared" si="6"/>
        <v>716.1</v>
      </c>
    </row>
    <row r="380" spans="1:7" x14ac:dyDescent="0.25">
      <c r="A380">
        <v>10428</v>
      </c>
      <c r="B380" s="12">
        <v>44961</v>
      </c>
      <c r="C380" t="s">
        <v>17</v>
      </c>
      <c r="D380" t="s">
        <v>23</v>
      </c>
      <c r="E380" s="13">
        <v>192</v>
      </c>
      <c r="F380" s="13">
        <v>17.28</v>
      </c>
      <c r="G380" s="13">
        <f t="shared" si="6"/>
        <v>209.28</v>
      </c>
    </row>
    <row r="381" spans="1:7" x14ac:dyDescent="0.25">
      <c r="A381">
        <v>10429</v>
      </c>
      <c r="B381" s="12">
        <v>44964</v>
      </c>
      <c r="C381" t="s">
        <v>14</v>
      </c>
      <c r="D381" t="s">
        <v>24</v>
      </c>
      <c r="E381" s="13">
        <v>1441.37</v>
      </c>
      <c r="F381" s="13">
        <v>144.137</v>
      </c>
      <c r="G381" s="13">
        <f t="shared" si="6"/>
        <v>1585.5069999999998</v>
      </c>
    </row>
    <row r="382" spans="1:7" x14ac:dyDescent="0.25">
      <c r="A382">
        <v>10430</v>
      </c>
      <c r="B382" s="12">
        <v>44960</v>
      </c>
      <c r="C382" t="s">
        <v>14</v>
      </c>
      <c r="D382" t="s">
        <v>22</v>
      </c>
      <c r="E382" s="13">
        <v>4899.2</v>
      </c>
      <c r="F382" s="13">
        <v>391.93599999999998</v>
      </c>
      <c r="G382" s="13">
        <f t="shared" si="6"/>
        <v>5291.1359999999995</v>
      </c>
    </row>
    <row r="383" spans="1:7" x14ac:dyDescent="0.25">
      <c r="A383">
        <v>10431</v>
      </c>
      <c r="B383" s="12">
        <v>44964</v>
      </c>
      <c r="C383" t="s">
        <v>14</v>
      </c>
      <c r="D383" t="s">
        <v>22</v>
      </c>
      <c r="E383" s="13">
        <v>1892.25</v>
      </c>
      <c r="F383" s="13">
        <v>189.22500000000002</v>
      </c>
      <c r="G383" s="13">
        <f t="shared" si="6"/>
        <v>2081.4749999999999</v>
      </c>
    </row>
    <row r="384" spans="1:7" x14ac:dyDescent="0.25">
      <c r="A384">
        <v>10432</v>
      </c>
      <c r="B384" s="12">
        <v>44964</v>
      </c>
      <c r="C384" t="s">
        <v>14</v>
      </c>
      <c r="D384" t="s">
        <v>24</v>
      </c>
      <c r="E384" s="13">
        <v>485</v>
      </c>
      <c r="F384" s="13">
        <v>48.5</v>
      </c>
      <c r="G384" s="13">
        <f t="shared" si="6"/>
        <v>533.5</v>
      </c>
    </row>
    <row r="385" spans="1:7" x14ac:dyDescent="0.25">
      <c r="A385">
        <v>10433</v>
      </c>
      <c r="B385" s="12">
        <v>44989</v>
      </c>
      <c r="C385" t="s">
        <v>14</v>
      </c>
      <c r="D385" t="s">
        <v>24</v>
      </c>
      <c r="E385" s="13">
        <v>851.2</v>
      </c>
      <c r="F385" s="13">
        <v>85.12</v>
      </c>
      <c r="G385" s="13">
        <f t="shared" si="6"/>
        <v>936.32</v>
      </c>
    </row>
    <row r="386" spans="1:7" x14ac:dyDescent="0.25">
      <c r="A386">
        <v>10434</v>
      </c>
      <c r="B386" s="12">
        <v>44970</v>
      </c>
      <c r="C386" t="s">
        <v>14</v>
      </c>
      <c r="D386" t="s">
        <v>24</v>
      </c>
      <c r="E386" s="13">
        <v>321.12</v>
      </c>
      <c r="F386" s="13">
        <v>32.112000000000002</v>
      </c>
      <c r="G386" s="13">
        <f t="shared" si="6"/>
        <v>353.23200000000003</v>
      </c>
    </row>
    <row r="387" spans="1:7" x14ac:dyDescent="0.25">
      <c r="A387">
        <v>10435</v>
      </c>
      <c r="B387" s="12">
        <v>44964</v>
      </c>
      <c r="C387" t="s">
        <v>14</v>
      </c>
      <c r="D387" t="s">
        <v>21</v>
      </c>
      <c r="E387" s="13">
        <v>631.6</v>
      </c>
      <c r="F387" s="13">
        <v>63.160000000000004</v>
      </c>
      <c r="G387" s="13">
        <f t="shared" si="6"/>
        <v>694.76</v>
      </c>
    </row>
    <row r="388" spans="1:7" x14ac:dyDescent="0.25">
      <c r="A388">
        <v>10436</v>
      </c>
      <c r="B388" s="12">
        <v>44968</v>
      </c>
      <c r="C388" t="s">
        <v>14</v>
      </c>
      <c r="D388" t="s">
        <v>24</v>
      </c>
      <c r="E388" s="13">
        <v>1994.52</v>
      </c>
      <c r="F388" s="13">
        <v>199.452</v>
      </c>
      <c r="G388" s="13">
        <f t="shared" si="6"/>
        <v>2193.9719999999998</v>
      </c>
    </row>
    <row r="389" spans="1:7" x14ac:dyDescent="0.25">
      <c r="A389">
        <v>10437</v>
      </c>
      <c r="B389" s="12">
        <v>44969</v>
      </c>
      <c r="C389" t="s">
        <v>14</v>
      </c>
      <c r="D389" t="s">
        <v>21</v>
      </c>
      <c r="E389" s="13">
        <v>393</v>
      </c>
      <c r="F389" s="13">
        <v>39.300000000000004</v>
      </c>
      <c r="G389" s="13">
        <f t="shared" ref="G389:G452" si="7">SUM(E389:F389)</f>
        <v>432.3</v>
      </c>
    </row>
    <row r="390" spans="1:7" x14ac:dyDescent="0.25">
      <c r="A390">
        <v>10438</v>
      </c>
      <c r="B390" s="12">
        <v>44971</v>
      </c>
      <c r="C390" t="s">
        <v>14</v>
      </c>
      <c r="D390" t="s">
        <v>24</v>
      </c>
      <c r="E390" s="13">
        <v>454</v>
      </c>
      <c r="F390" s="13">
        <v>45.400000000000006</v>
      </c>
      <c r="G390" s="13">
        <f t="shared" si="7"/>
        <v>499.4</v>
      </c>
    </row>
    <row r="391" spans="1:7" x14ac:dyDescent="0.25">
      <c r="A391">
        <v>10439</v>
      </c>
      <c r="B391" s="12">
        <v>44967</v>
      </c>
      <c r="C391" t="s">
        <v>17</v>
      </c>
      <c r="D391" t="s">
        <v>19</v>
      </c>
      <c r="E391" s="13">
        <v>1078</v>
      </c>
      <c r="F391" s="13">
        <v>97.02</v>
      </c>
      <c r="G391" s="13">
        <f t="shared" si="7"/>
        <v>1175.02</v>
      </c>
    </row>
    <row r="392" spans="1:7" x14ac:dyDescent="0.25">
      <c r="A392">
        <v>10440</v>
      </c>
      <c r="B392" s="12">
        <v>44985</v>
      </c>
      <c r="C392" t="s">
        <v>14</v>
      </c>
      <c r="D392" t="s">
        <v>22</v>
      </c>
      <c r="E392" s="13">
        <v>4924.13</v>
      </c>
      <c r="F392" s="13">
        <v>393.93040000000002</v>
      </c>
      <c r="G392" s="13">
        <f t="shared" si="7"/>
        <v>5318.0604000000003</v>
      </c>
    </row>
    <row r="393" spans="1:7" x14ac:dyDescent="0.25">
      <c r="A393">
        <v>10441</v>
      </c>
      <c r="B393" s="12">
        <v>44999</v>
      </c>
      <c r="C393" t="s">
        <v>14</v>
      </c>
      <c r="D393" t="s">
        <v>24</v>
      </c>
      <c r="E393" s="13">
        <v>1755</v>
      </c>
      <c r="F393" s="13">
        <v>175.5</v>
      </c>
      <c r="G393" s="13">
        <f t="shared" si="7"/>
        <v>1930.5</v>
      </c>
    </row>
    <row r="394" spans="1:7" x14ac:dyDescent="0.25">
      <c r="A394">
        <v>10442</v>
      </c>
      <c r="B394" s="12">
        <v>44975</v>
      </c>
      <c r="C394" t="s">
        <v>14</v>
      </c>
      <c r="D394" t="s">
        <v>24</v>
      </c>
      <c r="E394" s="13">
        <v>1792</v>
      </c>
      <c r="F394" s="13">
        <v>179.20000000000002</v>
      </c>
      <c r="G394" s="13">
        <f t="shared" si="7"/>
        <v>1971.2</v>
      </c>
    </row>
    <row r="395" spans="1:7" x14ac:dyDescent="0.25">
      <c r="A395">
        <v>10443</v>
      </c>
      <c r="B395" s="12">
        <v>44971</v>
      </c>
      <c r="C395" t="s">
        <v>14</v>
      </c>
      <c r="D395" t="s">
        <v>21</v>
      </c>
      <c r="E395" s="13">
        <v>517.44000000000005</v>
      </c>
      <c r="F395" s="13">
        <v>51.744000000000007</v>
      </c>
      <c r="G395" s="13">
        <f t="shared" si="7"/>
        <v>569.18400000000008</v>
      </c>
    </row>
    <row r="396" spans="1:7" x14ac:dyDescent="0.25">
      <c r="A396">
        <v>10444</v>
      </c>
      <c r="B396" s="12">
        <v>44978</v>
      </c>
      <c r="C396" t="s">
        <v>14</v>
      </c>
      <c r="D396" t="s">
        <v>24</v>
      </c>
      <c r="E396" s="13">
        <v>1031.7</v>
      </c>
      <c r="F396" s="13">
        <v>103.17000000000002</v>
      </c>
      <c r="G396" s="13">
        <f t="shared" si="7"/>
        <v>1134.8700000000001</v>
      </c>
    </row>
    <row r="397" spans="1:7" x14ac:dyDescent="0.25">
      <c r="A397">
        <v>10445</v>
      </c>
      <c r="B397" s="12">
        <v>44977</v>
      </c>
      <c r="C397" t="s">
        <v>14</v>
      </c>
      <c r="D397" t="s">
        <v>24</v>
      </c>
      <c r="E397" s="13">
        <v>174.9</v>
      </c>
      <c r="F397" s="13">
        <v>17.490000000000002</v>
      </c>
      <c r="G397" s="13">
        <f t="shared" si="7"/>
        <v>192.39000000000001</v>
      </c>
    </row>
    <row r="398" spans="1:7" x14ac:dyDescent="0.25">
      <c r="A398">
        <v>10446</v>
      </c>
      <c r="B398" s="12">
        <v>44976</v>
      </c>
      <c r="C398" t="s">
        <v>17</v>
      </c>
      <c r="D398" t="s">
        <v>19</v>
      </c>
      <c r="E398" s="13">
        <v>246.24</v>
      </c>
      <c r="F398" s="13">
        <v>22.1616</v>
      </c>
      <c r="G398" s="13">
        <f t="shared" si="7"/>
        <v>268.40160000000003</v>
      </c>
    </row>
    <row r="399" spans="1:7" x14ac:dyDescent="0.25">
      <c r="A399">
        <v>10447</v>
      </c>
      <c r="B399" s="12">
        <v>44992</v>
      </c>
      <c r="C399" t="s">
        <v>14</v>
      </c>
      <c r="D399" t="s">
        <v>22</v>
      </c>
      <c r="E399" s="13">
        <v>914.4</v>
      </c>
      <c r="F399" s="13">
        <v>91.44</v>
      </c>
      <c r="G399" s="13">
        <f t="shared" si="7"/>
        <v>1005.8399999999999</v>
      </c>
    </row>
    <row r="400" spans="1:7" x14ac:dyDescent="0.25">
      <c r="A400">
        <v>10448</v>
      </c>
      <c r="B400" s="12">
        <v>44981</v>
      </c>
      <c r="C400" t="s">
        <v>14</v>
      </c>
      <c r="D400" t="s">
        <v>22</v>
      </c>
      <c r="E400" s="13">
        <v>443.4</v>
      </c>
      <c r="F400" s="13">
        <v>44.34</v>
      </c>
      <c r="G400" s="13">
        <f t="shared" si="7"/>
        <v>487.74</v>
      </c>
    </row>
    <row r="401" spans="1:7" x14ac:dyDescent="0.25">
      <c r="A401">
        <v>10449</v>
      </c>
      <c r="B401" s="12">
        <v>44984</v>
      </c>
      <c r="C401" t="s">
        <v>14</v>
      </c>
      <c r="D401" t="s">
        <v>24</v>
      </c>
      <c r="E401" s="13">
        <v>1838.2</v>
      </c>
      <c r="F401" s="13">
        <v>183.82000000000002</v>
      </c>
      <c r="G401" s="13">
        <f t="shared" si="7"/>
        <v>2022.02</v>
      </c>
    </row>
    <row r="402" spans="1:7" x14ac:dyDescent="0.25">
      <c r="A402">
        <v>10450</v>
      </c>
      <c r="B402" s="12">
        <v>44996</v>
      </c>
      <c r="C402" t="s">
        <v>14</v>
      </c>
      <c r="D402" t="s">
        <v>21</v>
      </c>
      <c r="E402" s="13">
        <v>425.12</v>
      </c>
      <c r="F402" s="13">
        <v>42.512</v>
      </c>
      <c r="G402" s="13">
        <f t="shared" si="7"/>
        <v>467.63200000000001</v>
      </c>
    </row>
    <row r="403" spans="1:7" x14ac:dyDescent="0.25">
      <c r="A403">
        <v>10451</v>
      </c>
      <c r="B403" s="12">
        <v>44997</v>
      </c>
      <c r="C403" t="s">
        <v>14</v>
      </c>
      <c r="D403" t="s">
        <v>22</v>
      </c>
      <c r="E403" s="13">
        <v>3849.66</v>
      </c>
      <c r="F403" s="13">
        <v>307.97280000000001</v>
      </c>
      <c r="G403" s="13">
        <f t="shared" si="7"/>
        <v>4157.6327999999994</v>
      </c>
    </row>
    <row r="404" spans="1:7" x14ac:dyDescent="0.25">
      <c r="A404">
        <v>10452</v>
      </c>
      <c r="B404" s="12">
        <v>44983</v>
      </c>
      <c r="C404" t="s">
        <v>14</v>
      </c>
      <c r="D404" t="s">
        <v>21</v>
      </c>
      <c r="E404" s="13">
        <v>2022.5</v>
      </c>
      <c r="F404" s="13">
        <v>161.47999999999999</v>
      </c>
      <c r="G404" s="13">
        <f t="shared" si="7"/>
        <v>2183.98</v>
      </c>
    </row>
    <row r="405" spans="1:7" x14ac:dyDescent="0.25">
      <c r="A405">
        <v>10453</v>
      </c>
      <c r="B405" s="12">
        <v>44983</v>
      </c>
      <c r="C405" t="s">
        <v>14</v>
      </c>
      <c r="D405" t="s">
        <v>18</v>
      </c>
      <c r="E405" s="13">
        <v>407.7</v>
      </c>
      <c r="F405" s="13">
        <v>40.770000000000003</v>
      </c>
      <c r="G405" s="13">
        <f t="shared" si="7"/>
        <v>448.46999999999997</v>
      </c>
    </row>
    <row r="406" spans="1:7" x14ac:dyDescent="0.25">
      <c r="A406">
        <v>10454</v>
      </c>
      <c r="B406" s="12">
        <v>44982</v>
      </c>
      <c r="C406" t="s">
        <v>14</v>
      </c>
      <c r="D406" t="s">
        <v>22</v>
      </c>
      <c r="E406" s="13">
        <v>331.2</v>
      </c>
      <c r="F406" s="13">
        <v>33.119999999999997</v>
      </c>
      <c r="G406" s="13">
        <f t="shared" si="7"/>
        <v>364.32</v>
      </c>
    </row>
    <row r="407" spans="1:7" x14ac:dyDescent="0.25">
      <c r="A407">
        <v>10455</v>
      </c>
      <c r="B407" s="12">
        <v>44988</v>
      </c>
      <c r="C407" t="s">
        <v>14</v>
      </c>
      <c r="D407" t="s">
        <v>21</v>
      </c>
      <c r="E407" s="13">
        <v>2684</v>
      </c>
      <c r="F407" s="13">
        <v>214.72</v>
      </c>
      <c r="G407" s="13">
        <f t="shared" si="7"/>
        <v>2898.72</v>
      </c>
    </row>
    <row r="408" spans="1:7" x14ac:dyDescent="0.25">
      <c r="A408">
        <v>10456</v>
      </c>
      <c r="B408" s="12">
        <v>44985</v>
      </c>
      <c r="C408" t="s">
        <v>14</v>
      </c>
      <c r="D408" t="s">
        <v>21</v>
      </c>
      <c r="E408" s="13">
        <v>557.6</v>
      </c>
      <c r="F408" s="13">
        <v>55.760000000000005</v>
      </c>
      <c r="G408" s="13">
        <f t="shared" si="7"/>
        <v>613.36</v>
      </c>
    </row>
    <row r="409" spans="1:7" x14ac:dyDescent="0.25">
      <c r="A409">
        <v>10457</v>
      </c>
      <c r="B409" s="12">
        <v>44988</v>
      </c>
      <c r="C409" t="s">
        <v>14</v>
      </c>
      <c r="D409" t="s">
        <v>15</v>
      </c>
      <c r="E409" s="13">
        <v>1584</v>
      </c>
      <c r="F409" s="13">
        <v>158.4</v>
      </c>
      <c r="G409" s="13">
        <f t="shared" si="7"/>
        <v>1742.4</v>
      </c>
    </row>
    <row r="410" spans="1:7" x14ac:dyDescent="0.25">
      <c r="A410">
        <v>10458</v>
      </c>
      <c r="B410" s="12">
        <v>44989</v>
      </c>
      <c r="C410" t="s">
        <v>17</v>
      </c>
      <c r="D410" t="s">
        <v>23</v>
      </c>
      <c r="E410" s="13">
        <v>3891</v>
      </c>
      <c r="F410" s="13">
        <v>311.28000000000003</v>
      </c>
      <c r="G410" s="13">
        <f t="shared" si="7"/>
        <v>4202.28</v>
      </c>
    </row>
    <row r="411" spans="1:7" x14ac:dyDescent="0.25">
      <c r="A411">
        <v>10459</v>
      </c>
      <c r="B411" s="12">
        <v>44985</v>
      </c>
      <c r="C411" t="s">
        <v>14</v>
      </c>
      <c r="D411" t="s">
        <v>22</v>
      </c>
      <c r="E411" s="13">
        <v>1659.2</v>
      </c>
      <c r="F411" s="13">
        <v>165.92000000000002</v>
      </c>
      <c r="G411" s="13">
        <f t="shared" si="7"/>
        <v>1825.1200000000001</v>
      </c>
    </row>
    <row r="412" spans="1:7" x14ac:dyDescent="0.25">
      <c r="A412">
        <v>10460</v>
      </c>
      <c r="B412" s="12">
        <v>44988</v>
      </c>
      <c r="C412" t="s">
        <v>14</v>
      </c>
      <c r="D412" t="s">
        <v>21</v>
      </c>
      <c r="E412" s="13">
        <v>176.1</v>
      </c>
      <c r="F412" s="13">
        <v>17.61</v>
      </c>
      <c r="G412" s="13">
        <f t="shared" si="7"/>
        <v>193.70999999999998</v>
      </c>
    </row>
    <row r="413" spans="1:7" x14ac:dyDescent="0.25">
      <c r="A413">
        <v>10461</v>
      </c>
      <c r="B413" s="12">
        <v>44990</v>
      </c>
      <c r="C413" t="s">
        <v>14</v>
      </c>
      <c r="D413" t="s">
        <v>18</v>
      </c>
      <c r="E413" s="13">
        <v>1538.7</v>
      </c>
      <c r="F413" s="13">
        <v>153.87</v>
      </c>
      <c r="G413" s="13">
        <f t="shared" si="7"/>
        <v>1692.5700000000002</v>
      </c>
    </row>
    <row r="414" spans="1:7" x14ac:dyDescent="0.25">
      <c r="A414">
        <v>10462</v>
      </c>
      <c r="B414" s="12">
        <v>45003</v>
      </c>
      <c r="C414" t="s">
        <v>14</v>
      </c>
      <c r="D414" t="s">
        <v>15</v>
      </c>
      <c r="E414" s="13">
        <v>156</v>
      </c>
      <c r="F414" s="13">
        <v>15.600000000000001</v>
      </c>
      <c r="G414" s="13">
        <f t="shared" si="7"/>
        <v>171.6</v>
      </c>
    </row>
    <row r="415" spans="1:7" x14ac:dyDescent="0.25">
      <c r="A415">
        <v>10463</v>
      </c>
      <c r="B415" s="12">
        <v>44991</v>
      </c>
      <c r="C415" t="s">
        <v>17</v>
      </c>
      <c r="D415" t="s">
        <v>20</v>
      </c>
      <c r="E415" s="13">
        <v>713.3</v>
      </c>
      <c r="F415" s="13">
        <v>64.196999999999989</v>
      </c>
      <c r="G415" s="13">
        <f t="shared" si="7"/>
        <v>777.49699999999996</v>
      </c>
    </row>
    <row r="416" spans="1:7" x14ac:dyDescent="0.25">
      <c r="A416">
        <v>10464</v>
      </c>
      <c r="B416" s="12">
        <v>44999</v>
      </c>
      <c r="C416" t="s">
        <v>14</v>
      </c>
      <c r="D416" t="s">
        <v>22</v>
      </c>
      <c r="E416" s="13">
        <v>1609.28</v>
      </c>
      <c r="F416" s="13">
        <v>160.928</v>
      </c>
      <c r="G416" s="13">
        <f t="shared" si="7"/>
        <v>1770.2080000000001</v>
      </c>
    </row>
    <row r="417" spans="1:7" x14ac:dyDescent="0.25">
      <c r="A417">
        <v>10465</v>
      </c>
      <c r="B417" s="12">
        <v>44999</v>
      </c>
      <c r="C417" t="s">
        <v>14</v>
      </c>
      <c r="D417" t="s">
        <v>18</v>
      </c>
      <c r="E417" s="13">
        <v>2518</v>
      </c>
      <c r="F417" s="13">
        <v>201.44</v>
      </c>
      <c r="G417" s="13">
        <f t="shared" si="7"/>
        <v>2719.44</v>
      </c>
    </row>
    <row r="418" spans="1:7" x14ac:dyDescent="0.25">
      <c r="A418">
        <v>10466</v>
      </c>
      <c r="B418" s="12">
        <v>44998</v>
      </c>
      <c r="C418" t="s">
        <v>14</v>
      </c>
      <c r="D418" t="s">
        <v>22</v>
      </c>
      <c r="E418" s="13">
        <v>216</v>
      </c>
      <c r="F418" s="13">
        <v>21.6</v>
      </c>
      <c r="G418" s="13">
        <f t="shared" si="7"/>
        <v>237.6</v>
      </c>
    </row>
    <row r="419" spans="1:7" x14ac:dyDescent="0.25">
      <c r="A419">
        <v>10467</v>
      </c>
      <c r="B419" s="12">
        <v>44996</v>
      </c>
      <c r="C419" t="s">
        <v>14</v>
      </c>
      <c r="D419" t="s">
        <v>21</v>
      </c>
      <c r="E419" s="13">
        <v>235.2</v>
      </c>
      <c r="F419" s="13">
        <v>23.52</v>
      </c>
      <c r="G419" s="13">
        <f t="shared" si="7"/>
        <v>258.71999999999997</v>
      </c>
    </row>
    <row r="420" spans="1:7" x14ac:dyDescent="0.25">
      <c r="A420">
        <v>10468</v>
      </c>
      <c r="B420" s="12">
        <v>44997</v>
      </c>
      <c r="C420" t="s">
        <v>14</v>
      </c>
      <c r="D420" t="s">
        <v>24</v>
      </c>
      <c r="E420" s="13">
        <v>717.6</v>
      </c>
      <c r="F420" s="13">
        <v>71.760000000000005</v>
      </c>
      <c r="G420" s="13">
        <f t="shared" si="7"/>
        <v>789.36</v>
      </c>
    </row>
    <row r="421" spans="1:7" x14ac:dyDescent="0.25">
      <c r="A421">
        <v>10469</v>
      </c>
      <c r="B421" s="12">
        <v>44999</v>
      </c>
      <c r="C421" t="s">
        <v>14</v>
      </c>
      <c r="D421" t="s">
        <v>18</v>
      </c>
      <c r="E421" s="13">
        <v>956.67</v>
      </c>
      <c r="F421" s="13">
        <v>95.667000000000002</v>
      </c>
      <c r="G421" s="13">
        <f t="shared" si="7"/>
        <v>1052.337</v>
      </c>
    </row>
    <row r="422" spans="1:7" x14ac:dyDescent="0.25">
      <c r="A422">
        <v>10470</v>
      </c>
      <c r="B422" s="12">
        <v>44999</v>
      </c>
      <c r="C422" t="s">
        <v>14</v>
      </c>
      <c r="D422" t="s">
        <v>22</v>
      </c>
      <c r="E422" s="13">
        <v>1820.8</v>
      </c>
      <c r="F422" s="13">
        <v>182.08</v>
      </c>
      <c r="G422" s="13">
        <f t="shared" si="7"/>
        <v>2002.8799999999999</v>
      </c>
    </row>
    <row r="423" spans="1:7" x14ac:dyDescent="0.25">
      <c r="A423">
        <v>10471</v>
      </c>
      <c r="B423" s="12">
        <v>45003</v>
      </c>
      <c r="C423" t="s">
        <v>14</v>
      </c>
      <c r="D423" t="s">
        <v>15</v>
      </c>
      <c r="E423" s="13">
        <v>1328</v>
      </c>
      <c r="F423" s="13">
        <v>132.80000000000001</v>
      </c>
      <c r="G423" s="13">
        <f t="shared" si="7"/>
        <v>1460.8</v>
      </c>
    </row>
    <row r="424" spans="1:7" x14ac:dyDescent="0.25">
      <c r="A424">
        <v>10472</v>
      </c>
      <c r="B424" s="12">
        <v>45004</v>
      </c>
      <c r="C424" t="s">
        <v>14</v>
      </c>
      <c r="D424" t="s">
        <v>21</v>
      </c>
      <c r="E424" s="13">
        <v>1036.8</v>
      </c>
      <c r="F424" s="13">
        <v>103.68</v>
      </c>
      <c r="G424" s="13">
        <f t="shared" si="7"/>
        <v>1140.48</v>
      </c>
    </row>
    <row r="425" spans="1:7" x14ac:dyDescent="0.25">
      <c r="A425">
        <v>10473</v>
      </c>
      <c r="B425" s="12">
        <v>45006</v>
      </c>
      <c r="C425" t="s">
        <v>14</v>
      </c>
      <c r="D425" t="s">
        <v>18</v>
      </c>
      <c r="E425" s="13">
        <v>230.4</v>
      </c>
      <c r="F425" s="13">
        <v>23.040000000000003</v>
      </c>
      <c r="G425" s="13">
        <f t="shared" si="7"/>
        <v>253.44</v>
      </c>
    </row>
    <row r="426" spans="1:7" x14ac:dyDescent="0.25">
      <c r="A426">
        <v>10474</v>
      </c>
      <c r="B426" s="12">
        <v>45006</v>
      </c>
      <c r="C426" t="s">
        <v>17</v>
      </c>
      <c r="D426" t="s">
        <v>20</v>
      </c>
      <c r="E426" s="13">
        <v>1249.0999999999999</v>
      </c>
      <c r="F426" s="13">
        <v>112.41899999999998</v>
      </c>
      <c r="G426" s="13">
        <f t="shared" si="7"/>
        <v>1361.5189999999998</v>
      </c>
    </row>
    <row r="427" spans="1:7" x14ac:dyDescent="0.25">
      <c r="A427">
        <v>10475</v>
      </c>
      <c r="B427" s="12">
        <v>45020</v>
      </c>
      <c r="C427" t="s">
        <v>17</v>
      </c>
      <c r="D427" t="s">
        <v>16</v>
      </c>
      <c r="E427" s="13">
        <v>1505.18</v>
      </c>
      <c r="F427" s="13">
        <v>135.46620000000001</v>
      </c>
      <c r="G427" s="13">
        <f t="shared" si="7"/>
        <v>1640.6462000000001</v>
      </c>
    </row>
    <row r="428" spans="1:7" x14ac:dyDescent="0.25">
      <c r="A428">
        <v>10476</v>
      </c>
      <c r="B428" s="12">
        <v>45009</v>
      </c>
      <c r="C428" t="s">
        <v>14</v>
      </c>
      <c r="D428" t="s">
        <v>21</v>
      </c>
      <c r="E428" s="13">
        <v>180.48</v>
      </c>
      <c r="F428" s="13">
        <v>18.047999999999998</v>
      </c>
      <c r="G428" s="13">
        <f t="shared" si="7"/>
        <v>198.52799999999999</v>
      </c>
    </row>
    <row r="429" spans="1:7" x14ac:dyDescent="0.25">
      <c r="A429">
        <v>10477</v>
      </c>
      <c r="B429" s="12">
        <v>45010</v>
      </c>
      <c r="C429" t="s">
        <v>17</v>
      </c>
      <c r="D429" t="s">
        <v>20</v>
      </c>
      <c r="E429" s="13">
        <v>558</v>
      </c>
      <c r="F429" s="13">
        <v>50.22</v>
      </c>
      <c r="G429" s="13">
        <f t="shared" si="7"/>
        <v>608.22</v>
      </c>
    </row>
    <row r="430" spans="1:7" x14ac:dyDescent="0.25">
      <c r="A430">
        <v>10478</v>
      </c>
      <c r="B430" s="12">
        <v>45011</v>
      </c>
      <c r="C430" t="s">
        <v>14</v>
      </c>
      <c r="D430" t="s">
        <v>15</v>
      </c>
      <c r="E430" s="13">
        <v>471.2</v>
      </c>
      <c r="F430" s="13">
        <v>47.120000000000005</v>
      </c>
      <c r="G430" s="13">
        <f t="shared" si="7"/>
        <v>518.31999999999994</v>
      </c>
    </row>
    <row r="431" spans="1:7" x14ac:dyDescent="0.25">
      <c r="A431">
        <v>10479</v>
      </c>
      <c r="B431" s="12">
        <v>45006</v>
      </c>
      <c r="C431" t="s">
        <v>14</v>
      </c>
      <c r="D431" t="s">
        <v>24</v>
      </c>
      <c r="E431" s="13">
        <v>10495.6</v>
      </c>
      <c r="F431" s="13">
        <v>524.78000000000009</v>
      </c>
      <c r="G431" s="13">
        <f t="shared" si="7"/>
        <v>11020.380000000001</v>
      </c>
    </row>
    <row r="432" spans="1:7" x14ac:dyDescent="0.25">
      <c r="A432">
        <v>10480</v>
      </c>
      <c r="B432" s="12">
        <v>45009</v>
      </c>
      <c r="C432" t="s">
        <v>17</v>
      </c>
      <c r="D432" t="s">
        <v>19</v>
      </c>
      <c r="E432" s="13">
        <v>756</v>
      </c>
      <c r="F432" s="13">
        <v>68.039999999999992</v>
      </c>
      <c r="G432" s="13">
        <f t="shared" si="7"/>
        <v>824.04</v>
      </c>
    </row>
    <row r="433" spans="1:7" x14ac:dyDescent="0.25">
      <c r="A433">
        <v>10481</v>
      </c>
      <c r="B433" s="12">
        <v>45010</v>
      </c>
      <c r="C433" t="s">
        <v>14</v>
      </c>
      <c r="D433" t="s">
        <v>21</v>
      </c>
      <c r="E433" s="13">
        <v>1472</v>
      </c>
      <c r="F433" s="13">
        <v>147.20000000000002</v>
      </c>
      <c r="G433" s="13">
        <f t="shared" si="7"/>
        <v>1619.2</v>
      </c>
    </row>
    <row r="434" spans="1:7" x14ac:dyDescent="0.25">
      <c r="A434">
        <v>10482</v>
      </c>
      <c r="B434" s="12">
        <v>45026</v>
      </c>
      <c r="C434" t="s">
        <v>14</v>
      </c>
      <c r="D434" t="s">
        <v>18</v>
      </c>
      <c r="E434" s="13">
        <v>147</v>
      </c>
      <c r="F434" s="13">
        <v>14.700000000000001</v>
      </c>
      <c r="G434" s="13">
        <f t="shared" si="7"/>
        <v>161.69999999999999</v>
      </c>
    </row>
    <row r="435" spans="1:7" x14ac:dyDescent="0.25">
      <c r="A435">
        <v>10483</v>
      </c>
      <c r="B435" s="12">
        <v>45041</v>
      </c>
      <c r="C435" t="s">
        <v>17</v>
      </c>
      <c r="D435" t="s">
        <v>23</v>
      </c>
      <c r="E435" s="13">
        <v>668.8</v>
      </c>
      <c r="F435" s="13">
        <v>60.191999999999993</v>
      </c>
      <c r="G435" s="13">
        <f t="shared" si="7"/>
        <v>728.99199999999996</v>
      </c>
    </row>
    <row r="436" spans="1:7" x14ac:dyDescent="0.25">
      <c r="A436">
        <v>10484</v>
      </c>
      <c r="B436" s="12">
        <v>45017</v>
      </c>
      <c r="C436" t="s">
        <v>14</v>
      </c>
      <c r="D436" t="s">
        <v>24</v>
      </c>
      <c r="E436" s="13">
        <v>386.2</v>
      </c>
      <c r="F436" s="13">
        <v>38.620000000000005</v>
      </c>
      <c r="G436" s="13">
        <f t="shared" si="7"/>
        <v>424.82</v>
      </c>
    </row>
    <row r="437" spans="1:7" x14ac:dyDescent="0.25">
      <c r="A437">
        <v>10485</v>
      </c>
      <c r="B437" s="12">
        <v>45016</v>
      </c>
      <c r="C437" t="s">
        <v>14</v>
      </c>
      <c r="D437" t="s">
        <v>22</v>
      </c>
      <c r="E437" s="13">
        <v>1584</v>
      </c>
      <c r="F437" s="13">
        <v>158.4</v>
      </c>
      <c r="G437" s="13">
        <f t="shared" si="7"/>
        <v>1742.4</v>
      </c>
    </row>
    <row r="438" spans="1:7" x14ac:dyDescent="0.25">
      <c r="A438">
        <v>10486</v>
      </c>
      <c r="B438" s="12">
        <v>45018</v>
      </c>
      <c r="C438" t="s">
        <v>14</v>
      </c>
      <c r="D438" t="s">
        <v>18</v>
      </c>
      <c r="E438" s="13">
        <v>1272</v>
      </c>
      <c r="F438" s="13">
        <v>127.2</v>
      </c>
      <c r="G438" s="13">
        <f t="shared" si="7"/>
        <v>1399.2</v>
      </c>
    </row>
    <row r="439" spans="1:7" x14ac:dyDescent="0.25">
      <c r="A439">
        <v>10487</v>
      </c>
      <c r="B439" s="12">
        <v>45013</v>
      </c>
      <c r="C439" t="s">
        <v>14</v>
      </c>
      <c r="D439" t="s">
        <v>15</v>
      </c>
      <c r="E439" s="13">
        <v>889.7</v>
      </c>
      <c r="F439" s="13">
        <v>88.970000000000013</v>
      </c>
      <c r="G439" s="13">
        <f t="shared" si="7"/>
        <v>978.67000000000007</v>
      </c>
    </row>
    <row r="440" spans="1:7" x14ac:dyDescent="0.25">
      <c r="A440">
        <v>10488</v>
      </c>
      <c r="B440" s="12">
        <v>45018</v>
      </c>
      <c r="C440" t="s">
        <v>14</v>
      </c>
      <c r="D440" t="s">
        <v>21</v>
      </c>
      <c r="E440" s="13">
        <v>1512</v>
      </c>
      <c r="F440" s="13">
        <v>151.20000000000002</v>
      </c>
      <c r="G440" s="13">
        <f t="shared" si="7"/>
        <v>1663.2</v>
      </c>
    </row>
    <row r="441" spans="1:7" x14ac:dyDescent="0.25">
      <c r="A441">
        <v>10489</v>
      </c>
      <c r="B441" s="12">
        <v>45025</v>
      </c>
      <c r="C441" t="s">
        <v>17</v>
      </c>
      <c r="D441" t="s">
        <v>19</v>
      </c>
      <c r="E441" s="13">
        <v>439.2</v>
      </c>
      <c r="F441" s="13">
        <v>39.527999999999999</v>
      </c>
      <c r="G441" s="13">
        <f t="shared" si="7"/>
        <v>478.72800000000001</v>
      </c>
    </row>
    <row r="442" spans="1:7" x14ac:dyDescent="0.25">
      <c r="A442">
        <v>10490</v>
      </c>
      <c r="B442" s="12">
        <v>45019</v>
      </c>
      <c r="C442" t="s">
        <v>17</v>
      </c>
      <c r="D442" t="s">
        <v>23</v>
      </c>
      <c r="E442" s="13">
        <v>3163.2</v>
      </c>
      <c r="F442" s="13">
        <v>253.05599999999998</v>
      </c>
      <c r="G442" s="13">
        <f t="shared" si="7"/>
        <v>3416.2559999999999</v>
      </c>
    </row>
    <row r="443" spans="1:7" x14ac:dyDescent="0.25">
      <c r="A443">
        <v>10491</v>
      </c>
      <c r="B443" s="12">
        <v>45024</v>
      </c>
      <c r="C443" t="s">
        <v>14</v>
      </c>
      <c r="D443" t="s">
        <v>21</v>
      </c>
      <c r="E443" s="13">
        <v>259.5</v>
      </c>
      <c r="F443" s="13">
        <v>25.950000000000003</v>
      </c>
      <c r="G443" s="13">
        <f t="shared" si="7"/>
        <v>285.45</v>
      </c>
    </row>
    <row r="444" spans="1:7" x14ac:dyDescent="0.25">
      <c r="A444">
        <v>10492</v>
      </c>
      <c r="B444" s="12">
        <v>45027</v>
      </c>
      <c r="C444" t="s">
        <v>14</v>
      </c>
      <c r="D444" t="s">
        <v>24</v>
      </c>
      <c r="E444" s="13">
        <v>851.2</v>
      </c>
      <c r="F444" s="13">
        <v>85.12</v>
      </c>
      <c r="G444" s="13">
        <f t="shared" si="7"/>
        <v>936.32</v>
      </c>
    </row>
    <row r="445" spans="1:7" x14ac:dyDescent="0.25">
      <c r="A445">
        <v>10493</v>
      </c>
      <c r="B445" s="12">
        <v>45026</v>
      </c>
      <c r="C445" t="s">
        <v>14</v>
      </c>
      <c r="D445" t="s">
        <v>22</v>
      </c>
      <c r="E445" s="13">
        <v>608.4</v>
      </c>
      <c r="F445" s="13">
        <v>60.84</v>
      </c>
      <c r="G445" s="13">
        <f t="shared" si="7"/>
        <v>669.24</v>
      </c>
    </row>
    <row r="446" spans="1:7" x14ac:dyDescent="0.25">
      <c r="A446">
        <v>10494</v>
      </c>
      <c r="B446" s="12">
        <v>45025</v>
      </c>
      <c r="C446" t="s">
        <v>14</v>
      </c>
      <c r="D446" t="s">
        <v>22</v>
      </c>
      <c r="E446" s="13">
        <v>912</v>
      </c>
      <c r="F446" s="13">
        <v>91.2</v>
      </c>
      <c r="G446" s="13">
        <f t="shared" si="7"/>
        <v>1003.2</v>
      </c>
    </row>
    <row r="447" spans="1:7" x14ac:dyDescent="0.25">
      <c r="A447">
        <v>10495</v>
      </c>
      <c r="B447" s="12">
        <v>45027</v>
      </c>
      <c r="C447" t="s">
        <v>14</v>
      </c>
      <c r="D447" t="s">
        <v>24</v>
      </c>
      <c r="E447" s="13">
        <v>278</v>
      </c>
      <c r="F447" s="13">
        <v>27.8</v>
      </c>
      <c r="G447" s="13">
        <f t="shared" si="7"/>
        <v>305.8</v>
      </c>
    </row>
    <row r="448" spans="1:7" x14ac:dyDescent="0.25">
      <c r="A448">
        <v>10496</v>
      </c>
      <c r="B448" s="12">
        <v>45023</v>
      </c>
      <c r="C448" t="s">
        <v>17</v>
      </c>
      <c r="D448" t="s">
        <v>23</v>
      </c>
      <c r="E448" s="13">
        <v>190</v>
      </c>
      <c r="F448" s="13">
        <v>17.099999999999998</v>
      </c>
      <c r="G448" s="13">
        <f t="shared" si="7"/>
        <v>207.1</v>
      </c>
    </row>
    <row r="449" spans="1:7" x14ac:dyDescent="0.25">
      <c r="A449">
        <v>10497</v>
      </c>
      <c r="B449" s="12">
        <v>45023</v>
      </c>
      <c r="C449" t="s">
        <v>17</v>
      </c>
      <c r="D449" t="s">
        <v>23</v>
      </c>
      <c r="E449" s="13">
        <v>1380.6</v>
      </c>
      <c r="F449" s="13">
        <v>124.25399999999999</v>
      </c>
      <c r="G449" s="13">
        <f t="shared" si="7"/>
        <v>1504.8539999999998</v>
      </c>
    </row>
    <row r="450" spans="1:7" x14ac:dyDescent="0.25">
      <c r="A450">
        <v>10498</v>
      </c>
      <c r="B450" s="12">
        <v>45027</v>
      </c>
      <c r="C450" t="s">
        <v>14</v>
      </c>
      <c r="D450" t="s">
        <v>21</v>
      </c>
      <c r="E450" s="13">
        <v>575</v>
      </c>
      <c r="F450" s="13">
        <v>57.5</v>
      </c>
      <c r="G450" s="13">
        <f t="shared" si="7"/>
        <v>632.5</v>
      </c>
    </row>
    <row r="451" spans="1:7" x14ac:dyDescent="0.25">
      <c r="A451">
        <v>10499</v>
      </c>
      <c r="B451" s="12">
        <v>45032</v>
      </c>
      <c r="C451" t="s">
        <v>14</v>
      </c>
      <c r="D451" t="s">
        <v>22</v>
      </c>
      <c r="E451" s="13">
        <v>1412</v>
      </c>
      <c r="F451" s="13">
        <v>141.20000000000002</v>
      </c>
      <c r="G451" s="13">
        <f t="shared" si="7"/>
        <v>1553.2</v>
      </c>
    </row>
    <row r="452" spans="1:7" x14ac:dyDescent="0.25">
      <c r="A452">
        <v>10500</v>
      </c>
      <c r="B452" s="12">
        <v>45033</v>
      </c>
      <c r="C452" t="s">
        <v>17</v>
      </c>
      <c r="D452" t="s">
        <v>19</v>
      </c>
      <c r="E452" s="13">
        <v>523.26</v>
      </c>
      <c r="F452" s="13">
        <v>47.093399999999995</v>
      </c>
      <c r="G452" s="13">
        <f t="shared" si="7"/>
        <v>570.35339999999997</v>
      </c>
    </row>
    <row r="453" spans="1:7" x14ac:dyDescent="0.25">
      <c r="A453">
        <v>10501</v>
      </c>
      <c r="B453" s="12">
        <v>45032</v>
      </c>
      <c r="C453" t="s">
        <v>17</v>
      </c>
      <c r="D453" t="s">
        <v>16</v>
      </c>
      <c r="E453" s="13">
        <v>149</v>
      </c>
      <c r="F453" s="13">
        <v>13.41</v>
      </c>
      <c r="G453" s="13">
        <f t="shared" ref="G453:G516" si="8">SUM(E453:F453)</f>
        <v>162.41</v>
      </c>
    </row>
    <row r="454" spans="1:7" x14ac:dyDescent="0.25">
      <c r="A454">
        <v>10502</v>
      </c>
      <c r="B454" s="12">
        <v>45045</v>
      </c>
      <c r="C454" t="s">
        <v>14</v>
      </c>
      <c r="D454" t="s">
        <v>15</v>
      </c>
      <c r="E454" s="13">
        <v>816.3</v>
      </c>
      <c r="F454" s="13">
        <v>81.63</v>
      </c>
      <c r="G454" s="13">
        <f t="shared" si="8"/>
        <v>897.93</v>
      </c>
    </row>
    <row r="455" spans="1:7" x14ac:dyDescent="0.25">
      <c r="A455">
        <v>10503</v>
      </c>
      <c r="B455" s="12">
        <v>45032</v>
      </c>
      <c r="C455" t="s">
        <v>17</v>
      </c>
      <c r="D455" t="s">
        <v>19</v>
      </c>
      <c r="E455" s="13">
        <v>2048.5</v>
      </c>
      <c r="F455" s="13">
        <v>184.36499999999998</v>
      </c>
      <c r="G455" s="13">
        <f t="shared" si="8"/>
        <v>2232.8649999999998</v>
      </c>
    </row>
    <row r="456" spans="1:7" x14ac:dyDescent="0.25">
      <c r="A456">
        <v>10504</v>
      </c>
      <c r="B456" s="12">
        <v>45034</v>
      </c>
      <c r="C456" t="s">
        <v>14</v>
      </c>
      <c r="D456" t="s">
        <v>22</v>
      </c>
      <c r="E456" s="13">
        <v>1388.5</v>
      </c>
      <c r="F456" s="13">
        <v>138.85</v>
      </c>
      <c r="G456" s="13">
        <f t="shared" si="8"/>
        <v>1527.35</v>
      </c>
    </row>
    <row r="457" spans="1:7" x14ac:dyDescent="0.25">
      <c r="A457">
        <v>10505</v>
      </c>
      <c r="B457" s="12">
        <v>45037</v>
      </c>
      <c r="C457" t="s">
        <v>14</v>
      </c>
      <c r="D457" t="s">
        <v>24</v>
      </c>
      <c r="E457" s="13">
        <v>147.9</v>
      </c>
      <c r="F457" s="13">
        <v>14.790000000000001</v>
      </c>
      <c r="G457" s="13">
        <f t="shared" si="8"/>
        <v>162.69</v>
      </c>
    </row>
    <row r="458" spans="1:7" x14ac:dyDescent="0.25">
      <c r="A458">
        <v>10506</v>
      </c>
      <c r="B458" s="12">
        <v>45048</v>
      </c>
      <c r="C458" t="s">
        <v>17</v>
      </c>
      <c r="D458" t="s">
        <v>16</v>
      </c>
      <c r="E458" s="13">
        <v>415.8</v>
      </c>
      <c r="F458" s="13">
        <v>37.421999999999997</v>
      </c>
      <c r="G458" s="13">
        <f t="shared" si="8"/>
        <v>453.22199999999998</v>
      </c>
    </row>
    <row r="459" spans="1:7" x14ac:dyDescent="0.25">
      <c r="A459">
        <v>10507</v>
      </c>
      <c r="B459" s="12">
        <v>45038</v>
      </c>
      <c r="C459" t="s">
        <v>17</v>
      </c>
      <c r="D459" t="s">
        <v>23</v>
      </c>
      <c r="E459" s="13">
        <v>749.06</v>
      </c>
      <c r="F459" s="13">
        <v>67.415399999999991</v>
      </c>
      <c r="G459" s="13">
        <f t="shared" si="8"/>
        <v>816.47539999999992</v>
      </c>
    </row>
    <row r="460" spans="1:7" x14ac:dyDescent="0.25">
      <c r="A460">
        <v>10508</v>
      </c>
      <c r="B460" s="12">
        <v>45059</v>
      </c>
      <c r="C460" t="s">
        <v>14</v>
      </c>
      <c r="D460" t="s">
        <v>18</v>
      </c>
      <c r="E460" s="13">
        <v>240</v>
      </c>
      <c r="F460" s="13">
        <v>24</v>
      </c>
      <c r="G460" s="13">
        <f t="shared" si="8"/>
        <v>264</v>
      </c>
    </row>
    <row r="461" spans="1:7" x14ac:dyDescent="0.25">
      <c r="A461">
        <v>10509</v>
      </c>
      <c r="B461" s="12">
        <v>45045</v>
      </c>
      <c r="C461" t="s">
        <v>14</v>
      </c>
      <c r="D461" t="s">
        <v>22</v>
      </c>
      <c r="E461" s="13">
        <v>136.80000000000001</v>
      </c>
      <c r="F461" s="13">
        <v>13.680000000000001</v>
      </c>
      <c r="G461" s="13">
        <f t="shared" si="8"/>
        <v>150.48000000000002</v>
      </c>
    </row>
    <row r="462" spans="1:7" x14ac:dyDescent="0.25">
      <c r="A462">
        <v>10510</v>
      </c>
      <c r="B462" s="12">
        <v>45044</v>
      </c>
      <c r="C462" t="s">
        <v>17</v>
      </c>
      <c r="D462" t="s">
        <v>19</v>
      </c>
      <c r="E462" s="13">
        <v>4707.54</v>
      </c>
      <c r="F462" s="13">
        <v>376.60320000000002</v>
      </c>
      <c r="G462" s="13">
        <f t="shared" si="8"/>
        <v>5084.1432000000004</v>
      </c>
    </row>
    <row r="463" spans="1:7" x14ac:dyDescent="0.25">
      <c r="A463">
        <v>10511</v>
      </c>
      <c r="B463" s="12">
        <v>45037</v>
      </c>
      <c r="C463" t="s">
        <v>14</v>
      </c>
      <c r="D463" t="s">
        <v>22</v>
      </c>
      <c r="E463" s="13">
        <v>2550</v>
      </c>
      <c r="F463" s="13">
        <v>204</v>
      </c>
      <c r="G463" s="13">
        <f t="shared" si="8"/>
        <v>2754</v>
      </c>
    </row>
    <row r="464" spans="1:7" x14ac:dyDescent="0.25">
      <c r="A464">
        <v>10512</v>
      </c>
      <c r="B464" s="12">
        <v>45040</v>
      </c>
      <c r="C464" t="s">
        <v>17</v>
      </c>
      <c r="D464" t="s">
        <v>23</v>
      </c>
      <c r="E464" s="13">
        <v>525.29999999999995</v>
      </c>
      <c r="F464" s="13">
        <v>47.276999999999994</v>
      </c>
      <c r="G464" s="13">
        <f t="shared" si="8"/>
        <v>572.577</v>
      </c>
    </row>
    <row r="465" spans="1:7" x14ac:dyDescent="0.25">
      <c r="A465">
        <v>10513</v>
      </c>
      <c r="B465" s="12">
        <v>45044</v>
      </c>
      <c r="C465" t="s">
        <v>17</v>
      </c>
      <c r="D465" t="s">
        <v>23</v>
      </c>
      <c r="E465" s="13">
        <v>1942</v>
      </c>
      <c r="F465" s="13">
        <v>174.78</v>
      </c>
      <c r="G465" s="13">
        <f t="shared" si="8"/>
        <v>2116.7800000000002</v>
      </c>
    </row>
    <row r="466" spans="1:7" x14ac:dyDescent="0.25">
      <c r="A466">
        <v>10514</v>
      </c>
      <c r="B466" s="12">
        <v>45062</v>
      </c>
      <c r="C466" t="s">
        <v>14</v>
      </c>
      <c r="D466" t="s">
        <v>24</v>
      </c>
      <c r="E466" s="13">
        <v>8623.4500000000007</v>
      </c>
      <c r="F466" s="13">
        <v>431.17250000000007</v>
      </c>
      <c r="G466" s="13">
        <f t="shared" si="8"/>
        <v>9054.6225000000013</v>
      </c>
    </row>
    <row r="467" spans="1:7" x14ac:dyDescent="0.25">
      <c r="A467">
        <v>10515</v>
      </c>
      <c r="B467" s="12">
        <v>45069</v>
      </c>
      <c r="C467" t="s">
        <v>14</v>
      </c>
      <c r="D467" t="s">
        <v>15</v>
      </c>
      <c r="E467" s="13">
        <v>9921.2999999999993</v>
      </c>
      <c r="F467" s="13">
        <v>496.065</v>
      </c>
      <c r="G467" s="13">
        <f t="shared" si="8"/>
        <v>10417.365</v>
      </c>
    </row>
    <row r="468" spans="1:7" x14ac:dyDescent="0.25">
      <c r="A468">
        <v>10516</v>
      </c>
      <c r="B468" s="12">
        <v>45047</v>
      </c>
      <c r="C468" t="s">
        <v>14</v>
      </c>
      <c r="D468" t="s">
        <v>15</v>
      </c>
      <c r="E468" s="13">
        <v>2381.0500000000002</v>
      </c>
      <c r="F468" s="13">
        <v>190.48400000000001</v>
      </c>
      <c r="G468" s="13">
        <f t="shared" si="8"/>
        <v>2571.5340000000001</v>
      </c>
    </row>
    <row r="469" spans="1:7" x14ac:dyDescent="0.25">
      <c r="A469">
        <v>10517</v>
      </c>
      <c r="B469" s="12">
        <v>45045</v>
      </c>
      <c r="C469" t="s">
        <v>14</v>
      </c>
      <c r="D469" t="s">
        <v>24</v>
      </c>
      <c r="E469" s="13">
        <v>352</v>
      </c>
      <c r="F469" s="13">
        <v>35.200000000000003</v>
      </c>
      <c r="G469" s="13">
        <f t="shared" si="8"/>
        <v>387.2</v>
      </c>
    </row>
    <row r="470" spans="1:7" x14ac:dyDescent="0.25">
      <c r="A470">
        <v>10518</v>
      </c>
      <c r="B470" s="12">
        <v>45051</v>
      </c>
      <c r="C470" t="s">
        <v>14</v>
      </c>
      <c r="D470" t="s">
        <v>22</v>
      </c>
      <c r="E470" s="13">
        <v>4150.05</v>
      </c>
      <c r="F470" s="13">
        <v>332.00400000000002</v>
      </c>
      <c r="G470" s="13">
        <f t="shared" si="8"/>
        <v>4482.0540000000001</v>
      </c>
    </row>
    <row r="471" spans="1:7" x14ac:dyDescent="0.25">
      <c r="A471">
        <v>10519</v>
      </c>
      <c r="B471" s="12">
        <v>45047</v>
      </c>
      <c r="C471" t="s">
        <v>17</v>
      </c>
      <c r="D471" t="s">
        <v>19</v>
      </c>
      <c r="E471" s="13">
        <v>2314.1999999999998</v>
      </c>
      <c r="F471" s="13">
        <v>208.27799999999996</v>
      </c>
      <c r="G471" s="13">
        <f t="shared" si="8"/>
        <v>2522.4779999999996</v>
      </c>
    </row>
    <row r="472" spans="1:7" x14ac:dyDescent="0.25">
      <c r="A472">
        <v>10520</v>
      </c>
      <c r="B472" s="12">
        <v>45047</v>
      </c>
      <c r="C472" t="s">
        <v>17</v>
      </c>
      <c r="D472" t="s">
        <v>23</v>
      </c>
      <c r="E472" s="13">
        <v>200</v>
      </c>
      <c r="F472" s="13">
        <v>18</v>
      </c>
      <c r="G472" s="13">
        <f t="shared" si="8"/>
        <v>218</v>
      </c>
    </row>
    <row r="473" spans="1:7" x14ac:dyDescent="0.25">
      <c r="A473">
        <v>10521</v>
      </c>
      <c r="B473" s="12">
        <v>45048</v>
      </c>
      <c r="C473" t="s">
        <v>14</v>
      </c>
      <c r="D473" t="s">
        <v>21</v>
      </c>
      <c r="E473" s="13">
        <v>225.5</v>
      </c>
      <c r="F473" s="13">
        <v>22.55</v>
      </c>
      <c r="G473" s="13">
        <f t="shared" si="8"/>
        <v>248.05</v>
      </c>
    </row>
    <row r="474" spans="1:7" x14ac:dyDescent="0.25">
      <c r="A474">
        <v>10522</v>
      </c>
      <c r="B474" s="12">
        <v>45052</v>
      </c>
      <c r="C474" t="s">
        <v>14</v>
      </c>
      <c r="D474" t="s">
        <v>22</v>
      </c>
      <c r="E474" s="13">
        <v>2318.2399999999998</v>
      </c>
      <c r="F474" s="13">
        <v>185.45919999999998</v>
      </c>
      <c r="G474" s="13">
        <f t="shared" si="8"/>
        <v>2503.6991999999996</v>
      </c>
    </row>
    <row r="475" spans="1:7" x14ac:dyDescent="0.25">
      <c r="A475">
        <v>10523</v>
      </c>
      <c r="B475" s="12">
        <v>45076</v>
      </c>
      <c r="C475" t="s">
        <v>17</v>
      </c>
      <c r="D475" t="s">
        <v>23</v>
      </c>
      <c r="E475" s="13">
        <v>2444.31</v>
      </c>
      <c r="F475" s="13">
        <v>219.9879</v>
      </c>
      <c r="G475" s="13">
        <f t="shared" si="8"/>
        <v>2664.2979</v>
      </c>
    </row>
    <row r="476" spans="1:7" x14ac:dyDescent="0.25">
      <c r="A476">
        <v>10524</v>
      </c>
      <c r="B476" s="12">
        <v>45053</v>
      </c>
      <c r="C476" t="s">
        <v>14</v>
      </c>
      <c r="D476" t="s">
        <v>18</v>
      </c>
      <c r="E476" s="13">
        <v>3192.65</v>
      </c>
      <c r="F476" s="13">
        <v>255.41200000000001</v>
      </c>
      <c r="G476" s="13">
        <f t="shared" si="8"/>
        <v>3448.0619999999999</v>
      </c>
    </row>
    <row r="477" spans="1:7" x14ac:dyDescent="0.25">
      <c r="A477">
        <v>10525</v>
      </c>
      <c r="B477" s="12">
        <v>45069</v>
      </c>
      <c r="C477" t="s">
        <v>14</v>
      </c>
      <c r="D477" t="s">
        <v>18</v>
      </c>
      <c r="E477" s="13">
        <v>818.4</v>
      </c>
      <c r="F477" s="13">
        <v>81.84</v>
      </c>
      <c r="G477" s="13">
        <f t="shared" si="8"/>
        <v>900.24</v>
      </c>
    </row>
    <row r="478" spans="1:7" x14ac:dyDescent="0.25">
      <c r="A478">
        <v>10526</v>
      </c>
      <c r="B478" s="12">
        <v>45061</v>
      </c>
      <c r="C478" t="s">
        <v>14</v>
      </c>
      <c r="D478" t="s">
        <v>22</v>
      </c>
      <c r="E478" s="13">
        <v>1151.4000000000001</v>
      </c>
      <c r="F478" s="13">
        <v>115.14000000000001</v>
      </c>
      <c r="G478" s="13">
        <f t="shared" si="8"/>
        <v>1266.5400000000002</v>
      </c>
    </row>
    <row r="479" spans="1:7" x14ac:dyDescent="0.25">
      <c r="A479">
        <v>10527</v>
      </c>
      <c r="B479" s="12">
        <v>45053</v>
      </c>
      <c r="C479" t="s">
        <v>17</v>
      </c>
      <c r="D479" t="s">
        <v>23</v>
      </c>
      <c r="E479" s="13">
        <v>1503</v>
      </c>
      <c r="F479" s="13">
        <v>135.26999999999998</v>
      </c>
      <c r="G479" s="13">
        <f t="shared" si="8"/>
        <v>1638.27</v>
      </c>
    </row>
    <row r="480" spans="1:7" x14ac:dyDescent="0.25">
      <c r="A480">
        <v>10528</v>
      </c>
      <c r="B480" s="12">
        <v>45055</v>
      </c>
      <c r="C480" t="s">
        <v>17</v>
      </c>
      <c r="D480" t="s">
        <v>19</v>
      </c>
      <c r="E480" s="13">
        <v>392.2</v>
      </c>
      <c r="F480" s="13">
        <v>35.297999999999995</v>
      </c>
      <c r="G480" s="13">
        <f t="shared" si="8"/>
        <v>427.49799999999999</v>
      </c>
    </row>
    <row r="481" spans="1:7" x14ac:dyDescent="0.25">
      <c r="A481">
        <v>10529</v>
      </c>
      <c r="B481" s="12">
        <v>45055</v>
      </c>
      <c r="C481" t="s">
        <v>17</v>
      </c>
      <c r="D481" t="s">
        <v>20</v>
      </c>
      <c r="E481" s="13">
        <v>946</v>
      </c>
      <c r="F481" s="13">
        <v>85.14</v>
      </c>
      <c r="G481" s="13">
        <f t="shared" si="8"/>
        <v>1031.1400000000001</v>
      </c>
    </row>
    <row r="482" spans="1:7" x14ac:dyDescent="0.25">
      <c r="A482">
        <v>10530</v>
      </c>
      <c r="B482" s="12">
        <v>45058</v>
      </c>
      <c r="C482" t="s">
        <v>14</v>
      </c>
      <c r="D482" t="s">
        <v>24</v>
      </c>
      <c r="E482" s="13">
        <v>4180</v>
      </c>
      <c r="F482" s="13">
        <v>334.40000000000003</v>
      </c>
      <c r="G482" s="13">
        <f t="shared" si="8"/>
        <v>4514.3999999999996</v>
      </c>
    </row>
    <row r="483" spans="1:7" x14ac:dyDescent="0.25">
      <c r="A483">
        <v>10531</v>
      </c>
      <c r="B483" s="12">
        <v>45065</v>
      </c>
      <c r="C483" t="s">
        <v>17</v>
      </c>
      <c r="D483" t="s">
        <v>23</v>
      </c>
      <c r="E483" s="13">
        <v>110</v>
      </c>
      <c r="F483" s="13">
        <v>9.9</v>
      </c>
      <c r="G483" s="13">
        <f t="shared" si="8"/>
        <v>119.9</v>
      </c>
    </row>
    <row r="484" spans="1:7" x14ac:dyDescent="0.25">
      <c r="A484">
        <v>10532</v>
      </c>
      <c r="B484" s="12">
        <v>45058</v>
      </c>
      <c r="C484" t="s">
        <v>17</v>
      </c>
      <c r="D484" t="s">
        <v>23</v>
      </c>
      <c r="E484" s="13">
        <v>796.35</v>
      </c>
      <c r="F484" s="13">
        <v>71.671499999999995</v>
      </c>
      <c r="G484" s="13">
        <f t="shared" si="8"/>
        <v>868.02150000000006</v>
      </c>
    </row>
    <row r="485" spans="1:7" x14ac:dyDescent="0.25">
      <c r="A485">
        <v>10533</v>
      </c>
      <c r="B485" s="12">
        <v>45068</v>
      </c>
      <c r="C485" t="s">
        <v>14</v>
      </c>
      <c r="D485" t="s">
        <v>21</v>
      </c>
      <c r="E485" s="13">
        <v>2222.1999999999998</v>
      </c>
      <c r="F485" s="13">
        <v>177.77599999999998</v>
      </c>
      <c r="G485" s="13">
        <f t="shared" si="8"/>
        <v>2399.9759999999997</v>
      </c>
    </row>
    <row r="486" spans="1:7" x14ac:dyDescent="0.25">
      <c r="A486">
        <v>10534</v>
      </c>
      <c r="B486" s="12">
        <v>45060</v>
      </c>
      <c r="C486" t="s">
        <v>14</v>
      </c>
      <c r="D486" t="s">
        <v>21</v>
      </c>
      <c r="E486" s="13">
        <v>465.7</v>
      </c>
      <c r="F486" s="13">
        <v>46.57</v>
      </c>
      <c r="G486" s="13">
        <f t="shared" si="8"/>
        <v>512.27</v>
      </c>
    </row>
    <row r="487" spans="1:7" x14ac:dyDescent="0.25">
      <c r="A487">
        <v>10535</v>
      </c>
      <c r="B487" s="12">
        <v>45067</v>
      </c>
      <c r="C487" t="s">
        <v>14</v>
      </c>
      <c r="D487" t="s">
        <v>22</v>
      </c>
      <c r="E487" s="13">
        <v>1940.85</v>
      </c>
      <c r="F487" s="13">
        <v>194.08500000000001</v>
      </c>
      <c r="G487" s="13">
        <f t="shared" si="8"/>
        <v>2134.9349999999999</v>
      </c>
    </row>
    <row r="488" spans="1:7" x14ac:dyDescent="0.25">
      <c r="A488">
        <v>10536</v>
      </c>
      <c r="B488" s="12">
        <v>45083</v>
      </c>
      <c r="C488" t="s">
        <v>14</v>
      </c>
      <c r="D488" t="s">
        <v>24</v>
      </c>
      <c r="E488" s="13">
        <v>1645</v>
      </c>
      <c r="F488" s="13">
        <v>164.5</v>
      </c>
      <c r="G488" s="13">
        <f t="shared" si="8"/>
        <v>1809.5</v>
      </c>
    </row>
    <row r="489" spans="1:7" x14ac:dyDescent="0.25">
      <c r="A489">
        <v>10537</v>
      </c>
      <c r="B489" s="12">
        <v>45065</v>
      </c>
      <c r="C489" t="s">
        <v>14</v>
      </c>
      <c r="D489" t="s">
        <v>18</v>
      </c>
      <c r="E489" s="13">
        <v>1823.8</v>
      </c>
      <c r="F489" s="13">
        <v>182.38</v>
      </c>
      <c r="G489" s="13">
        <f t="shared" si="8"/>
        <v>2006.1799999999998</v>
      </c>
    </row>
    <row r="490" spans="1:7" x14ac:dyDescent="0.25">
      <c r="A490">
        <v>10538</v>
      </c>
      <c r="B490" s="12">
        <v>45062</v>
      </c>
      <c r="C490" t="s">
        <v>17</v>
      </c>
      <c r="D490" t="s">
        <v>16</v>
      </c>
      <c r="E490" s="13">
        <v>139.80000000000001</v>
      </c>
      <c r="F490" s="13">
        <v>12.582000000000001</v>
      </c>
      <c r="G490" s="13">
        <f t="shared" si="8"/>
        <v>152.38200000000001</v>
      </c>
    </row>
    <row r="491" spans="1:7" x14ac:dyDescent="0.25">
      <c r="A491">
        <v>10539</v>
      </c>
      <c r="B491" s="12">
        <v>45069</v>
      </c>
      <c r="C491" t="s">
        <v>17</v>
      </c>
      <c r="D491" t="s">
        <v>19</v>
      </c>
      <c r="E491" s="13">
        <v>355.5</v>
      </c>
      <c r="F491" s="13">
        <v>31.994999999999997</v>
      </c>
      <c r="G491" s="13">
        <f t="shared" si="8"/>
        <v>387.495</v>
      </c>
    </row>
    <row r="492" spans="1:7" x14ac:dyDescent="0.25">
      <c r="A492">
        <v>10540</v>
      </c>
      <c r="B492" s="12">
        <v>45090</v>
      </c>
      <c r="C492" t="s">
        <v>14</v>
      </c>
      <c r="D492" t="s">
        <v>24</v>
      </c>
      <c r="E492" s="13">
        <v>10191.700000000001</v>
      </c>
      <c r="F492" s="13">
        <v>509.58500000000004</v>
      </c>
      <c r="G492" s="13">
        <f t="shared" si="8"/>
        <v>10701.285</v>
      </c>
    </row>
    <row r="493" spans="1:7" x14ac:dyDescent="0.25">
      <c r="A493">
        <v>10541</v>
      </c>
      <c r="B493" s="12">
        <v>45075</v>
      </c>
      <c r="C493" t="s">
        <v>14</v>
      </c>
      <c r="D493" t="s">
        <v>15</v>
      </c>
      <c r="E493" s="13">
        <v>1946.52</v>
      </c>
      <c r="F493" s="13">
        <v>194.65200000000002</v>
      </c>
      <c r="G493" s="13">
        <f t="shared" si="8"/>
        <v>2141.172</v>
      </c>
    </row>
    <row r="494" spans="1:7" x14ac:dyDescent="0.25">
      <c r="A494">
        <v>10542</v>
      </c>
      <c r="B494" s="12">
        <v>45072</v>
      </c>
      <c r="C494" t="s">
        <v>14</v>
      </c>
      <c r="D494" t="s">
        <v>18</v>
      </c>
      <c r="E494" s="13">
        <v>469.11</v>
      </c>
      <c r="F494" s="13">
        <v>46.911000000000001</v>
      </c>
      <c r="G494" s="13">
        <f t="shared" si="8"/>
        <v>516.02099999999996</v>
      </c>
    </row>
    <row r="495" spans="1:7" x14ac:dyDescent="0.25">
      <c r="A495">
        <v>10543</v>
      </c>
      <c r="B495" s="12">
        <v>45069</v>
      </c>
      <c r="C495" t="s">
        <v>14</v>
      </c>
      <c r="D495" t="s">
        <v>21</v>
      </c>
      <c r="E495" s="13">
        <v>1504.5</v>
      </c>
      <c r="F495" s="13">
        <v>150.45000000000002</v>
      </c>
      <c r="G495" s="13">
        <f t="shared" si="8"/>
        <v>1654.95</v>
      </c>
    </row>
    <row r="496" spans="1:7" x14ac:dyDescent="0.25">
      <c r="A496">
        <v>10544</v>
      </c>
      <c r="B496" s="12">
        <v>45076</v>
      </c>
      <c r="C496" t="s">
        <v>14</v>
      </c>
      <c r="D496" t="s">
        <v>22</v>
      </c>
      <c r="E496" s="13">
        <v>417.2</v>
      </c>
      <c r="F496" s="13">
        <v>41.72</v>
      </c>
      <c r="G496" s="13">
        <f t="shared" si="8"/>
        <v>458.91999999999996</v>
      </c>
    </row>
    <row r="497" spans="1:7" x14ac:dyDescent="0.25">
      <c r="A497">
        <v>10545</v>
      </c>
      <c r="B497" s="12">
        <v>45103</v>
      </c>
      <c r="C497" t="s">
        <v>14</v>
      </c>
      <c r="D497" t="s">
        <v>21</v>
      </c>
      <c r="E497" s="13">
        <v>210</v>
      </c>
      <c r="F497" s="13">
        <v>21</v>
      </c>
      <c r="G497" s="13">
        <f t="shared" si="8"/>
        <v>231</v>
      </c>
    </row>
    <row r="498" spans="1:7" x14ac:dyDescent="0.25">
      <c r="A498">
        <v>10546</v>
      </c>
      <c r="B498" s="12">
        <v>45073</v>
      </c>
      <c r="C498" t="s">
        <v>14</v>
      </c>
      <c r="D498" t="s">
        <v>18</v>
      </c>
      <c r="E498" s="13">
        <v>2812</v>
      </c>
      <c r="F498" s="13">
        <v>224.96</v>
      </c>
      <c r="G498" s="13">
        <f t="shared" si="8"/>
        <v>3036.96</v>
      </c>
    </row>
    <row r="499" spans="1:7" x14ac:dyDescent="0.25">
      <c r="A499">
        <v>10547</v>
      </c>
      <c r="B499" s="12">
        <v>45079</v>
      </c>
      <c r="C499" t="s">
        <v>14</v>
      </c>
      <c r="D499" t="s">
        <v>24</v>
      </c>
      <c r="E499" s="13">
        <v>1792.8</v>
      </c>
      <c r="F499" s="13">
        <v>179.28</v>
      </c>
      <c r="G499" s="13">
        <f t="shared" si="8"/>
        <v>1972.08</v>
      </c>
    </row>
    <row r="500" spans="1:7" x14ac:dyDescent="0.25">
      <c r="A500">
        <v>10548</v>
      </c>
      <c r="B500" s="12">
        <v>45079</v>
      </c>
      <c r="C500" t="s">
        <v>14</v>
      </c>
      <c r="D500" t="s">
        <v>24</v>
      </c>
      <c r="E500" s="13">
        <v>240.1</v>
      </c>
      <c r="F500" s="13">
        <v>24.01</v>
      </c>
      <c r="G500" s="13">
        <f t="shared" si="8"/>
        <v>264.11</v>
      </c>
    </row>
    <row r="501" spans="1:7" x14ac:dyDescent="0.25">
      <c r="A501">
        <v>10549</v>
      </c>
      <c r="B501" s="12">
        <v>45076</v>
      </c>
      <c r="C501" t="s">
        <v>17</v>
      </c>
      <c r="D501" t="s">
        <v>20</v>
      </c>
      <c r="E501" s="13">
        <v>3554.27</v>
      </c>
      <c r="F501" s="13">
        <v>284.34160000000003</v>
      </c>
      <c r="G501" s="13">
        <f t="shared" si="8"/>
        <v>3838.6116000000002</v>
      </c>
    </row>
    <row r="502" spans="1:7" x14ac:dyDescent="0.25">
      <c r="A502">
        <v>10550</v>
      </c>
      <c r="B502" s="12">
        <v>45083</v>
      </c>
      <c r="C502" t="s">
        <v>17</v>
      </c>
      <c r="D502" t="s">
        <v>23</v>
      </c>
      <c r="E502" s="13">
        <v>683.3</v>
      </c>
      <c r="F502" s="13">
        <v>61.496999999999993</v>
      </c>
      <c r="G502" s="13">
        <f t="shared" si="8"/>
        <v>744.79699999999991</v>
      </c>
    </row>
    <row r="503" spans="1:7" x14ac:dyDescent="0.25">
      <c r="A503">
        <v>10551</v>
      </c>
      <c r="B503" s="12">
        <v>45083</v>
      </c>
      <c r="C503" t="s">
        <v>14</v>
      </c>
      <c r="D503" t="s">
        <v>22</v>
      </c>
      <c r="E503" s="13">
        <v>1677.3</v>
      </c>
      <c r="F503" s="13">
        <v>167.73000000000002</v>
      </c>
      <c r="G503" s="13">
        <f t="shared" si="8"/>
        <v>1845.03</v>
      </c>
    </row>
    <row r="504" spans="1:7" x14ac:dyDescent="0.25">
      <c r="A504">
        <v>10552</v>
      </c>
      <c r="B504" s="12">
        <v>45082</v>
      </c>
      <c r="C504" t="s">
        <v>14</v>
      </c>
      <c r="D504" t="s">
        <v>15</v>
      </c>
      <c r="E504" s="13">
        <v>880.5</v>
      </c>
      <c r="F504" s="13">
        <v>88.050000000000011</v>
      </c>
      <c r="G504" s="13">
        <f t="shared" si="8"/>
        <v>968.55</v>
      </c>
    </row>
    <row r="505" spans="1:7" x14ac:dyDescent="0.25">
      <c r="A505">
        <v>10553</v>
      </c>
      <c r="B505" s="12">
        <v>45080</v>
      </c>
      <c r="C505" t="s">
        <v>14</v>
      </c>
      <c r="D505" t="s">
        <v>15</v>
      </c>
      <c r="E505" s="13">
        <v>1546.3</v>
      </c>
      <c r="F505" s="13">
        <v>154.63</v>
      </c>
      <c r="G505" s="13">
        <f t="shared" si="8"/>
        <v>1700.9299999999998</v>
      </c>
    </row>
    <row r="506" spans="1:7" x14ac:dyDescent="0.25">
      <c r="A506">
        <v>10554</v>
      </c>
      <c r="B506" s="12">
        <v>45082</v>
      </c>
      <c r="C506" t="s">
        <v>14</v>
      </c>
      <c r="D506" t="s">
        <v>22</v>
      </c>
      <c r="E506" s="13">
        <v>1728.52</v>
      </c>
      <c r="F506" s="13">
        <v>172.852</v>
      </c>
      <c r="G506" s="13">
        <f t="shared" si="8"/>
        <v>1901.3720000000001</v>
      </c>
    </row>
    <row r="507" spans="1:7" x14ac:dyDescent="0.25">
      <c r="A507">
        <v>10555</v>
      </c>
      <c r="B507" s="12">
        <v>45081</v>
      </c>
      <c r="C507" t="s">
        <v>17</v>
      </c>
      <c r="D507" t="s">
        <v>19</v>
      </c>
      <c r="E507" s="13">
        <v>2944.4</v>
      </c>
      <c r="F507" s="13">
        <v>264.99599999999998</v>
      </c>
      <c r="G507" s="13">
        <f t="shared" si="8"/>
        <v>3209.3960000000002</v>
      </c>
    </row>
    <row r="508" spans="1:7" x14ac:dyDescent="0.25">
      <c r="A508">
        <v>10556</v>
      </c>
      <c r="B508" s="12">
        <v>45090</v>
      </c>
      <c r="C508" t="s">
        <v>14</v>
      </c>
      <c r="D508" t="s">
        <v>15</v>
      </c>
      <c r="E508" s="13">
        <v>835.2</v>
      </c>
      <c r="F508" s="13">
        <v>83.52000000000001</v>
      </c>
      <c r="G508" s="13">
        <f t="shared" si="8"/>
        <v>918.72</v>
      </c>
    </row>
    <row r="509" spans="1:7" x14ac:dyDescent="0.25">
      <c r="A509">
        <v>10557</v>
      </c>
      <c r="B509" s="12">
        <v>45083</v>
      </c>
      <c r="C509" t="s">
        <v>17</v>
      </c>
      <c r="D509" t="s">
        <v>16</v>
      </c>
      <c r="E509" s="13">
        <v>1152.5</v>
      </c>
      <c r="F509" s="13">
        <v>103.72499999999999</v>
      </c>
      <c r="G509" s="13">
        <f t="shared" si="8"/>
        <v>1256.2249999999999</v>
      </c>
    </row>
    <row r="510" spans="1:7" x14ac:dyDescent="0.25">
      <c r="A510">
        <v>10558</v>
      </c>
      <c r="B510" s="12">
        <v>45087</v>
      </c>
      <c r="C510" t="s">
        <v>14</v>
      </c>
      <c r="D510" t="s">
        <v>18</v>
      </c>
      <c r="E510" s="13">
        <v>2142.9</v>
      </c>
      <c r="F510" s="13">
        <v>171.43200000000002</v>
      </c>
      <c r="G510" s="13">
        <f t="shared" si="8"/>
        <v>2314.3320000000003</v>
      </c>
    </row>
    <row r="511" spans="1:7" x14ac:dyDescent="0.25">
      <c r="A511">
        <v>10559</v>
      </c>
      <c r="B511" s="12">
        <v>45090</v>
      </c>
      <c r="C511" t="s">
        <v>17</v>
      </c>
      <c r="D511" t="s">
        <v>19</v>
      </c>
      <c r="E511" s="13">
        <v>520.41</v>
      </c>
      <c r="F511" s="13">
        <v>46.836899999999993</v>
      </c>
      <c r="G511" s="13">
        <f t="shared" si="8"/>
        <v>567.24689999999998</v>
      </c>
    </row>
    <row r="512" spans="1:7" x14ac:dyDescent="0.25">
      <c r="A512">
        <v>10560</v>
      </c>
      <c r="B512" s="12">
        <v>45086</v>
      </c>
      <c r="C512" t="s">
        <v>14</v>
      </c>
      <c r="D512" t="s">
        <v>21</v>
      </c>
      <c r="E512" s="13">
        <v>1072.42</v>
      </c>
      <c r="F512" s="13">
        <v>107.24200000000002</v>
      </c>
      <c r="G512" s="13">
        <f t="shared" si="8"/>
        <v>1179.662</v>
      </c>
    </row>
    <row r="513" spans="1:7" x14ac:dyDescent="0.25">
      <c r="A513">
        <v>10561</v>
      </c>
      <c r="B513" s="12">
        <v>45086</v>
      </c>
      <c r="C513" t="s">
        <v>14</v>
      </c>
      <c r="D513" t="s">
        <v>15</v>
      </c>
      <c r="E513" s="13">
        <v>2844.5</v>
      </c>
      <c r="F513" s="13">
        <v>227.56</v>
      </c>
      <c r="G513" s="13">
        <f t="shared" si="8"/>
        <v>3072.06</v>
      </c>
    </row>
    <row r="514" spans="1:7" x14ac:dyDescent="0.25">
      <c r="A514">
        <v>10562</v>
      </c>
      <c r="B514" s="12">
        <v>45089</v>
      </c>
      <c r="C514" t="s">
        <v>14</v>
      </c>
      <c r="D514" t="s">
        <v>18</v>
      </c>
      <c r="E514" s="13">
        <v>488.7</v>
      </c>
      <c r="F514" s="13">
        <v>48.870000000000005</v>
      </c>
      <c r="G514" s="13">
        <f t="shared" si="8"/>
        <v>537.56999999999994</v>
      </c>
    </row>
    <row r="515" spans="1:7" x14ac:dyDescent="0.25">
      <c r="A515">
        <v>10563</v>
      </c>
      <c r="B515" s="12">
        <v>45101</v>
      </c>
      <c r="C515" t="s">
        <v>14</v>
      </c>
      <c r="D515" t="s">
        <v>15</v>
      </c>
      <c r="E515" s="13">
        <v>965</v>
      </c>
      <c r="F515" s="13">
        <v>96.5</v>
      </c>
      <c r="G515" s="13">
        <f t="shared" si="8"/>
        <v>1061.5</v>
      </c>
    </row>
    <row r="516" spans="1:7" x14ac:dyDescent="0.25">
      <c r="A516">
        <v>10564</v>
      </c>
      <c r="B516" s="12">
        <v>45093</v>
      </c>
      <c r="C516" t="s">
        <v>14</v>
      </c>
      <c r="D516" t="s">
        <v>22</v>
      </c>
      <c r="E516" s="13">
        <v>1234.05</v>
      </c>
      <c r="F516" s="13">
        <v>123.405</v>
      </c>
      <c r="G516" s="13">
        <f t="shared" si="8"/>
        <v>1357.4549999999999</v>
      </c>
    </row>
    <row r="517" spans="1:7" x14ac:dyDescent="0.25">
      <c r="A517">
        <v>10565</v>
      </c>
      <c r="B517" s="12">
        <v>45095</v>
      </c>
      <c r="C517" t="s">
        <v>14</v>
      </c>
      <c r="D517" t="s">
        <v>21</v>
      </c>
      <c r="E517" s="13">
        <v>639.9</v>
      </c>
      <c r="F517" s="13">
        <v>63.99</v>
      </c>
      <c r="G517" s="13">
        <f t="shared" ref="G517:G580" si="9">SUM(E517:F517)</f>
        <v>703.89</v>
      </c>
    </row>
    <row r="518" spans="1:7" x14ac:dyDescent="0.25">
      <c r="A518">
        <v>10566</v>
      </c>
      <c r="B518" s="12">
        <v>45095</v>
      </c>
      <c r="C518" t="s">
        <v>17</v>
      </c>
      <c r="D518" t="s">
        <v>16</v>
      </c>
      <c r="E518" s="13">
        <v>1761</v>
      </c>
      <c r="F518" s="13">
        <v>158.48999999999998</v>
      </c>
      <c r="G518" s="13">
        <f t="shared" si="9"/>
        <v>1919.49</v>
      </c>
    </row>
    <row r="519" spans="1:7" x14ac:dyDescent="0.25">
      <c r="A519">
        <v>10567</v>
      </c>
      <c r="B519" s="12">
        <v>45094</v>
      </c>
      <c r="C519" t="s">
        <v>14</v>
      </c>
      <c r="D519" t="s">
        <v>18</v>
      </c>
      <c r="E519" s="13">
        <v>2519</v>
      </c>
      <c r="F519" s="13">
        <v>201.52</v>
      </c>
      <c r="G519" s="13">
        <f t="shared" si="9"/>
        <v>2720.52</v>
      </c>
    </row>
    <row r="520" spans="1:7" x14ac:dyDescent="0.25">
      <c r="A520">
        <v>10568</v>
      </c>
      <c r="B520" s="12">
        <v>45116</v>
      </c>
      <c r="C520" t="s">
        <v>14</v>
      </c>
      <c r="D520" t="s">
        <v>24</v>
      </c>
      <c r="E520" s="13">
        <v>155</v>
      </c>
      <c r="F520" s="13">
        <v>15.5</v>
      </c>
      <c r="G520" s="13">
        <f t="shared" si="9"/>
        <v>170.5</v>
      </c>
    </row>
    <row r="521" spans="1:7" x14ac:dyDescent="0.25">
      <c r="A521">
        <v>10569</v>
      </c>
      <c r="B521" s="12">
        <v>45118</v>
      </c>
      <c r="C521" t="s">
        <v>17</v>
      </c>
      <c r="D521" t="s">
        <v>20</v>
      </c>
      <c r="E521" s="13">
        <v>890</v>
      </c>
      <c r="F521" s="13">
        <v>80.099999999999994</v>
      </c>
      <c r="G521" s="13">
        <f t="shared" si="9"/>
        <v>970.1</v>
      </c>
    </row>
    <row r="522" spans="1:7" x14ac:dyDescent="0.25">
      <c r="A522">
        <v>10570</v>
      </c>
      <c r="B522" s="12">
        <v>45096</v>
      </c>
      <c r="C522" t="s">
        <v>14</v>
      </c>
      <c r="D522" t="s">
        <v>24</v>
      </c>
      <c r="E522" s="13">
        <v>2465.25</v>
      </c>
      <c r="F522" s="13">
        <v>197.22</v>
      </c>
      <c r="G522" s="13">
        <f t="shared" si="9"/>
        <v>2662.47</v>
      </c>
    </row>
    <row r="523" spans="1:7" x14ac:dyDescent="0.25">
      <c r="A523">
        <v>10571</v>
      </c>
      <c r="B523" s="12">
        <v>45111</v>
      </c>
      <c r="C523" t="s">
        <v>14</v>
      </c>
      <c r="D523" t="s">
        <v>21</v>
      </c>
      <c r="E523" s="13">
        <v>550.59</v>
      </c>
      <c r="F523" s="13">
        <v>55.059000000000005</v>
      </c>
      <c r="G523" s="13">
        <f t="shared" si="9"/>
        <v>605.649</v>
      </c>
    </row>
    <row r="524" spans="1:7" x14ac:dyDescent="0.25">
      <c r="A524">
        <v>10572</v>
      </c>
      <c r="B524" s="12">
        <v>45102</v>
      </c>
      <c r="C524" t="s">
        <v>14</v>
      </c>
      <c r="D524" t="s">
        <v>24</v>
      </c>
      <c r="E524" s="13">
        <v>1501.08</v>
      </c>
      <c r="F524" s="13">
        <v>150.108</v>
      </c>
      <c r="G524" s="13">
        <f t="shared" si="9"/>
        <v>1651.1879999999999</v>
      </c>
    </row>
    <row r="525" spans="1:7" x14ac:dyDescent="0.25">
      <c r="A525">
        <v>10573</v>
      </c>
      <c r="B525" s="12">
        <v>45097</v>
      </c>
      <c r="C525" t="s">
        <v>17</v>
      </c>
      <c r="D525" t="s">
        <v>23</v>
      </c>
      <c r="E525" s="13">
        <v>2082</v>
      </c>
      <c r="F525" s="13">
        <v>187.38</v>
      </c>
      <c r="G525" s="13">
        <f t="shared" si="9"/>
        <v>2269.38</v>
      </c>
    </row>
    <row r="526" spans="1:7" x14ac:dyDescent="0.25">
      <c r="A526">
        <v>10574</v>
      </c>
      <c r="B526" s="12">
        <v>45107</v>
      </c>
      <c r="C526" t="s">
        <v>14</v>
      </c>
      <c r="D526" t="s">
        <v>22</v>
      </c>
      <c r="E526" s="13">
        <v>764.3</v>
      </c>
      <c r="F526" s="13">
        <v>76.429999999999993</v>
      </c>
      <c r="G526" s="13">
        <f t="shared" si="9"/>
        <v>840.7299999999999</v>
      </c>
    </row>
    <row r="527" spans="1:7" x14ac:dyDescent="0.25">
      <c r="A527">
        <v>10575</v>
      </c>
      <c r="B527" s="12">
        <v>45107</v>
      </c>
      <c r="C527" t="s">
        <v>17</v>
      </c>
      <c r="D527" t="s">
        <v>20</v>
      </c>
      <c r="E527" s="13">
        <v>2147.4</v>
      </c>
      <c r="F527" s="13">
        <v>193.26599999999999</v>
      </c>
      <c r="G527" s="13">
        <f t="shared" si="9"/>
        <v>2340.6660000000002</v>
      </c>
    </row>
    <row r="528" spans="1:7" x14ac:dyDescent="0.25">
      <c r="A528">
        <v>10576</v>
      </c>
      <c r="B528" s="12">
        <v>45107</v>
      </c>
      <c r="C528" t="s">
        <v>14</v>
      </c>
      <c r="D528" t="s">
        <v>24</v>
      </c>
      <c r="E528" s="13">
        <v>838.45</v>
      </c>
      <c r="F528" s="13">
        <v>83.845000000000013</v>
      </c>
      <c r="G528" s="13">
        <f t="shared" si="9"/>
        <v>922.29500000000007</v>
      </c>
    </row>
    <row r="529" spans="1:7" x14ac:dyDescent="0.25">
      <c r="A529">
        <v>10577</v>
      </c>
      <c r="B529" s="12">
        <v>45107</v>
      </c>
      <c r="C529" t="s">
        <v>17</v>
      </c>
      <c r="D529" t="s">
        <v>16</v>
      </c>
      <c r="E529" s="13">
        <v>569</v>
      </c>
      <c r="F529" s="13">
        <v>51.21</v>
      </c>
      <c r="G529" s="13">
        <f t="shared" si="9"/>
        <v>620.21</v>
      </c>
    </row>
    <row r="530" spans="1:7" x14ac:dyDescent="0.25">
      <c r="A530">
        <v>10578</v>
      </c>
      <c r="B530" s="12">
        <v>45132</v>
      </c>
      <c r="C530" t="s">
        <v>14</v>
      </c>
      <c r="D530" t="s">
        <v>22</v>
      </c>
      <c r="E530" s="13">
        <v>477</v>
      </c>
      <c r="F530" s="13">
        <v>47.7</v>
      </c>
      <c r="G530" s="13">
        <f t="shared" si="9"/>
        <v>524.70000000000005</v>
      </c>
    </row>
    <row r="531" spans="1:7" x14ac:dyDescent="0.25">
      <c r="A531">
        <v>10579</v>
      </c>
      <c r="B531" s="12">
        <v>45111</v>
      </c>
      <c r="C531" t="s">
        <v>14</v>
      </c>
      <c r="D531" t="s">
        <v>18</v>
      </c>
      <c r="E531" s="13">
        <v>317.75</v>
      </c>
      <c r="F531" s="13">
        <v>31.775000000000002</v>
      </c>
      <c r="G531" s="13">
        <f t="shared" si="9"/>
        <v>349.52499999999998</v>
      </c>
    </row>
    <row r="532" spans="1:7" x14ac:dyDescent="0.25">
      <c r="A532">
        <v>10580</v>
      </c>
      <c r="B532" s="12">
        <v>45108</v>
      </c>
      <c r="C532" t="s">
        <v>14</v>
      </c>
      <c r="D532" t="s">
        <v>22</v>
      </c>
      <c r="E532" s="13">
        <v>1013.74</v>
      </c>
      <c r="F532" s="13">
        <v>101.37400000000001</v>
      </c>
      <c r="G532" s="13">
        <f t="shared" si="9"/>
        <v>1115.114</v>
      </c>
    </row>
    <row r="533" spans="1:7" x14ac:dyDescent="0.25">
      <c r="A533">
        <v>10581</v>
      </c>
      <c r="B533" s="12">
        <v>45109</v>
      </c>
      <c r="C533" t="s">
        <v>14</v>
      </c>
      <c r="D533" t="s">
        <v>24</v>
      </c>
      <c r="E533" s="13">
        <v>310</v>
      </c>
      <c r="F533" s="13">
        <v>31</v>
      </c>
      <c r="G533" s="13">
        <f t="shared" si="9"/>
        <v>341</v>
      </c>
    </row>
    <row r="534" spans="1:7" x14ac:dyDescent="0.25">
      <c r="A534">
        <v>10582</v>
      </c>
      <c r="B534" s="12">
        <v>45121</v>
      </c>
      <c r="C534" t="s">
        <v>14</v>
      </c>
      <c r="D534" t="s">
        <v>24</v>
      </c>
      <c r="E534" s="13">
        <v>330</v>
      </c>
      <c r="F534" s="13">
        <v>33</v>
      </c>
      <c r="G534" s="13">
        <f t="shared" si="9"/>
        <v>363</v>
      </c>
    </row>
    <row r="535" spans="1:7" x14ac:dyDescent="0.25">
      <c r="A535">
        <v>10583</v>
      </c>
      <c r="B535" s="12">
        <v>45111</v>
      </c>
      <c r="C535" t="s">
        <v>14</v>
      </c>
      <c r="D535" t="s">
        <v>15</v>
      </c>
      <c r="E535" s="13">
        <v>2237.5</v>
      </c>
      <c r="F535" s="13">
        <v>179</v>
      </c>
      <c r="G535" s="13">
        <f t="shared" si="9"/>
        <v>2416.5</v>
      </c>
    </row>
    <row r="536" spans="1:7" x14ac:dyDescent="0.25">
      <c r="A536">
        <v>10584</v>
      </c>
      <c r="B536" s="12">
        <v>45111</v>
      </c>
      <c r="C536" t="s">
        <v>14</v>
      </c>
      <c r="D536" t="s">
        <v>22</v>
      </c>
      <c r="E536" s="13">
        <v>593.75</v>
      </c>
      <c r="F536" s="13">
        <v>59.375</v>
      </c>
      <c r="G536" s="13">
        <f t="shared" si="9"/>
        <v>653.125</v>
      </c>
    </row>
    <row r="537" spans="1:7" x14ac:dyDescent="0.25">
      <c r="A537">
        <v>10585</v>
      </c>
      <c r="B537" s="12">
        <v>45117</v>
      </c>
      <c r="C537" t="s">
        <v>17</v>
      </c>
      <c r="D537" t="s">
        <v>23</v>
      </c>
      <c r="E537" s="13">
        <v>142.5</v>
      </c>
      <c r="F537" s="13">
        <v>12.824999999999999</v>
      </c>
      <c r="G537" s="13">
        <f t="shared" si="9"/>
        <v>155.32499999999999</v>
      </c>
    </row>
    <row r="538" spans="1:7" x14ac:dyDescent="0.25">
      <c r="A538">
        <v>10586</v>
      </c>
      <c r="B538" s="12">
        <v>45116</v>
      </c>
      <c r="C538" t="s">
        <v>17</v>
      </c>
      <c r="D538" t="s">
        <v>16</v>
      </c>
      <c r="E538" s="13">
        <v>23.8</v>
      </c>
      <c r="F538" s="13">
        <v>5</v>
      </c>
      <c r="G538" s="13">
        <f t="shared" si="9"/>
        <v>28.8</v>
      </c>
    </row>
    <row r="539" spans="1:7" x14ac:dyDescent="0.25">
      <c r="A539">
        <v>10587</v>
      </c>
      <c r="B539" s="12">
        <v>45116</v>
      </c>
      <c r="C539" t="s">
        <v>14</v>
      </c>
      <c r="D539" t="s">
        <v>18</v>
      </c>
      <c r="E539" s="13">
        <v>807.38</v>
      </c>
      <c r="F539" s="13">
        <v>80.738</v>
      </c>
      <c r="G539" s="13">
        <f t="shared" si="9"/>
        <v>888.11799999999994</v>
      </c>
    </row>
    <row r="540" spans="1:7" x14ac:dyDescent="0.25">
      <c r="A540">
        <v>10588</v>
      </c>
      <c r="B540" s="12">
        <v>45117</v>
      </c>
      <c r="C540" t="s">
        <v>14</v>
      </c>
      <c r="D540" t="s">
        <v>15</v>
      </c>
      <c r="E540" s="13">
        <v>3120</v>
      </c>
      <c r="F540" s="13">
        <v>249.6</v>
      </c>
      <c r="G540" s="13">
        <f t="shared" si="9"/>
        <v>3369.6</v>
      </c>
    </row>
    <row r="541" spans="1:7" x14ac:dyDescent="0.25">
      <c r="A541">
        <v>10589</v>
      </c>
      <c r="B541" s="12">
        <v>45121</v>
      </c>
      <c r="C541" t="s">
        <v>14</v>
      </c>
      <c r="D541" t="s">
        <v>21</v>
      </c>
      <c r="E541" s="13">
        <v>72</v>
      </c>
      <c r="F541" s="13">
        <v>7.2</v>
      </c>
      <c r="G541" s="13">
        <f t="shared" si="9"/>
        <v>79.2</v>
      </c>
    </row>
    <row r="542" spans="1:7" x14ac:dyDescent="0.25">
      <c r="A542">
        <v>10590</v>
      </c>
      <c r="B542" s="12">
        <v>45121</v>
      </c>
      <c r="C542" t="s">
        <v>14</v>
      </c>
      <c r="D542" t="s">
        <v>22</v>
      </c>
      <c r="E542" s="13">
        <v>1101</v>
      </c>
      <c r="F542" s="13">
        <v>110.10000000000001</v>
      </c>
      <c r="G542" s="13">
        <f t="shared" si="9"/>
        <v>1211.0999999999999</v>
      </c>
    </row>
    <row r="543" spans="1:7" x14ac:dyDescent="0.25">
      <c r="A543">
        <v>10591</v>
      </c>
      <c r="B543" s="12">
        <v>45123</v>
      </c>
      <c r="C543" t="s">
        <v>14</v>
      </c>
      <c r="D543" t="s">
        <v>18</v>
      </c>
      <c r="E543" s="13">
        <v>812.5</v>
      </c>
      <c r="F543" s="13">
        <v>81.25</v>
      </c>
      <c r="G543" s="13">
        <f t="shared" si="9"/>
        <v>893.75</v>
      </c>
    </row>
    <row r="544" spans="1:7" x14ac:dyDescent="0.25">
      <c r="A544">
        <v>10592</v>
      </c>
      <c r="B544" s="12">
        <v>45123</v>
      </c>
      <c r="C544" t="s">
        <v>14</v>
      </c>
      <c r="D544" t="s">
        <v>24</v>
      </c>
      <c r="E544" s="13">
        <v>516.46</v>
      </c>
      <c r="F544" s="13">
        <v>51.646000000000008</v>
      </c>
      <c r="G544" s="13">
        <f t="shared" si="9"/>
        <v>568.10599999999999</v>
      </c>
    </row>
    <row r="545" spans="1:7" x14ac:dyDescent="0.25">
      <c r="A545">
        <v>10593</v>
      </c>
      <c r="B545" s="12">
        <v>45151</v>
      </c>
      <c r="C545" t="s">
        <v>17</v>
      </c>
      <c r="D545" t="s">
        <v>23</v>
      </c>
      <c r="E545" s="13">
        <v>1994.4</v>
      </c>
      <c r="F545" s="13">
        <v>179.49600000000001</v>
      </c>
      <c r="G545" s="13">
        <f t="shared" si="9"/>
        <v>2173.8960000000002</v>
      </c>
    </row>
    <row r="546" spans="1:7" x14ac:dyDescent="0.25">
      <c r="A546">
        <v>10594</v>
      </c>
      <c r="B546" s="12">
        <v>45123</v>
      </c>
      <c r="C546" t="s">
        <v>14</v>
      </c>
      <c r="D546" t="s">
        <v>24</v>
      </c>
      <c r="E546" s="13">
        <v>565.5</v>
      </c>
      <c r="F546" s="13">
        <v>56.550000000000004</v>
      </c>
      <c r="G546" s="13">
        <f t="shared" si="9"/>
        <v>622.04999999999995</v>
      </c>
    </row>
    <row r="547" spans="1:7" x14ac:dyDescent="0.25">
      <c r="A547">
        <v>10595</v>
      </c>
      <c r="B547" s="12">
        <v>45121</v>
      </c>
      <c r="C547" t="s">
        <v>14</v>
      </c>
      <c r="D547" t="s">
        <v>15</v>
      </c>
      <c r="E547" s="13">
        <v>4725</v>
      </c>
      <c r="F547" s="13">
        <v>378</v>
      </c>
      <c r="G547" s="13">
        <f t="shared" si="9"/>
        <v>5103</v>
      </c>
    </row>
    <row r="548" spans="1:7" x14ac:dyDescent="0.25">
      <c r="A548">
        <v>10596</v>
      </c>
      <c r="B548" s="12">
        <v>45150</v>
      </c>
      <c r="C548" t="s">
        <v>14</v>
      </c>
      <c r="D548" t="s">
        <v>21</v>
      </c>
      <c r="E548" s="13">
        <v>1180.8800000000001</v>
      </c>
      <c r="F548" s="13">
        <v>118.08800000000002</v>
      </c>
      <c r="G548" s="13">
        <f t="shared" si="9"/>
        <v>1298.9680000000001</v>
      </c>
    </row>
    <row r="549" spans="1:7" x14ac:dyDescent="0.25">
      <c r="A549">
        <v>10597</v>
      </c>
      <c r="B549" s="12">
        <v>45125</v>
      </c>
      <c r="C549" t="s">
        <v>17</v>
      </c>
      <c r="D549" t="s">
        <v>23</v>
      </c>
      <c r="E549" s="13">
        <v>718.08</v>
      </c>
      <c r="F549" s="13">
        <v>64.627200000000002</v>
      </c>
      <c r="G549" s="13">
        <f t="shared" si="9"/>
        <v>782.70720000000006</v>
      </c>
    </row>
    <row r="550" spans="1:7" x14ac:dyDescent="0.25">
      <c r="A550">
        <v>10598</v>
      </c>
      <c r="B550" s="12">
        <v>45125</v>
      </c>
      <c r="C550" t="s">
        <v>14</v>
      </c>
      <c r="D550" t="s">
        <v>18</v>
      </c>
      <c r="E550" s="13">
        <v>2388.5</v>
      </c>
      <c r="F550" s="13">
        <v>191.08</v>
      </c>
      <c r="G550" s="13">
        <f t="shared" si="9"/>
        <v>2579.58</v>
      </c>
    </row>
    <row r="551" spans="1:7" x14ac:dyDescent="0.25">
      <c r="A551">
        <v>10599</v>
      </c>
      <c r="B551" s="12">
        <v>45128</v>
      </c>
      <c r="C551" t="s">
        <v>17</v>
      </c>
      <c r="D551" t="s">
        <v>19</v>
      </c>
      <c r="E551" s="13">
        <v>493</v>
      </c>
      <c r="F551" s="13">
        <v>44.37</v>
      </c>
      <c r="G551" s="13">
        <f t="shared" si="9"/>
        <v>537.37</v>
      </c>
    </row>
    <row r="552" spans="1:7" x14ac:dyDescent="0.25">
      <c r="A552">
        <v>10600</v>
      </c>
      <c r="B552" s="12">
        <v>45128</v>
      </c>
      <c r="C552" t="s">
        <v>14</v>
      </c>
      <c r="D552" t="s">
        <v>22</v>
      </c>
      <c r="E552" s="13">
        <v>479.8</v>
      </c>
      <c r="F552" s="13">
        <v>47.980000000000004</v>
      </c>
      <c r="G552" s="13">
        <f t="shared" si="9"/>
        <v>527.78</v>
      </c>
    </row>
    <row r="553" spans="1:7" x14ac:dyDescent="0.25">
      <c r="A553">
        <v>10601</v>
      </c>
      <c r="B553" s="12">
        <v>45129</v>
      </c>
      <c r="C553" t="s">
        <v>17</v>
      </c>
      <c r="D553" t="s">
        <v>23</v>
      </c>
      <c r="E553" s="13">
        <v>2285</v>
      </c>
      <c r="F553" s="13">
        <v>205.65</v>
      </c>
      <c r="G553" s="13">
        <f t="shared" si="9"/>
        <v>2490.65</v>
      </c>
    </row>
    <row r="554" spans="1:7" x14ac:dyDescent="0.25">
      <c r="A554">
        <v>10602</v>
      </c>
      <c r="B554" s="12">
        <v>45129</v>
      </c>
      <c r="C554" t="s">
        <v>14</v>
      </c>
      <c r="D554" t="s">
        <v>21</v>
      </c>
      <c r="E554" s="13">
        <v>48.75</v>
      </c>
      <c r="F554" s="13">
        <v>5</v>
      </c>
      <c r="G554" s="13">
        <f t="shared" si="9"/>
        <v>53.75</v>
      </c>
    </row>
    <row r="555" spans="1:7" x14ac:dyDescent="0.25">
      <c r="A555">
        <v>10603</v>
      </c>
      <c r="B555" s="12">
        <v>45146</v>
      </c>
      <c r="C555" t="s">
        <v>14</v>
      </c>
      <c r="D555" t="s">
        <v>21</v>
      </c>
      <c r="E555" s="13">
        <v>1483</v>
      </c>
      <c r="F555" s="13">
        <v>148.30000000000001</v>
      </c>
      <c r="G555" s="13">
        <f t="shared" si="9"/>
        <v>1631.3</v>
      </c>
    </row>
    <row r="556" spans="1:7" x14ac:dyDescent="0.25">
      <c r="A556">
        <v>10604</v>
      </c>
      <c r="B556" s="12">
        <v>45136</v>
      </c>
      <c r="C556" t="s">
        <v>14</v>
      </c>
      <c r="D556" t="s">
        <v>18</v>
      </c>
      <c r="E556" s="13">
        <v>230.85</v>
      </c>
      <c r="F556" s="13">
        <v>23.085000000000001</v>
      </c>
      <c r="G556" s="13">
        <f t="shared" si="9"/>
        <v>253.935</v>
      </c>
    </row>
    <row r="557" spans="1:7" x14ac:dyDescent="0.25">
      <c r="A557">
        <v>10605</v>
      </c>
      <c r="B557" s="12">
        <v>45136</v>
      </c>
      <c r="C557" t="s">
        <v>14</v>
      </c>
      <c r="D557" t="s">
        <v>18</v>
      </c>
      <c r="E557" s="13">
        <v>4109.6899999999996</v>
      </c>
      <c r="F557" s="13">
        <v>328.77519999999998</v>
      </c>
      <c r="G557" s="13">
        <f t="shared" si="9"/>
        <v>4438.4651999999996</v>
      </c>
    </row>
    <row r="558" spans="1:7" x14ac:dyDescent="0.25">
      <c r="A558">
        <v>10606</v>
      </c>
      <c r="B558" s="12">
        <v>45138</v>
      </c>
      <c r="C558" t="s">
        <v>14</v>
      </c>
      <c r="D558" t="s">
        <v>22</v>
      </c>
      <c r="E558" s="13">
        <v>1130.4000000000001</v>
      </c>
      <c r="F558" s="13">
        <v>113.04000000000002</v>
      </c>
      <c r="G558" s="13">
        <f t="shared" si="9"/>
        <v>1243.44</v>
      </c>
    </row>
    <row r="559" spans="1:7" x14ac:dyDescent="0.25">
      <c r="A559">
        <v>10607</v>
      </c>
      <c r="B559" s="12">
        <v>45132</v>
      </c>
      <c r="C559" t="s">
        <v>17</v>
      </c>
      <c r="D559" t="s">
        <v>20</v>
      </c>
      <c r="E559" s="13">
        <v>6475.4</v>
      </c>
      <c r="F559" s="13">
        <v>518.03199999999993</v>
      </c>
      <c r="G559" s="13">
        <f t="shared" si="9"/>
        <v>6993.4319999999998</v>
      </c>
    </row>
    <row r="560" spans="1:7" x14ac:dyDescent="0.25">
      <c r="A560">
        <v>10608</v>
      </c>
      <c r="B560" s="12">
        <v>45139</v>
      </c>
      <c r="C560" t="s">
        <v>14</v>
      </c>
      <c r="D560" t="s">
        <v>22</v>
      </c>
      <c r="E560" s="13">
        <v>1064</v>
      </c>
      <c r="F560" s="13">
        <v>106.4</v>
      </c>
      <c r="G560" s="13">
        <f t="shared" si="9"/>
        <v>1170.4000000000001</v>
      </c>
    </row>
    <row r="561" spans="1:7" x14ac:dyDescent="0.25">
      <c r="A561">
        <v>10609</v>
      </c>
      <c r="B561" s="12">
        <v>45137</v>
      </c>
      <c r="C561" t="s">
        <v>17</v>
      </c>
      <c r="D561" t="s">
        <v>23</v>
      </c>
      <c r="E561" s="13">
        <v>424</v>
      </c>
      <c r="F561" s="13">
        <v>38.159999999999997</v>
      </c>
      <c r="G561" s="13">
        <f t="shared" si="9"/>
        <v>462.15999999999997</v>
      </c>
    </row>
    <row r="562" spans="1:7" x14ac:dyDescent="0.25">
      <c r="A562">
        <v>10610</v>
      </c>
      <c r="B562" s="12">
        <v>45144</v>
      </c>
      <c r="C562" t="s">
        <v>14</v>
      </c>
      <c r="D562" t="s">
        <v>21</v>
      </c>
      <c r="E562" s="13">
        <v>299.25</v>
      </c>
      <c r="F562" s="13">
        <v>29.925000000000001</v>
      </c>
      <c r="G562" s="13">
        <f t="shared" si="9"/>
        <v>329.17500000000001</v>
      </c>
    </row>
    <row r="563" spans="1:7" x14ac:dyDescent="0.25">
      <c r="A563">
        <v>10611</v>
      </c>
      <c r="B563" s="12">
        <v>45139</v>
      </c>
      <c r="C563" t="s">
        <v>17</v>
      </c>
      <c r="D563" t="s">
        <v>19</v>
      </c>
      <c r="E563" s="13">
        <v>808</v>
      </c>
      <c r="F563" s="13">
        <v>72.72</v>
      </c>
      <c r="G563" s="13">
        <f t="shared" si="9"/>
        <v>880.72</v>
      </c>
    </row>
    <row r="564" spans="1:7" x14ac:dyDescent="0.25">
      <c r="A564">
        <v>10612</v>
      </c>
      <c r="B564" s="12">
        <v>45139</v>
      </c>
      <c r="C564" t="s">
        <v>14</v>
      </c>
      <c r="D564" t="s">
        <v>18</v>
      </c>
      <c r="E564" s="13">
        <v>6375</v>
      </c>
      <c r="F564" s="13">
        <v>318.75</v>
      </c>
      <c r="G564" s="13">
        <f t="shared" si="9"/>
        <v>6693.75</v>
      </c>
    </row>
    <row r="565" spans="1:7" x14ac:dyDescent="0.25">
      <c r="A565">
        <v>10613</v>
      </c>
      <c r="B565" s="12">
        <v>45139</v>
      </c>
      <c r="C565" t="s">
        <v>14</v>
      </c>
      <c r="D565" t="s">
        <v>22</v>
      </c>
      <c r="E565" s="13">
        <v>353.2</v>
      </c>
      <c r="F565" s="13">
        <v>35.32</v>
      </c>
      <c r="G565" s="13">
        <f t="shared" si="9"/>
        <v>388.52</v>
      </c>
    </row>
    <row r="566" spans="1:7" x14ac:dyDescent="0.25">
      <c r="A566">
        <v>10614</v>
      </c>
      <c r="B566" s="12">
        <v>45139</v>
      </c>
      <c r="C566" t="s">
        <v>14</v>
      </c>
      <c r="D566" t="s">
        <v>21</v>
      </c>
      <c r="E566" s="13">
        <v>464</v>
      </c>
      <c r="F566" s="13">
        <v>46.400000000000006</v>
      </c>
      <c r="G566" s="13">
        <f t="shared" si="9"/>
        <v>510.4</v>
      </c>
    </row>
    <row r="567" spans="1:7" x14ac:dyDescent="0.25">
      <c r="A567">
        <v>10615</v>
      </c>
      <c r="B567" s="12">
        <v>45144</v>
      </c>
      <c r="C567" t="s">
        <v>14</v>
      </c>
      <c r="D567" t="s">
        <v>15</v>
      </c>
      <c r="E567" s="13">
        <v>120</v>
      </c>
      <c r="F567" s="13">
        <v>12</v>
      </c>
      <c r="G567" s="13">
        <f t="shared" si="9"/>
        <v>132</v>
      </c>
    </row>
    <row r="568" spans="1:7" x14ac:dyDescent="0.25">
      <c r="A568">
        <v>10616</v>
      </c>
      <c r="B568" s="12">
        <v>45143</v>
      </c>
      <c r="C568" t="s">
        <v>14</v>
      </c>
      <c r="D568" t="s">
        <v>18</v>
      </c>
      <c r="E568" s="13">
        <v>4806.99</v>
      </c>
      <c r="F568" s="13">
        <v>384.55919999999998</v>
      </c>
      <c r="G568" s="13">
        <f t="shared" si="9"/>
        <v>5191.5491999999995</v>
      </c>
    </row>
    <row r="569" spans="1:7" x14ac:dyDescent="0.25">
      <c r="A569">
        <v>10617</v>
      </c>
      <c r="B569" s="12">
        <v>45142</v>
      </c>
      <c r="C569" t="s">
        <v>14</v>
      </c>
      <c r="D569" t="s">
        <v>22</v>
      </c>
      <c r="E569" s="13">
        <v>1402.5</v>
      </c>
      <c r="F569" s="13">
        <v>140.25</v>
      </c>
      <c r="G569" s="13">
        <f t="shared" si="9"/>
        <v>1542.75</v>
      </c>
    </row>
    <row r="570" spans="1:7" x14ac:dyDescent="0.25">
      <c r="A570">
        <v>10618</v>
      </c>
      <c r="B570" s="12">
        <v>45146</v>
      </c>
      <c r="C570" t="s">
        <v>14</v>
      </c>
      <c r="D570" t="s">
        <v>18</v>
      </c>
      <c r="E570" s="13">
        <v>2697.5</v>
      </c>
      <c r="F570" s="13">
        <v>215.8</v>
      </c>
      <c r="G570" s="13">
        <f t="shared" si="9"/>
        <v>2913.3</v>
      </c>
    </row>
    <row r="571" spans="1:7" x14ac:dyDescent="0.25">
      <c r="A571">
        <v>10619</v>
      </c>
      <c r="B571" s="12">
        <v>45145</v>
      </c>
      <c r="C571" t="s">
        <v>14</v>
      </c>
      <c r="D571" t="s">
        <v>24</v>
      </c>
      <c r="E571" s="13">
        <v>1260</v>
      </c>
      <c r="F571" s="13">
        <v>126</v>
      </c>
      <c r="G571" s="13">
        <f t="shared" si="9"/>
        <v>1386</v>
      </c>
    </row>
    <row r="572" spans="1:7" x14ac:dyDescent="0.25">
      <c r="A572">
        <v>10620</v>
      </c>
      <c r="B572" s="12">
        <v>45152</v>
      </c>
      <c r="C572" t="s">
        <v>14</v>
      </c>
      <c r="D572" t="s">
        <v>15</v>
      </c>
      <c r="E572" s="13">
        <v>57.5</v>
      </c>
      <c r="F572" s="13">
        <v>5.75</v>
      </c>
      <c r="G572" s="13">
        <f t="shared" si="9"/>
        <v>63.25</v>
      </c>
    </row>
    <row r="573" spans="1:7" x14ac:dyDescent="0.25">
      <c r="A573">
        <v>10621</v>
      </c>
      <c r="B573" s="12">
        <v>45149</v>
      </c>
      <c r="C573" t="s">
        <v>14</v>
      </c>
      <c r="D573" t="s">
        <v>22</v>
      </c>
      <c r="E573" s="13">
        <v>758.5</v>
      </c>
      <c r="F573" s="13">
        <v>75.850000000000009</v>
      </c>
      <c r="G573" s="13">
        <f t="shared" si="9"/>
        <v>834.35</v>
      </c>
    </row>
    <row r="574" spans="1:7" x14ac:dyDescent="0.25">
      <c r="A574">
        <v>10622</v>
      </c>
      <c r="B574" s="12">
        <v>45149</v>
      </c>
      <c r="C574" t="s">
        <v>14</v>
      </c>
      <c r="D574" t="s">
        <v>22</v>
      </c>
      <c r="E574" s="13">
        <v>560</v>
      </c>
      <c r="F574" s="13">
        <v>56</v>
      </c>
      <c r="G574" s="13">
        <f t="shared" si="9"/>
        <v>616</v>
      </c>
    </row>
    <row r="575" spans="1:7" x14ac:dyDescent="0.25">
      <c r="A575">
        <v>10623</v>
      </c>
      <c r="B575" s="12">
        <v>45150</v>
      </c>
      <c r="C575" t="s">
        <v>14</v>
      </c>
      <c r="D575" t="s">
        <v>21</v>
      </c>
      <c r="E575" s="13">
        <v>1336.95</v>
      </c>
      <c r="F575" s="13">
        <v>133.69500000000002</v>
      </c>
      <c r="G575" s="13">
        <f t="shared" si="9"/>
        <v>1470.645</v>
      </c>
    </row>
    <row r="576" spans="1:7" x14ac:dyDescent="0.25">
      <c r="A576">
        <v>10624</v>
      </c>
      <c r="B576" s="12">
        <v>45157</v>
      </c>
      <c r="C576" t="s">
        <v>14</v>
      </c>
      <c r="D576" t="s">
        <v>22</v>
      </c>
      <c r="E576" s="13">
        <v>1393.24</v>
      </c>
      <c r="F576" s="13">
        <v>139.32400000000001</v>
      </c>
      <c r="G576" s="13">
        <f t="shared" si="9"/>
        <v>1532.5640000000001</v>
      </c>
    </row>
    <row r="577" spans="1:7" x14ac:dyDescent="0.25">
      <c r="A577">
        <v>10625</v>
      </c>
      <c r="B577" s="12">
        <v>45152</v>
      </c>
      <c r="C577" t="s">
        <v>14</v>
      </c>
      <c r="D577" t="s">
        <v>24</v>
      </c>
      <c r="E577" s="13">
        <v>479.75</v>
      </c>
      <c r="F577" s="13">
        <v>47.975000000000001</v>
      </c>
      <c r="G577" s="13">
        <f t="shared" si="9"/>
        <v>527.72500000000002</v>
      </c>
    </row>
    <row r="578" spans="1:7" x14ac:dyDescent="0.25">
      <c r="A578">
        <v>10626</v>
      </c>
      <c r="B578" s="12">
        <v>45158</v>
      </c>
      <c r="C578" t="s">
        <v>14</v>
      </c>
      <c r="D578" t="s">
        <v>18</v>
      </c>
      <c r="E578" s="13">
        <v>1503.6</v>
      </c>
      <c r="F578" s="13">
        <v>150.35999999999999</v>
      </c>
      <c r="G578" s="13">
        <f t="shared" si="9"/>
        <v>1653.9599999999998</v>
      </c>
    </row>
    <row r="579" spans="1:7" x14ac:dyDescent="0.25">
      <c r="A579">
        <v>10627</v>
      </c>
      <c r="B579" s="12">
        <v>45159</v>
      </c>
      <c r="C579" t="s">
        <v>14</v>
      </c>
      <c r="D579" t="s">
        <v>21</v>
      </c>
      <c r="E579" s="13">
        <v>1185.75</v>
      </c>
      <c r="F579" s="13">
        <v>118.575</v>
      </c>
      <c r="G579" s="13">
        <f t="shared" si="9"/>
        <v>1304.325</v>
      </c>
    </row>
    <row r="580" spans="1:7" x14ac:dyDescent="0.25">
      <c r="A580">
        <v>10628</v>
      </c>
      <c r="B580" s="12">
        <v>45158</v>
      </c>
      <c r="C580" t="s">
        <v>14</v>
      </c>
      <c r="D580" t="s">
        <v>22</v>
      </c>
      <c r="E580" s="13">
        <v>450</v>
      </c>
      <c r="F580" s="13">
        <v>45</v>
      </c>
      <c r="G580" s="13">
        <f t="shared" si="9"/>
        <v>495</v>
      </c>
    </row>
    <row r="581" spans="1:7" x14ac:dyDescent="0.25">
      <c r="A581">
        <v>10629</v>
      </c>
      <c r="B581" s="12">
        <v>45158</v>
      </c>
      <c r="C581" t="s">
        <v>14</v>
      </c>
      <c r="D581" t="s">
        <v>22</v>
      </c>
      <c r="E581" s="13">
        <v>2775.05</v>
      </c>
      <c r="F581" s="13">
        <v>222.00400000000002</v>
      </c>
      <c r="G581" s="13">
        <f t="shared" ref="G581:G644" si="10">SUM(E581:F581)</f>
        <v>2997.0540000000001</v>
      </c>
    </row>
    <row r="582" spans="1:7" x14ac:dyDescent="0.25">
      <c r="A582">
        <v>10630</v>
      </c>
      <c r="B582" s="12">
        <v>45157</v>
      </c>
      <c r="C582" t="s">
        <v>14</v>
      </c>
      <c r="D582" t="s">
        <v>18</v>
      </c>
      <c r="E582" s="13">
        <v>903.6</v>
      </c>
      <c r="F582" s="13">
        <v>90.360000000000014</v>
      </c>
      <c r="G582" s="13">
        <f t="shared" si="10"/>
        <v>993.96</v>
      </c>
    </row>
    <row r="583" spans="1:7" x14ac:dyDescent="0.25">
      <c r="A583">
        <v>10631</v>
      </c>
      <c r="B583" s="12">
        <v>45153</v>
      </c>
      <c r="C583" t="s">
        <v>14</v>
      </c>
      <c r="D583" t="s">
        <v>21</v>
      </c>
      <c r="E583" s="13">
        <v>55.8</v>
      </c>
      <c r="F583" s="13">
        <v>5.58</v>
      </c>
      <c r="G583" s="13">
        <f t="shared" si="10"/>
        <v>61.379999999999995</v>
      </c>
    </row>
    <row r="584" spans="1:7" x14ac:dyDescent="0.25">
      <c r="A584">
        <v>10632</v>
      </c>
      <c r="B584" s="12">
        <v>45157</v>
      </c>
      <c r="C584" t="s">
        <v>14</v>
      </c>
      <c r="D584" t="s">
        <v>21</v>
      </c>
      <c r="E584" s="13">
        <v>589</v>
      </c>
      <c r="F584" s="13">
        <v>58.900000000000006</v>
      </c>
      <c r="G584" s="13">
        <f t="shared" si="10"/>
        <v>647.9</v>
      </c>
    </row>
    <row r="585" spans="1:7" x14ac:dyDescent="0.25">
      <c r="A585">
        <v>10633</v>
      </c>
      <c r="B585" s="12">
        <v>45156</v>
      </c>
      <c r="C585" t="s">
        <v>17</v>
      </c>
      <c r="D585" t="s">
        <v>23</v>
      </c>
      <c r="E585" s="13">
        <v>5510.59</v>
      </c>
      <c r="F585" s="13">
        <v>440.84720000000004</v>
      </c>
      <c r="G585" s="13">
        <f t="shared" si="10"/>
        <v>5951.4372000000003</v>
      </c>
    </row>
    <row r="586" spans="1:7" x14ac:dyDescent="0.25">
      <c r="A586">
        <v>10634</v>
      </c>
      <c r="B586" s="12">
        <v>45159</v>
      </c>
      <c r="C586" t="s">
        <v>14</v>
      </c>
      <c r="D586" t="s">
        <v>22</v>
      </c>
      <c r="E586" s="13">
        <v>4985.5</v>
      </c>
      <c r="F586" s="13">
        <v>398.84000000000003</v>
      </c>
      <c r="G586" s="13">
        <f t="shared" si="10"/>
        <v>5384.34</v>
      </c>
    </row>
    <row r="587" spans="1:7" x14ac:dyDescent="0.25">
      <c r="A587">
        <v>10635</v>
      </c>
      <c r="B587" s="12">
        <v>45159</v>
      </c>
      <c r="C587" t="s">
        <v>14</v>
      </c>
      <c r="D587" t="s">
        <v>21</v>
      </c>
      <c r="E587" s="13">
        <v>1326.22</v>
      </c>
      <c r="F587" s="13">
        <v>132.62200000000001</v>
      </c>
      <c r="G587" s="13">
        <f t="shared" si="10"/>
        <v>1458.8420000000001</v>
      </c>
    </row>
    <row r="588" spans="1:7" x14ac:dyDescent="0.25">
      <c r="A588">
        <v>10636</v>
      </c>
      <c r="B588" s="12">
        <v>45164</v>
      </c>
      <c r="C588" t="s">
        <v>14</v>
      </c>
      <c r="D588" t="s">
        <v>22</v>
      </c>
      <c r="E588" s="13">
        <v>629.5</v>
      </c>
      <c r="F588" s="13">
        <v>62.95</v>
      </c>
      <c r="G588" s="13">
        <f t="shared" si="10"/>
        <v>692.45</v>
      </c>
    </row>
    <row r="589" spans="1:7" x14ac:dyDescent="0.25">
      <c r="A589">
        <v>10637</v>
      </c>
      <c r="B589" s="12">
        <v>45164</v>
      </c>
      <c r="C589" t="s">
        <v>17</v>
      </c>
      <c r="D589" t="s">
        <v>19</v>
      </c>
      <c r="E589" s="13">
        <v>2761.94</v>
      </c>
      <c r="F589" s="13">
        <v>248.5746</v>
      </c>
      <c r="G589" s="13">
        <f t="shared" si="10"/>
        <v>3010.5146</v>
      </c>
    </row>
    <row r="590" spans="1:7" x14ac:dyDescent="0.25">
      <c r="A590">
        <v>10638</v>
      </c>
      <c r="B590" s="12">
        <v>45170</v>
      </c>
      <c r="C590" t="s">
        <v>14</v>
      </c>
      <c r="D590" t="s">
        <v>24</v>
      </c>
      <c r="E590" s="13">
        <v>2720.05</v>
      </c>
      <c r="F590" s="13">
        <v>217.60400000000001</v>
      </c>
      <c r="G590" s="13">
        <f t="shared" si="10"/>
        <v>2937.654</v>
      </c>
    </row>
    <row r="591" spans="1:7" x14ac:dyDescent="0.25">
      <c r="A591">
        <v>10639</v>
      </c>
      <c r="B591" s="12">
        <v>45165</v>
      </c>
      <c r="C591" t="s">
        <v>17</v>
      </c>
      <c r="D591" t="s">
        <v>23</v>
      </c>
      <c r="E591" s="13">
        <v>500</v>
      </c>
      <c r="F591" s="13">
        <v>45</v>
      </c>
      <c r="G591" s="13">
        <f t="shared" si="10"/>
        <v>545</v>
      </c>
    </row>
    <row r="592" spans="1:7" x14ac:dyDescent="0.25">
      <c r="A592">
        <v>10640</v>
      </c>
      <c r="B592" s="12">
        <v>45166</v>
      </c>
      <c r="C592" t="s">
        <v>14</v>
      </c>
      <c r="D592" t="s">
        <v>22</v>
      </c>
      <c r="E592" s="13">
        <v>708.75</v>
      </c>
      <c r="F592" s="13">
        <v>70.875</v>
      </c>
      <c r="G592" s="13">
        <f t="shared" si="10"/>
        <v>779.625</v>
      </c>
    </row>
    <row r="593" spans="1:7" x14ac:dyDescent="0.25">
      <c r="A593">
        <v>10641</v>
      </c>
      <c r="B593" s="12">
        <v>45164</v>
      </c>
      <c r="C593" t="s">
        <v>14</v>
      </c>
      <c r="D593" t="s">
        <v>22</v>
      </c>
      <c r="E593" s="13">
        <v>2054</v>
      </c>
      <c r="F593" s="13">
        <v>164.32</v>
      </c>
      <c r="G593" s="13">
        <f t="shared" si="10"/>
        <v>2218.3200000000002</v>
      </c>
    </row>
    <row r="594" spans="1:7" x14ac:dyDescent="0.25">
      <c r="A594">
        <v>10642</v>
      </c>
      <c r="B594" s="12">
        <v>45174</v>
      </c>
      <c r="C594" t="s">
        <v>17</v>
      </c>
      <c r="D594" t="s">
        <v>23</v>
      </c>
      <c r="E594" s="13">
        <v>696</v>
      </c>
      <c r="F594" s="13">
        <v>62.64</v>
      </c>
      <c r="G594" s="13">
        <f t="shared" si="10"/>
        <v>758.64</v>
      </c>
    </row>
    <row r="595" spans="1:7" x14ac:dyDescent="0.25">
      <c r="A595">
        <v>10643</v>
      </c>
      <c r="B595" s="12">
        <v>45171</v>
      </c>
      <c r="C595" t="s">
        <v>17</v>
      </c>
      <c r="D595" t="s">
        <v>19</v>
      </c>
      <c r="E595" s="13">
        <v>814.5</v>
      </c>
      <c r="F595" s="13">
        <v>73.304999999999993</v>
      </c>
      <c r="G595" s="13">
        <f t="shared" si="10"/>
        <v>887.80499999999995</v>
      </c>
    </row>
    <row r="596" spans="1:7" x14ac:dyDescent="0.25">
      <c r="A596">
        <v>10644</v>
      </c>
      <c r="B596" s="12">
        <v>45170</v>
      </c>
      <c r="C596" t="s">
        <v>14</v>
      </c>
      <c r="D596" t="s">
        <v>24</v>
      </c>
      <c r="E596" s="13">
        <v>1371.8</v>
      </c>
      <c r="F596" s="13">
        <v>137.18</v>
      </c>
      <c r="G596" s="13">
        <f t="shared" si="10"/>
        <v>1508.98</v>
      </c>
    </row>
    <row r="597" spans="1:7" x14ac:dyDescent="0.25">
      <c r="A597">
        <v>10645</v>
      </c>
      <c r="B597" s="12">
        <v>45171</v>
      </c>
      <c r="C597" t="s">
        <v>14</v>
      </c>
      <c r="D597" t="s">
        <v>22</v>
      </c>
      <c r="E597" s="13">
        <v>1535</v>
      </c>
      <c r="F597" s="13">
        <v>153.5</v>
      </c>
      <c r="G597" s="13">
        <f t="shared" si="10"/>
        <v>1688.5</v>
      </c>
    </row>
    <row r="598" spans="1:7" x14ac:dyDescent="0.25">
      <c r="A598">
        <v>10646</v>
      </c>
      <c r="B598" s="12">
        <v>45172</v>
      </c>
      <c r="C598" t="s">
        <v>17</v>
      </c>
      <c r="D598" t="s">
        <v>16</v>
      </c>
      <c r="E598" s="13">
        <v>1446</v>
      </c>
      <c r="F598" s="13">
        <v>130.13999999999999</v>
      </c>
      <c r="G598" s="13">
        <f t="shared" si="10"/>
        <v>1576.1399999999999</v>
      </c>
    </row>
    <row r="599" spans="1:7" x14ac:dyDescent="0.25">
      <c r="A599">
        <v>10647</v>
      </c>
      <c r="B599" s="12">
        <v>45172</v>
      </c>
      <c r="C599" t="s">
        <v>14</v>
      </c>
      <c r="D599" t="s">
        <v>22</v>
      </c>
      <c r="E599" s="13">
        <v>636</v>
      </c>
      <c r="F599" s="13">
        <v>63.6</v>
      </c>
      <c r="G599" s="13">
        <f t="shared" si="10"/>
        <v>699.6</v>
      </c>
    </row>
    <row r="600" spans="1:7" x14ac:dyDescent="0.25">
      <c r="A600">
        <v>10648</v>
      </c>
      <c r="B600" s="12">
        <v>45178</v>
      </c>
      <c r="C600" t="s">
        <v>17</v>
      </c>
      <c r="D600" t="s">
        <v>20</v>
      </c>
      <c r="E600" s="13">
        <v>372.37</v>
      </c>
      <c r="F600" s="13">
        <v>33.513300000000001</v>
      </c>
      <c r="G600" s="13">
        <f t="shared" si="10"/>
        <v>405.88330000000002</v>
      </c>
    </row>
    <row r="601" spans="1:7" x14ac:dyDescent="0.25">
      <c r="A601">
        <v>10649</v>
      </c>
      <c r="B601" s="12">
        <v>45167</v>
      </c>
      <c r="C601" t="s">
        <v>17</v>
      </c>
      <c r="D601" t="s">
        <v>20</v>
      </c>
      <c r="E601" s="13">
        <v>1434</v>
      </c>
      <c r="F601" s="13">
        <v>129.06</v>
      </c>
      <c r="G601" s="13">
        <f t="shared" si="10"/>
        <v>1563.06</v>
      </c>
    </row>
    <row r="602" spans="1:7" x14ac:dyDescent="0.25">
      <c r="A602">
        <v>10650</v>
      </c>
      <c r="B602" s="12">
        <v>45172</v>
      </c>
      <c r="C602" t="s">
        <v>17</v>
      </c>
      <c r="D602" t="s">
        <v>20</v>
      </c>
      <c r="E602" s="13">
        <v>1779.2</v>
      </c>
      <c r="F602" s="13">
        <v>160.12799999999999</v>
      </c>
      <c r="G602" s="13">
        <f t="shared" si="10"/>
        <v>1939.328</v>
      </c>
    </row>
    <row r="603" spans="1:7" x14ac:dyDescent="0.25">
      <c r="A603">
        <v>10651</v>
      </c>
      <c r="B603" s="12">
        <v>45180</v>
      </c>
      <c r="C603" t="s">
        <v>14</v>
      </c>
      <c r="D603" t="s">
        <v>21</v>
      </c>
      <c r="E603" s="13">
        <v>397.8</v>
      </c>
      <c r="F603" s="13">
        <v>39.78</v>
      </c>
      <c r="G603" s="13">
        <f t="shared" si="10"/>
        <v>437.58000000000004</v>
      </c>
    </row>
    <row r="604" spans="1:7" x14ac:dyDescent="0.25">
      <c r="A604">
        <v>10652</v>
      </c>
      <c r="B604" s="12">
        <v>45177</v>
      </c>
      <c r="C604" t="s">
        <v>14</v>
      </c>
      <c r="D604" t="s">
        <v>22</v>
      </c>
      <c r="E604" s="13">
        <v>318.83999999999997</v>
      </c>
      <c r="F604" s="13">
        <v>31.884</v>
      </c>
      <c r="G604" s="13">
        <f t="shared" si="10"/>
        <v>350.72399999999999</v>
      </c>
    </row>
    <row r="605" spans="1:7" x14ac:dyDescent="0.25">
      <c r="A605">
        <v>10653</v>
      </c>
      <c r="B605" s="12">
        <v>45188</v>
      </c>
      <c r="C605" t="s">
        <v>14</v>
      </c>
      <c r="D605" t="s">
        <v>18</v>
      </c>
      <c r="E605" s="13">
        <v>1083.1500000000001</v>
      </c>
      <c r="F605" s="13">
        <v>108.31500000000001</v>
      </c>
      <c r="G605" s="13">
        <f t="shared" si="10"/>
        <v>1191.4650000000001</v>
      </c>
    </row>
    <row r="606" spans="1:7" x14ac:dyDescent="0.25">
      <c r="A606">
        <v>10654</v>
      </c>
      <c r="B606" s="12">
        <v>45180</v>
      </c>
      <c r="C606" t="s">
        <v>17</v>
      </c>
      <c r="D606" t="s">
        <v>20</v>
      </c>
      <c r="E606" s="13">
        <v>601.83000000000004</v>
      </c>
      <c r="F606" s="13">
        <v>54.164700000000003</v>
      </c>
      <c r="G606" s="13">
        <f t="shared" si="10"/>
        <v>655.99470000000008</v>
      </c>
    </row>
    <row r="607" spans="1:7" x14ac:dyDescent="0.25">
      <c r="A607">
        <v>10655</v>
      </c>
      <c r="B607" s="12">
        <v>45180</v>
      </c>
      <c r="C607" t="s">
        <v>14</v>
      </c>
      <c r="D607" t="s">
        <v>18</v>
      </c>
      <c r="E607" s="13">
        <v>154.4</v>
      </c>
      <c r="F607" s="13">
        <v>15.440000000000001</v>
      </c>
      <c r="G607" s="13">
        <f t="shared" si="10"/>
        <v>169.84</v>
      </c>
    </row>
    <row r="608" spans="1:7" x14ac:dyDescent="0.25">
      <c r="A608">
        <v>10656</v>
      </c>
      <c r="B608" s="12">
        <v>45179</v>
      </c>
      <c r="C608" t="s">
        <v>17</v>
      </c>
      <c r="D608" t="s">
        <v>19</v>
      </c>
      <c r="E608" s="13">
        <v>604.21</v>
      </c>
      <c r="F608" s="13">
        <v>54.378900000000002</v>
      </c>
      <c r="G608" s="13">
        <f t="shared" si="10"/>
        <v>658.58890000000008</v>
      </c>
    </row>
    <row r="609" spans="1:7" x14ac:dyDescent="0.25">
      <c r="A609">
        <v>10657</v>
      </c>
      <c r="B609" s="12">
        <v>45184</v>
      </c>
      <c r="C609" t="s">
        <v>14</v>
      </c>
      <c r="D609" t="s">
        <v>15</v>
      </c>
      <c r="E609" s="13">
        <v>4371.6000000000004</v>
      </c>
      <c r="F609" s="13">
        <v>349.72800000000001</v>
      </c>
      <c r="G609" s="13">
        <f t="shared" si="10"/>
        <v>4721.3280000000004</v>
      </c>
    </row>
    <row r="610" spans="1:7" x14ac:dyDescent="0.25">
      <c r="A610">
        <v>10658</v>
      </c>
      <c r="B610" s="12">
        <v>45177</v>
      </c>
      <c r="C610" t="s">
        <v>14</v>
      </c>
      <c r="D610" t="s">
        <v>22</v>
      </c>
      <c r="E610" s="13">
        <v>4464.6000000000004</v>
      </c>
      <c r="F610" s="13">
        <v>357.16800000000006</v>
      </c>
      <c r="G610" s="13">
        <f t="shared" si="10"/>
        <v>4821.768</v>
      </c>
    </row>
    <row r="611" spans="1:7" x14ac:dyDescent="0.25">
      <c r="A611">
        <v>10659</v>
      </c>
      <c r="B611" s="12">
        <v>45179</v>
      </c>
      <c r="C611" t="s">
        <v>17</v>
      </c>
      <c r="D611" t="s">
        <v>23</v>
      </c>
      <c r="E611" s="13">
        <v>1227.02</v>
      </c>
      <c r="F611" s="13">
        <v>110.4318</v>
      </c>
      <c r="G611" s="13">
        <f t="shared" si="10"/>
        <v>1337.4518</v>
      </c>
    </row>
    <row r="612" spans="1:7" x14ac:dyDescent="0.25">
      <c r="A612">
        <v>10660</v>
      </c>
      <c r="B612" s="12">
        <v>45214</v>
      </c>
      <c r="C612" t="s">
        <v>14</v>
      </c>
      <c r="D612" t="s">
        <v>21</v>
      </c>
      <c r="E612" s="13">
        <v>1701</v>
      </c>
      <c r="F612" s="13">
        <v>170.10000000000002</v>
      </c>
      <c r="G612" s="13">
        <f t="shared" si="10"/>
        <v>1871.1</v>
      </c>
    </row>
    <row r="613" spans="1:7" x14ac:dyDescent="0.25">
      <c r="A613">
        <v>10661</v>
      </c>
      <c r="B613" s="12">
        <v>45184</v>
      </c>
      <c r="C613" t="s">
        <v>17</v>
      </c>
      <c r="D613" t="s">
        <v>23</v>
      </c>
      <c r="E613" s="13">
        <v>562.6</v>
      </c>
      <c r="F613" s="13">
        <v>50.634</v>
      </c>
      <c r="G613" s="13">
        <f t="shared" si="10"/>
        <v>613.23400000000004</v>
      </c>
    </row>
    <row r="614" spans="1:7" x14ac:dyDescent="0.25">
      <c r="A614">
        <v>10662</v>
      </c>
      <c r="B614" s="12">
        <v>45187</v>
      </c>
      <c r="C614" t="s">
        <v>14</v>
      </c>
      <c r="D614" t="s">
        <v>24</v>
      </c>
      <c r="E614" s="13">
        <v>125</v>
      </c>
      <c r="F614" s="13">
        <v>12.5</v>
      </c>
      <c r="G614" s="13">
        <f t="shared" si="10"/>
        <v>137.5</v>
      </c>
    </row>
    <row r="615" spans="1:7" x14ac:dyDescent="0.25">
      <c r="A615">
        <v>10663</v>
      </c>
      <c r="B615" s="12">
        <v>45202</v>
      </c>
      <c r="C615" t="s">
        <v>14</v>
      </c>
      <c r="D615" t="s">
        <v>15</v>
      </c>
      <c r="E615" s="13">
        <v>1930.4</v>
      </c>
      <c r="F615" s="13">
        <v>193.04000000000002</v>
      </c>
      <c r="G615" s="13">
        <f t="shared" si="10"/>
        <v>2123.44</v>
      </c>
    </row>
    <row r="616" spans="1:7" x14ac:dyDescent="0.25">
      <c r="A616">
        <v>10664</v>
      </c>
      <c r="B616" s="12">
        <v>45188</v>
      </c>
      <c r="C616" t="s">
        <v>14</v>
      </c>
      <c r="D616" t="s">
        <v>18</v>
      </c>
      <c r="E616" s="13">
        <v>1288.3900000000001</v>
      </c>
      <c r="F616" s="13">
        <v>128.83900000000003</v>
      </c>
      <c r="G616" s="13">
        <f t="shared" si="10"/>
        <v>1417.229</v>
      </c>
    </row>
    <row r="617" spans="1:7" x14ac:dyDescent="0.25">
      <c r="A617">
        <v>10665</v>
      </c>
      <c r="B617" s="12">
        <v>45186</v>
      </c>
      <c r="C617" t="s">
        <v>14</v>
      </c>
      <c r="D617" t="s">
        <v>18</v>
      </c>
      <c r="E617" s="13">
        <v>1295</v>
      </c>
      <c r="F617" s="13">
        <v>129.5</v>
      </c>
      <c r="G617" s="13">
        <f t="shared" si="10"/>
        <v>1424.5</v>
      </c>
    </row>
    <row r="618" spans="1:7" x14ac:dyDescent="0.25">
      <c r="A618">
        <v>10666</v>
      </c>
      <c r="B618" s="12">
        <v>45191</v>
      </c>
      <c r="C618" t="s">
        <v>17</v>
      </c>
      <c r="D618" t="s">
        <v>23</v>
      </c>
      <c r="E618" s="13">
        <v>4666.9399999999996</v>
      </c>
      <c r="F618" s="13">
        <v>373.35519999999997</v>
      </c>
      <c r="G618" s="13">
        <f t="shared" si="10"/>
        <v>5040.2951999999996</v>
      </c>
    </row>
    <row r="619" spans="1:7" x14ac:dyDescent="0.25">
      <c r="A619">
        <v>10667</v>
      </c>
      <c r="B619" s="12">
        <v>45188</v>
      </c>
      <c r="C619" t="s">
        <v>17</v>
      </c>
      <c r="D619" t="s">
        <v>23</v>
      </c>
      <c r="E619" s="13">
        <v>1536.8</v>
      </c>
      <c r="F619" s="13">
        <v>138.31199999999998</v>
      </c>
      <c r="G619" s="13">
        <f t="shared" si="10"/>
        <v>1675.1119999999999</v>
      </c>
    </row>
    <row r="620" spans="1:7" x14ac:dyDescent="0.25">
      <c r="A620">
        <v>10668</v>
      </c>
      <c r="B620" s="12">
        <v>45192</v>
      </c>
      <c r="C620" t="s">
        <v>14</v>
      </c>
      <c r="D620" t="s">
        <v>18</v>
      </c>
      <c r="E620" s="13">
        <v>625.27</v>
      </c>
      <c r="F620" s="13">
        <v>62.527000000000001</v>
      </c>
      <c r="G620" s="13">
        <f t="shared" si="10"/>
        <v>687.79700000000003</v>
      </c>
    </row>
    <row r="621" spans="1:7" x14ac:dyDescent="0.25">
      <c r="A621">
        <v>10669</v>
      </c>
      <c r="B621" s="12">
        <v>45191</v>
      </c>
      <c r="C621" t="s">
        <v>14</v>
      </c>
      <c r="D621" t="s">
        <v>15</v>
      </c>
      <c r="E621" s="13">
        <v>570</v>
      </c>
      <c r="F621" s="13">
        <v>57</v>
      </c>
      <c r="G621" s="13">
        <f t="shared" si="10"/>
        <v>627</v>
      </c>
    </row>
    <row r="622" spans="1:7" x14ac:dyDescent="0.25">
      <c r="A622">
        <v>10670</v>
      </c>
      <c r="B622" s="12">
        <v>45187</v>
      </c>
      <c r="C622" t="s">
        <v>14</v>
      </c>
      <c r="D622" t="s">
        <v>22</v>
      </c>
      <c r="E622" s="13">
        <v>2301.75</v>
      </c>
      <c r="F622" s="13">
        <v>184.14000000000001</v>
      </c>
      <c r="G622" s="13">
        <f t="shared" si="10"/>
        <v>2485.89</v>
      </c>
    </row>
    <row r="623" spans="1:7" x14ac:dyDescent="0.25">
      <c r="A623">
        <v>10671</v>
      </c>
      <c r="B623" s="12">
        <v>45193</v>
      </c>
      <c r="C623" t="s">
        <v>14</v>
      </c>
      <c r="D623" t="s">
        <v>18</v>
      </c>
      <c r="E623" s="13">
        <v>920.1</v>
      </c>
      <c r="F623" s="13">
        <v>92.01</v>
      </c>
      <c r="G623" s="13">
        <f t="shared" si="10"/>
        <v>1012.11</v>
      </c>
    </row>
    <row r="624" spans="1:7" x14ac:dyDescent="0.25">
      <c r="A624">
        <v>10672</v>
      </c>
      <c r="B624" s="12">
        <v>45195</v>
      </c>
      <c r="C624" t="s">
        <v>17</v>
      </c>
      <c r="D624" t="s">
        <v>16</v>
      </c>
      <c r="E624" s="13">
        <v>3815.25</v>
      </c>
      <c r="F624" s="13">
        <v>305.22000000000003</v>
      </c>
      <c r="G624" s="13">
        <f t="shared" si="10"/>
        <v>4120.47</v>
      </c>
    </row>
    <row r="625" spans="1:7" x14ac:dyDescent="0.25">
      <c r="A625">
        <v>10673</v>
      </c>
      <c r="B625" s="12">
        <v>45188</v>
      </c>
      <c r="C625" t="s">
        <v>14</v>
      </c>
      <c r="D625" t="s">
        <v>15</v>
      </c>
      <c r="E625" s="13">
        <v>412.35</v>
      </c>
      <c r="F625" s="13">
        <v>41.235000000000007</v>
      </c>
      <c r="G625" s="13">
        <f t="shared" si="10"/>
        <v>453.58500000000004</v>
      </c>
    </row>
    <row r="626" spans="1:7" x14ac:dyDescent="0.25">
      <c r="A626">
        <v>10674</v>
      </c>
      <c r="B626" s="12">
        <v>45199</v>
      </c>
      <c r="C626" t="s">
        <v>14</v>
      </c>
      <c r="D626" t="s">
        <v>22</v>
      </c>
      <c r="E626" s="13">
        <v>45</v>
      </c>
      <c r="F626" s="13">
        <v>5</v>
      </c>
      <c r="G626" s="13">
        <f t="shared" si="10"/>
        <v>50</v>
      </c>
    </row>
    <row r="627" spans="1:7" x14ac:dyDescent="0.25">
      <c r="A627">
        <v>10675</v>
      </c>
      <c r="B627" s="12">
        <v>45192</v>
      </c>
      <c r="C627" t="s">
        <v>17</v>
      </c>
      <c r="D627" t="s">
        <v>20</v>
      </c>
      <c r="E627" s="13">
        <v>1423</v>
      </c>
      <c r="F627" s="13">
        <v>128.07</v>
      </c>
      <c r="G627" s="13">
        <f t="shared" si="10"/>
        <v>1551.07</v>
      </c>
    </row>
    <row r="628" spans="1:7" x14ac:dyDescent="0.25">
      <c r="A628">
        <v>10676</v>
      </c>
      <c r="B628" s="12">
        <v>45198</v>
      </c>
      <c r="C628" t="s">
        <v>14</v>
      </c>
      <c r="D628" t="s">
        <v>15</v>
      </c>
      <c r="E628" s="13">
        <v>534.85</v>
      </c>
      <c r="F628" s="13">
        <v>53.485000000000007</v>
      </c>
      <c r="G628" s="13">
        <f t="shared" si="10"/>
        <v>588.33500000000004</v>
      </c>
    </row>
    <row r="629" spans="1:7" x14ac:dyDescent="0.25">
      <c r="A629">
        <v>10677</v>
      </c>
      <c r="B629" s="12">
        <v>45195</v>
      </c>
      <c r="C629" t="s">
        <v>14</v>
      </c>
      <c r="D629" t="s">
        <v>18</v>
      </c>
      <c r="E629" s="13">
        <v>813.36</v>
      </c>
      <c r="F629" s="13">
        <v>81.336000000000013</v>
      </c>
      <c r="G629" s="13">
        <f t="shared" si="10"/>
        <v>894.69600000000003</v>
      </c>
    </row>
    <row r="630" spans="1:7" x14ac:dyDescent="0.25">
      <c r="A630">
        <v>10678</v>
      </c>
      <c r="B630" s="12">
        <v>45215</v>
      </c>
      <c r="C630" t="s">
        <v>17</v>
      </c>
      <c r="D630" t="s">
        <v>23</v>
      </c>
      <c r="E630" s="13">
        <v>5256.5</v>
      </c>
      <c r="F630" s="13">
        <v>420.52</v>
      </c>
      <c r="G630" s="13">
        <f t="shared" si="10"/>
        <v>5677.02</v>
      </c>
    </row>
    <row r="631" spans="1:7" x14ac:dyDescent="0.25">
      <c r="A631">
        <v>10679</v>
      </c>
      <c r="B631" s="12">
        <v>45199</v>
      </c>
      <c r="C631" t="s">
        <v>14</v>
      </c>
      <c r="D631" t="s">
        <v>21</v>
      </c>
      <c r="E631" s="13">
        <v>660</v>
      </c>
      <c r="F631" s="13">
        <v>66</v>
      </c>
      <c r="G631" s="13">
        <f t="shared" si="10"/>
        <v>726</v>
      </c>
    </row>
    <row r="632" spans="1:7" x14ac:dyDescent="0.25">
      <c r="A632">
        <v>10680</v>
      </c>
      <c r="B632" s="12">
        <v>45195</v>
      </c>
      <c r="C632" t="s">
        <v>14</v>
      </c>
      <c r="D632" t="s">
        <v>18</v>
      </c>
      <c r="E632" s="13">
        <v>1261.8800000000001</v>
      </c>
      <c r="F632" s="13">
        <v>126.18800000000002</v>
      </c>
      <c r="G632" s="13">
        <f t="shared" si="10"/>
        <v>1388.0680000000002</v>
      </c>
    </row>
    <row r="633" spans="1:7" x14ac:dyDescent="0.25">
      <c r="A633">
        <v>10681</v>
      </c>
      <c r="B633" s="12">
        <v>45199</v>
      </c>
      <c r="C633" t="s">
        <v>14</v>
      </c>
      <c r="D633" t="s">
        <v>24</v>
      </c>
      <c r="E633" s="13">
        <v>1287.4000000000001</v>
      </c>
      <c r="F633" s="13">
        <v>128.74</v>
      </c>
      <c r="G633" s="13">
        <f t="shared" si="10"/>
        <v>1416.14</v>
      </c>
    </row>
    <row r="634" spans="1:7" x14ac:dyDescent="0.25">
      <c r="A634">
        <v>10682</v>
      </c>
      <c r="B634" s="12">
        <v>45200</v>
      </c>
      <c r="C634" t="s">
        <v>14</v>
      </c>
      <c r="D634" t="s">
        <v>24</v>
      </c>
      <c r="E634" s="13">
        <v>375.5</v>
      </c>
      <c r="F634" s="13">
        <v>37.550000000000004</v>
      </c>
      <c r="G634" s="13">
        <f t="shared" si="10"/>
        <v>413.05</v>
      </c>
    </row>
    <row r="635" spans="1:7" x14ac:dyDescent="0.25">
      <c r="A635">
        <v>10683</v>
      </c>
      <c r="B635" s="12">
        <v>45200</v>
      </c>
      <c r="C635" t="s">
        <v>14</v>
      </c>
      <c r="D635" t="s">
        <v>15</v>
      </c>
      <c r="E635" s="13">
        <v>63</v>
      </c>
      <c r="F635" s="13">
        <v>6.3000000000000007</v>
      </c>
      <c r="G635" s="13">
        <f t="shared" si="10"/>
        <v>69.3</v>
      </c>
    </row>
    <row r="636" spans="1:7" x14ac:dyDescent="0.25">
      <c r="A636">
        <v>10684</v>
      </c>
      <c r="B636" s="12">
        <v>45199</v>
      </c>
      <c r="C636" t="s">
        <v>14</v>
      </c>
      <c r="D636" t="s">
        <v>24</v>
      </c>
      <c r="E636" s="13">
        <v>1768</v>
      </c>
      <c r="F636" s="13">
        <v>176.8</v>
      </c>
      <c r="G636" s="13">
        <f t="shared" si="10"/>
        <v>1944.8</v>
      </c>
    </row>
    <row r="637" spans="1:7" x14ac:dyDescent="0.25">
      <c r="A637">
        <v>10685</v>
      </c>
      <c r="B637" s="12">
        <v>45202</v>
      </c>
      <c r="C637" t="s">
        <v>14</v>
      </c>
      <c r="D637" t="s">
        <v>22</v>
      </c>
      <c r="E637" s="13">
        <v>801.1</v>
      </c>
      <c r="F637" s="13">
        <v>80.110000000000014</v>
      </c>
      <c r="G637" s="13">
        <f t="shared" si="10"/>
        <v>881.21</v>
      </c>
    </row>
    <row r="638" spans="1:7" x14ac:dyDescent="0.25">
      <c r="A638">
        <v>10686</v>
      </c>
      <c r="B638" s="12">
        <v>45207</v>
      </c>
      <c r="C638" t="s">
        <v>14</v>
      </c>
      <c r="D638" t="s">
        <v>15</v>
      </c>
      <c r="E638" s="13">
        <v>1404.45</v>
      </c>
      <c r="F638" s="13">
        <v>140.44500000000002</v>
      </c>
      <c r="G638" s="13">
        <f t="shared" si="10"/>
        <v>1544.895</v>
      </c>
    </row>
    <row r="639" spans="1:7" x14ac:dyDescent="0.25">
      <c r="A639">
        <v>10687</v>
      </c>
      <c r="B639" s="12">
        <v>45229</v>
      </c>
      <c r="C639" t="s">
        <v>17</v>
      </c>
      <c r="D639" t="s">
        <v>16</v>
      </c>
      <c r="E639" s="13">
        <v>4960.8999999999996</v>
      </c>
      <c r="F639" s="13">
        <v>396.87199999999996</v>
      </c>
      <c r="G639" s="13">
        <f t="shared" si="10"/>
        <v>5357.7719999999999</v>
      </c>
    </row>
    <row r="640" spans="1:7" x14ac:dyDescent="0.25">
      <c r="A640">
        <v>10688</v>
      </c>
      <c r="B640" s="12">
        <v>45206</v>
      </c>
      <c r="C640" t="s">
        <v>14</v>
      </c>
      <c r="D640" t="s">
        <v>22</v>
      </c>
      <c r="E640" s="13">
        <v>3160.6</v>
      </c>
      <c r="F640" s="13">
        <v>252.84799999999998</v>
      </c>
      <c r="G640" s="13">
        <f t="shared" si="10"/>
        <v>3413.4479999999999</v>
      </c>
    </row>
    <row r="641" spans="1:7" x14ac:dyDescent="0.25">
      <c r="A641">
        <v>10689</v>
      </c>
      <c r="B641" s="12">
        <v>45206</v>
      </c>
      <c r="C641" t="s">
        <v>14</v>
      </c>
      <c r="D641" t="s">
        <v>18</v>
      </c>
      <c r="E641" s="13">
        <v>472.5</v>
      </c>
      <c r="F641" s="13">
        <v>47.25</v>
      </c>
      <c r="G641" s="13">
        <f t="shared" si="10"/>
        <v>519.75</v>
      </c>
    </row>
    <row r="642" spans="1:7" x14ac:dyDescent="0.25">
      <c r="A642">
        <v>10690</v>
      </c>
      <c r="B642" s="12">
        <v>45202</v>
      </c>
      <c r="C642" t="s">
        <v>14</v>
      </c>
      <c r="D642" t="s">
        <v>18</v>
      </c>
      <c r="E642" s="13">
        <v>862.5</v>
      </c>
      <c r="F642" s="13">
        <v>86.25</v>
      </c>
      <c r="G642" s="13">
        <f t="shared" si="10"/>
        <v>948.75</v>
      </c>
    </row>
    <row r="643" spans="1:7" x14ac:dyDescent="0.25">
      <c r="A643">
        <v>10691</v>
      </c>
      <c r="B643" s="12">
        <v>45221</v>
      </c>
      <c r="C643" t="s">
        <v>14</v>
      </c>
      <c r="D643" t="s">
        <v>15</v>
      </c>
      <c r="E643" s="13">
        <v>10164.799999999999</v>
      </c>
      <c r="F643" s="13">
        <v>508.24</v>
      </c>
      <c r="G643" s="13">
        <f t="shared" si="10"/>
        <v>10673.039999999999</v>
      </c>
    </row>
    <row r="644" spans="1:7" x14ac:dyDescent="0.25">
      <c r="A644">
        <v>10692</v>
      </c>
      <c r="B644" s="12">
        <v>45212</v>
      </c>
      <c r="C644" t="s">
        <v>14</v>
      </c>
      <c r="D644" t="s">
        <v>22</v>
      </c>
      <c r="E644" s="13">
        <v>878</v>
      </c>
      <c r="F644" s="13">
        <v>87.800000000000011</v>
      </c>
      <c r="G644" s="13">
        <f t="shared" si="10"/>
        <v>965.8</v>
      </c>
    </row>
    <row r="645" spans="1:7" x14ac:dyDescent="0.25">
      <c r="A645">
        <v>10693</v>
      </c>
      <c r="B645" s="12">
        <v>45209</v>
      </c>
      <c r="C645" t="s">
        <v>14</v>
      </c>
      <c r="D645" t="s">
        <v>24</v>
      </c>
      <c r="E645" s="13">
        <v>2071.1999999999998</v>
      </c>
      <c r="F645" s="13">
        <v>165.696</v>
      </c>
      <c r="G645" s="13">
        <f t="shared" ref="G645:G708" si="11">SUM(E645:F645)</f>
        <v>2236.8959999999997</v>
      </c>
    </row>
    <row r="646" spans="1:7" x14ac:dyDescent="0.25">
      <c r="A646">
        <v>10694</v>
      </c>
      <c r="B646" s="12">
        <v>45208</v>
      </c>
      <c r="C646" t="s">
        <v>14</v>
      </c>
      <c r="D646" t="s">
        <v>21</v>
      </c>
      <c r="E646" s="13">
        <v>4825</v>
      </c>
      <c r="F646" s="13">
        <v>386</v>
      </c>
      <c r="G646" s="13">
        <f t="shared" si="11"/>
        <v>5211</v>
      </c>
    </row>
    <row r="647" spans="1:7" x14ac:dyDescent="0.25">
      <c r="A647">
        <v>10695</v>
      </c>
      <c r="B647" s="12">
        <v>45213</v>
      </c>
      <c r="C647" t="s">
        <v>17</v>
      </c>
      <c r="D647" t="s">
        <v>23</v>
      </c>
      <c r="E647" s="13">
        <v>642</v>
      </c>
      <c r="F647" s="13">
        <v>57.78</v>
      </c>
      <c r="G647" s="13">
        <f t="shared" si="11"/>
        <v>699.78</v>
      </c>
    </row>
    <row r="648" spans="1:7" x14ac:dyDescent="0.25">
      <c r="A648">
        <v>10696</v>
      </c>
      <c r="B648" s="12">
        <v>45213</v>
      </c>
      <c r="C648" t="s">
        <v>14</v>
      </c>
      <c r="D648" t="s">
        <v>21</v>
      </c>
      <c r="E648" s="13">
        <v>996</v>
      </c>
      <c r="F648" s="13">
        <v>99.600000000000009</v>
      </c>
      <c r="G648" s="13">
        <f t="shared" si="11"/>
        <v>1095.5999999999999</v>
      </c>
    </row>
    <row r="649" spans="1:7" x14ac:dyDescent="0.25">
      <c r="A649">
        <v>10697</v>
      </c>
      <c r="B649" s="12">
        <v>45213</v>
      </c>
      <c r="C649" t="s">
        <v>14</v>
      </c>
      <c r="D649" t="s">
        <v>24</v>
      </c>
      <c r="E649" s="13">
        <v>805.43</v>
      </c>
      <c r="F649" s="13">
        <v>80.543000000000006</v>
      </c>
      <c r="G649" s="13">
        <f t="shared" si="11"/>
        <v>885.97299999999996</v>
      </c>
    </row>
    <row r="650" spans="1:7" x14ac:dyDescent="0.25">
      <c r="A650">
        <v>10698</v>
      </c>
      <c r="B650" s="12">
        <v>45216</v>
      </c>
      <c r="C650" t="s">
        <v>14</v>
      </c>
      <c r="D650" t="s">
        <v>22</v>
      </c>
      <c r="E650" s="13">
        <v>3436.45</v>
      </c>
      <c r="F650" s="13">
        <v>274.916</v>
      </c>
      <c r="G650" s="13">
        <f t="shared" si="11"/>
        <v>3711.366</v>
      </c>
    </row>
    <row r="651" spans="1:7" x14ac:dyDescent="0.25">
      <c r="A651">
        <v>10699</v>
      </c>
      <c r="B651" s="12">
        <v>45212</v>
      </c>
      <c r="C651" t="s">
        <v>14</v>
      </c>
      <c r="D651" t="s">
        <v>24</v>
      </c>
      <c r="E651" s="13">
        <v>114</v>
      </c>
      <c r="F651" s="13">
        <v>11.4</v>
      </c>
      <c r="G651" s="13">
        <f t="shared" si="11"/>
        <v>125.4</v>
      </c>
    </row>
    <row r="652" spans="1:7" x14ac:dyDescent="0.25">
      <c r="A652">
        <v>10700</v>
      </c>
      <c r="B652" s="12">
        <v>45215</v>
      </c>
      <c r="C652" t="s">
        <v>14</v>
      </c>
      <c r="D652" t="s">
        <v>24</v>
      </c>
      <c r="E652" s="13">
        <v>1638.4</v>
      </c>
      <c r="F652" s="13">
        <v>163.84000000000003</v>
      </c>
      <c r="G652" s="13">
        <f t="shared" si="11"/>
        <v>1802.2400000000002</v>
      </c>
    </row>
    <row r="653" spans="1:7" x14ac:dyDescent="0.25">
      <c r="A653">
        <v>10701</v>
      </c>
      <c r="B653" s="12">
        <v>45214</v>
      </c>
      <c r="C653" t="s">
        <v>17</v>
      </c>
      <c r="D653" t="s">
        <v>19</v>
      </c>
      <c r="E653" s="13">
        <v>2864.5</v>
      </c>
      <c r="F653" s="13">
        <v>257.80500000000001</v>
      </c>
      <c r="G653" s="13">
        <f t="shared" si="11"/>
        <v>3122.3049999999998</v>
      </c>
    </row>
    <row r="654" spans="1:7" x14ac:dyDescent="0.25">
      <c r="A654">
        <v>10702</v>
      </c>
      <c r="B654" s="12">
        <v>45220</v>
      </c>
      <c r="C654" t="s">
        <v>14</v>
      </c>
      <c r="D654" t="s">
        <v>22</v>
      </c>
      <c r="E654" s="13">
        <v>330</v>
      </c>
      <c r="F654" s="13">
        <v>33</v>
      </c>
      <c r="G654" s="13">
        <f t="shared" si="11"/>
        <v>363</v>
      </c>
    </row>
    <row r="655" spans="1:7" x14ac:dyDescent="0.25">
      <c r="A655">
        <v>10703</v>
      </c>
      <c r="B655" s="12">
        <v>45219</v>
      </c>
      <c r="C655" t="s">
        <v>17</v>
      </c>
      <c r="D655" t="s">
        <v>19</v>
      </c>
      <c r="E655" s="13">
        <v>2545</v>
      </c>
      <c r="F655" s="13">
        <v>229.04999999999998</v>
      </c>
      <c r="G655" s="13">
        <f t="shared" si="11"/>
        <v>2774.05</v>
      </c>
    </row>
    <row r="656" spans="1:7" x14ac:dyDescent="0.25">
      <c r="A656">
        <v>10704</v>
      </c>
      <c r="B656" s="12">
        <v>45237</v>
      </c>
      <c r="C656" t="s">
        <v>17</v>
      </c>
      <c r="D656" t="s">
        <v>19</v>
      </c>
      <c r="E656" s="13">
        <v>595.5</v>
      </c>
      <c r="F656" s="13">
        <v>53.594999999999999</v>
      </c>
      <c r="G656" s="13">
        <f t="shared" si="11"/>
        <v>649.09500000000003</v>
      </c>
    </row>
    <row r="657" spans="1:7" x14ac:dyDescent="0.25">
      <c r="A657">
        <v>10705</v>
      </c>
      <c r="B657" s="12">
        <v>45248</v>
      </c>
      <c r="C657" t="s">
        <v>17</v>
      </c>
      <c r="D657" t="s">
        <v>16</v>
      </c>
      <c r="E657" s="13">
        <v>378</v>
      </c>
      <c r="F657" s="13">
        <v>34.019999999999996</v>
      </c>
      <c r="G657" s="13">
        <f t="shared" si="11"/>
        <v>412.02</v>
      </c>
    </row>
    <row r="658" spans="1:7" x14ac:dyDescent="0.25">
      <c r="A658">
        <v>10706</v>
      </c>
      <c r="B658" s="12">
        <v>45220</v>
      </c>
      <c r="C658" t="s">
        <v>14</v>
      </c>
      <c r="D658" t="s">
        <v>21</v>
      </c>
      <c r="E658" s="13">
        <v>1893</v>
      </c>
      <c r="F658" s="13">
        <v>189.3</v>
      </c>
      <c r="G658" s="13">
        <f t="shared" si="11"/>
        <v>2082.3000000000002</v>
      </c>
    </row>
    <row r="659" spans="1:7" x14ac:dyDescent="0.25">
      <c r="A659">
        <v>10707</v>
      </c>
      <c r="B659" s="12">
        <v>45222</v>
      </c>
      <c r="C659" t="s">
        <v>14</v>
      </c>
      <c r="D659" t="s">
        <v>22</v>
      </c>
      <c r="E659" s="13">
        <v>1641</v>
      </c>
      <c r="F659" s="13">
        <v>164.10000000000002</v>
      </c>
      <c r="G659" s="13">
        <f t="shared" si="11"/>
        <v>1805.1</v>
      </c>
    </row>
    <row r="660" spans="1:7" x14ac:dyDescent="0.25">
      <c r="A660">
        <v>10708</v>
      </c>
      <c r="B660" s="12">
        <v>45235</v>
      </c>
      <c r="C660" t="s">
        <v>17</v>
      </c>
      <c r="D660" t="s">
        <v>19</v>
      </c>
      <c r="E660" s="13">
        <v>180.4</v>
      </c>
      <c r="F660" s="13">
        <v>16.236000000000001</v>
      </c>
      <c r="G660" s="13">
        <f t="shared" si="11"/>
        <v>196.636</v>
      </c>
    </row>
    <row r="661" spans="1:7" x14ac:dyDescent="0.25">
      <c r="A661">
        <v>10709</v>
      </c>
      <c r="B661" s="12">
        <v>45250</v>
      </c>
      <c r="C661" t="s">
        <v>14</v>
      </c>
      <c r="D661" t="s">
        <v>18</v>
      </c>
      <c r="E661" s="13">
        <v>3424</v>
      </c>
      <c r="F661" s="13">
        <v>273.92</v>
      </c>
      <c r="G661" s="13">
        <f t="shared" si="11"/>
        <v>3697.92</v>
      </c>
    </row>
    <row r="662" spans="1:7" x14ac:dyDescent="0.25">
      <c r="A662">
        <v>10710</v>
      </c>
      <c r="B662" s="12">
        <v>45222</v>
      </c>
      <c r="C662" t="s">
        <v>14</v>
      </c>
      <c r="D662" t="s">
        <v>18</v>
      </c>
      <c r="E662" s="13">
        <v>93.5</v>
      </c>
      <c r="F662" s="13">
        <v>9.35</v>
      </c>
      <c r="G662" s="13">
        <f t="shared" si="11"/>
        <v>102.85</v>
      </c>
    </row>
    <row r="663" spans="1:7" x14ac:dyDescent="0.25">
      <c r="A663">
        <v>10711</v>
      </c>
      <c r="B663" s="12">
        <v>45228</v>
      </c>
      <c r="C663" t="s">
        <v>17</v>
      </c>
      <c r="D663" t="s">
        <v>20</v>
      </c>
      <c r="E663" s="13">
        <v>4451.7</v>
      </c>
      <c r="F663" s="13">
        <v>356.13599999999997</v>
      </c>
      <c r="G663" s="13">
        <f t="shared" si="11"/>
        <v>4807.8359999999993</v>
      </c>
    </row>
    <row r="664" spans="1:7" x14ac:dyDescent="0.25">
      <c r="A664">
        <v>10712</v>
      </c>
      <c r="B664" s="12">
        <v>45230</v>
      </c>
      <c r="C664" t="s">
        <v>14</v>
      </c>
      <c r="D664" t="s">
        <v>24</v>
      </c>
      <c r="E664" s="13">
        <v>1233.48</v>
      </c>
      <c r="F664" s="13">
        <v>123.34800000000001</v>
      </c>
      <c r="G664" s="13">
        <f t="shared" si="11"/>
        <v>1356.828</v>
      </c>
    </row>
    <row r="665" spans="1:7" x14ac:dyDescent="0.25">
      <c r="A665">
        <v>10713</v>
      </c>
      <c r="B665" s="12">
        <v>45223</v>
      </c>
      <c r="C665" t="s">
        <v>14</v>
      </c>
      <c r="D665" t="s">
        <v>18</v>
      </c>
      <c r="E665" s="13">
        <v>2827.9</v>
      </c>
      <c r="F665" s="13">
        <v>226.232</v>
      </c>
      <c r="G665" s="13">
        <f t="shared" si="11"/>
        <v>3054.1320000000001</v>
      </c>
    </row>
    <row r="666" spans="1:7" x14ac:dyDescent="0.25">
      <c r="A666">
        <v>10714</v>
      </c>
      <c r="B666" s="12">
        <v>45226</v>
      </c>
      <c r="C666" t="s">
        <v>17</v>
      </c>
      <c r="D666" t="s">
        <v>20</v>
      </c>
      <c r="E666" s="13">
        <v>2205.75</v>
      </c>
      <c r="F666" s="13">
        <v>198.51749999999998</v>
      </c>
      <c r="G666" s="13">
        <f t="shared" si="11"/>
        <v>2404.2674999999999</v>
      </c>
    </row>
    <row r="667" spans="1:7" x14ac:dyDescent="0.25">
      <c r="A667">
        <v>10715</v>
      </c>
      <c r="B667" s="12">
        <v>45228</v>
      </c>
      <c r="C667" t="s">
        <v>14</v>
      </c>
      <c r="D667" t="s">
        <v>24</v>
      </c>
      <c r="E667" s="13">
        <v>1296</v>
      </c>
      <c r="F667" s="13">
        <v>129.6</v>
      </c>
      <c r="G667" s="13">
        <f t="shared" si="11"/>
        <v>1425.6</v>
      </c>
    </row>
    <row r="668" spans="1:7" x14ac:dyDescent="0.25">
      <c r="A668">
        <v>10716</v>
      </c>
      <c r="B668" s="12">
        <v>45226</v>
      </c>
      <c r="C668" t="s">
        <v>14</v>
      </c>
      <c r="D668" t="s">
        <v>22</v>
      </c>
      <c r="E668" s="13">
        <v>706</v>
      </c>
      <c r="F668" s="13">
        <v>70.600000000000009</v>
      </c>
      <c r="G668" s="13">
        <f t="shared" si="11"/>
        <v>776.6</v>
      </c>
    </row>
    <row r="669" spans="1:7" x14ac:dyDescent="0.25">
      <c r="A669">
        <v>10717</v>
      </c>
      <c r="B669" s="12">
        <v>45228</v>
      </c>
      <c r="C669" t="s">
        <v>14</v>
      </c>
      <c r="D669" t="s">
        <v>18</v>
      </c>
      <c r="E669" s="13">
        <v>1270.75</v>
      </c>
      <c r="F669" s="13">
        <v>127.075</v>
      </c>
      <c r="G669" s="13">
        <f t="shared" si="11"/>
        <v>1397.825</v>
      </c>
    </row>
    <row r="670" spans="1:7" x14ac:dyDescent="0.25">
      <c r="A670">
        <v>10718</v>
      </c>
      <c r="B670" s="12">
        <v>45228</v>
      </c>
      <c r="C670" t="s">
        <v>14</v>
      </c>
      <c r="D670" t="s">
        <v>18</v>
      </c>
      <c r="E670" s="13">
        <v>3463</v>
      </c>
      <c r="F670" s="13">
        <v>277.04000000000002</v>
      </c>
      <c r="G670" s="13">
        <f t="shared" si="11"/>
        <v>3740.04</v>
      </c>
    </row>
    <row r="671" spans="1:7" x14ac:dyDescent="0.25">
      <c r="A671">
        <v>10719</v>
      </c>
      <c r="B671" s="12">
        <v>45235</v>
      </c>
      <c r="C671" t="s">
        <v>14</v>
      </c>
      <c r="D671" t="s">
        <v>21</v>
      </c>
      <c r="E671" s="13">
        <v>844.25</v>
      </c>
      <c r="F671" s="13">
        <v>84.425000000000011</v>
      </c>
      <c r="G671" s="13">
        <f t="shared" si="11"/>
        <v>928.67499999999995</v>
      </c>
    </row>
    <row r="672" spans="1:7" x14ac:dyDescent="0.25">
      <c r="A672">
        <v>10720</v>
      </c>
      <c r="B672" s="12">
        <v>45235</v>
      </c>
      <c r="C672" t="s">
        <v>14</v>
      </c>
      <c r="D672" t="s">
        <v>21</v>
      </c>
      <c r="E672" s="13">
        <v>550</v>
      </c>
      <c r="F672" s="13">
        <v>55</v>
      </c>
      <c r="G672" s="13">
        <f t="shared" si="11"/>
        <v>605</v>
      </c>
    </row>
    <row r="673" spans="1:7" x14ac:dyDescent="0.25">
      <c r="A673">
        <v>10721</v>
      </c>
      <c r="B673" s="12">
        <v>45230</v>
      </c>
      <c r="C673" t="s">
        <v>17</v>
      </c>
      <c r="D673" t="s">
        <v>20</v>
      </c>
      <c r="E673" s="13">
        <v>923.87</v>
      </c>
      <c r="F673" s="13">
        <v>83.148299999999992</v>
      </c>
      <c r="G673" s="13">
        <f t="shared" si="11"/>
        <v>1007.0183</v>
      </c>
    </row>
    <row r="674" spans="1:7" x14ac:dyDescent="0.25">
      <c r="A674">
        <v>10722</v>
      </c>
      <c r="B674" s="12">
        <v>45234</v>
      </c>
      <c r="C674" t="s">
        <v>14</v>
      </c>
      <c r="D674" t="s">
        <v>21</v>
      </c>
      <c r="E674" s="13">
        <v>1570</v>
      </c>
      <c r="F674" s="13">
        <v>157</v>
      </c>
      <c r="G674" s="13">
        <f t="shared" si="11"/>
        <v>1727</v>
      </c>
    </row>
    <row r="675" spans="1:7" x14ac:dyDescent="0.25">
      <c r="A675">
        <v>10723</v>
      </c>
      <c r="B675" s="12">
        <v>45255</v>
      </c>
      <c r="C675" t="s">
        <v>14</v>
      </c>
      <c r="D675" t="s">
        <v>24</v>
      </c>
      <c r="E675" s="13">
        <v>468.45</v>
      </c>
      <c r="F675" s="13">
        <v>46.844999999999999</v>
      </c>
      <c r="G675" s="13">
        <f t="shared" si="11"/>
        <v>515.29499999999996</v>
      </c>
    </row>
    <row r="676" spans="1:7" x14ac:dyDescent="0.25">
      <c r="A676">
        <v>10724</v>
      </c>
      <c r="B676" s="12">
        <v>45235</v>
      </c>
      <c r="C676" t="s">
        <v>14</v>
      </c>
      <c r="D676" t="s">
        <v>21</v>
      </c>
      <c r="E676" s="13">
        <v>638.5</v>
      </c>
      <c r="F676" s="13">
        <v>63.85</v>
      </c>
      <c r="G676" s="13">
        <f t="shared" si="11"/>
        <v>702.35</v>
      </c>
    </row>
    <row r="677" spans="1:7" x14ac:dyDescent="0.25">
      <c r="A677">
        <v>10725</v>
      </c>
      <c r="B677" s="12">
        <v>45235</v>
      </c>
      <c r="C677" t="s">
        <v>14</v>
      </c>
      <c r="D677" t="s">
        <v>22</v>
      </c>
      <c r="E677" s="13">
        <v>287.8</v>
      </c>
      <c r="F677" s="13">
        <v>28.78</v>
      </c>
      <c r="G677" s="13">
        <f t="shared" si="11"/>
        <v>316.58000000000004</v>
      </c>
    </row>
    <row r="678" spans="1:7" x14ac:dyDescent="0.25">
      <c r="A678">
        <v>10726</v>
      </c>
      <c r="B678" s="12">
        <v>45265</v>
      </c>
      <c r="C678" t="s">
        <v>14</v>
      </c>
      <c r="D678" t="s">
        <v>22</v>
      </c>
      <c r="E678" s="13">
        <v>655</v>
      </c>
      <c r="F678" s="13">
        <v>65.5</v>
      </c>
      <c r="G678" s="13">
        <f t="shared" si="11"/>
        <v>720.5</v>
      </c>
    </row>
    <row r="679" spans="1:7" x14ac:dyDescent="0.25">
      <c r="A679">
        <v>10727</v>
      </c>
      <c r="B679" s="12">
        <v>45265</v>
      </c>
      <c r="C679" t="s">
        <v>14</v>
      </c>
      <c r="D679" t="s">
        <v>15</v>
      </c>
      <c r="E679" s="13">
        <v>1624.5</v>
      </c>
      <c r="F679" s="13">
        <v>162.45000000000002</v>
      </c>
      <c r="G679" s="13">
        <f t="shared" si="11"/>
        <v>1786.95</v>
      </c>
    </row>
    <row r="680" spans="1:7" x14ac:dyDescent="0.25">
      <c r="A680">
        <v>10728</v>
      </c>
      <c r="B680" s="12">
        <v>45241</v>
      </c>
      <c r="C680" t="s">
        <v>14</v>
      </c>
      <c r="D680" t="s">
        <v>22</v>
      </c>
      <c r="E680" s="13">
        <v>1296.75</v>
      </c>
      <c r="F680" s="13">
        <v>129.67500000000001</v>
      </c>
      <c r="G680" s="13">
        <f t="shared" si="11"/>
        <v>1426.425</v>
      </c>
    </row>
    <row r="681" spans="1:7" x14ac:dyDescent="0.25">
      <c r="A681">
        <v>10729</v>
      </c>
      <c r="B681" s="12">
        <v>45244</v>
      </c>
      <c r="C681" t="s">
        <v>14</v>
      </c>
      <c r="D681" t="s">
        <v>21</v>
      </c>
      <c r="E681" s="13">
        <v>1850</v>
      </c>
      <c r="F681" s="13">
        <v>185</v>
      </c>
      <c r="G681" s="13">
        <f t="shared" si="11"/>
        <v>2035</v>
      </c>
    </row>
    <row r="682" spans="1:7" x14ac:dyDescent="0.25">
      <c r="A682">
        <v>10730</v>
      </c>
      <c r="B682" s="12">
        <v>45244</v>
      </c>
      <c r="C682" t="s">
        <v>17</v>
      </c>
      <c r="D682" t="s">
        <v>20</v>
      </c>
      <c r="E682" s="13">
        <v>484.25</v>
      </c>
      <c r="F682" s="13">
        <v>43.582499999999996</v>
      </c>
      <c r="G682" s="13">
        <f t="shared" si="11"/>
        <v>527.83249999999998</v>
      </c>
    </row>
    <row r="683" spans="1:7" x14ac:dyDescent="0.25">
      <c r="A683">
        <v>10731</v>
      </c>
      <c r="B683" s="12">
        <v>45244</v>
      </c>
      <c r="C683" t="s">
        <v>17</v>
      </c>
      <c r="D683" t="s">
        <v>23</v>
      </c>
      <c r="E683" s="13">
        <v>1890.5</v>
      </c>
      <c r="F683" s="13">
        <v>170.14499999999998</v>
      </c>
      <c r="G683" s="13">
        <f t="shared" si="11"/>
        <v>2060.645</v>
      </c>
    </row>
    <row r="684" spans="1:7" x14ac:dyDescent="0.25">
      <c r="A684">
        <v>10732</v>
      </c>
      <c r="B684" s="12">
        <v>45237</v>
      </c>
      <c r="C684" t="s">
        <v>14</v>
      </c>
      <c r="D684" t="s">
        <v>24</v>
      </c>
      <c r="E684" s="13">
        <v>360</v>
      </c>
      <c r="F684" s="13">
        <v>36</v>
      </c>
      <c r="G684" s="13">
        <f t="shared" si="11"/>
        <v>396</v>
      </c>
    </row>
    <row r="685" spans="1:7" x14ac:dyDescent="0.25">
      <c r="A685">
        <v>10733</v>
      </c>
      <c r="B685" s="12">
        <v>45240</v>
      </c>
      <c r="C685" t="s">
        <v>14</v>
      </c>
      <c r="D685" t="s">
        <v>18</v>
      </c>
      <c r="E685" s="13">
        <v>1459</v>
      </c>
      <c r="F685" s="13">
        <v>145.9</v>
      </c>
      <c r="G685" s="13">
        <f t="shared" si="11"/>
        <v>1604.9</v>
      </c>
    </row>
    <row r="686" spans="1:7" x14ac:dyDescent="0.25">
      <c r="A686">
        <v>10734</v>
      </c>
      <c r="B686" s="12">
        <v>45242</v>
      </c>
      <c r="C686" t="s">
        <v>14</v>
      </c>
      <c r="D686" t="s">
        <v>15</v>
      </c>
      <c r="E686" s="13">
        <v>1498.35</v>
      </c>
      <c r="F686" s="13">
        <v>149.83500000000001</v>
      </c>
      <c r="G686" s="13">
        <f t="shared" si="11"/>
        <v>1648.1849999999999</v>
      </c>
    </row>
    <row r="687" spans="1:7" x14ac:dyDescent="0.25">
      <c r="A687">
        <v>10735</v>
      </c>
      <c r="B687" s="12">
        <v>45251</v>
      </c>
      <c r="C687" t="s">
        <v>17</v>
      </c>
      <c r="D687" t="s">
        <v>19</v>
      </c>
      <c r="E687" s="13">
        <v>536.4</v>
      </c>
      <c r="F687" s="13">
        <v>48.275999999999996</v>
      </c>
      <c r="G687" s="13">
        <f t="shared" si="11"/>
        <v>584.67599999999993</v>
      </c>
    </row>
    <row r="688" spans="1:7" x14ac:dyDescent="0.25">
      <c r="A688">
        <v>10736</v>
      </c>
      <c r="B688" s="12">
        <v>45251</v>
      </c>
      <c r="C688" t="s">
        <v>17</v>
      </c>
      <c r="D688" t="s">
        <v>16</v>
      </c>
      <c r="E688" s="13">
        <v>997</v>
      </c>
      <c r="F688" s="13">
        <v>89.72999999999999</v>
      </c>
      <c r="G688" s="13">
        <f t="shared" si="11"/>
        <v>1086.73</v>
      </c>
    </row>
    <row r="689" spans="1:7" x14ac:dyDescent="0.25">
      <c r="A689">
        <v>10737</v>
      </c>
      <c r="B689" s="12">
        <v>45248</v>
      </c>
      <c r="C689" t="s">
        <v>14</v>
      </c>
      <c r="D689" t="s">
        <v>15</v>
      </c>
      <c r="E689" s="13">
        <v>139.80000000000001</v>
      </c>
      <c r="F689" s="13">
        <v>13.980000000000002</v>
      </c>
      <c r="G689" s="13">
        <f t="shared" si="11"/>
        <v>153.78</v>
      </c>
    </row>
    <row r="690" spans="1:7" x14ac:dyDescent="0.25">
      <c r="A690">
        <v>10738</v>
      </c>
      <c r="B690" s="12">
        <v>45248</v>
      </c>
      <c r="C690" t="s">
        <v>14</v>
      </c>
      <c r="D690" t="s">
        <v>15</v>
      </c>
      <c r="E690" s="13">
        <v>52.35</v>
      </c>
      <c r="F690" s="13">
        <v>5.2350000000000003</v>
      </c>
      <c r="G690" s="13">
        <f t="shared" si="11"/>
        <v>57.585000000000001</v>
      </c>
    </row>
    <row r="691" spans="1:7" x14ac:dyDescent="0.25">
      <c r="A691">
        <v>10739</v>
      </c>
      <c r="B691" s="12">
        <v>45247</v>
      </c>
      <c r="C691" t="s">
        <v>14</v>
      </c>
      <c r="D691" t="s">
        <v>24</v>
      </c>
      <c r="E691" s="13">
        <v>240</v>
      </c>
      <c r="F691" s="13">
        <v>24</v>
      </c>
      <c r="G691" s="13">
        <f t="shared" si="11"/>
        <v>264</v>
      </c>
    </row>
    <row r="692" spans="1:7" x14ac:dyDescent="0.25">
      <c r="A692">
        <v>10740</v>
      </c>
      <c r="B692" s="12">
        <v>45255</v>
      </c>
      <c r="C692" t="s">
        <v>14</v>
      </c>
      <c r="D692" t="s">
        <v>22</v>
      </c>
      <c r="E692" s="13">
        <v>1416</v>
      </c>
      <c r="F692" s="13">
        <v>141.6</v>
      </c>
      <c r="G692" s="13">
        <f t="shared" si="11"/>
        <v>1557.6</v>
      </c>
    </row>
    <row r="693" spans="1:7" x14ac:dyDescent="0.25">
      <c r="A693">
        <v>10741</v>
      </c>
      <c r="B693" s="12">
        <v>45248</v>
      </c>
      <c r="C693" t="s">
        <v>14</v>
      </c>
      <c r="D693" t="s">
        <v>22</v>
      </c>
      <c r="E693" s="13">
        <v>228</v>
      </c>
      <c r="F693" s="13">
        <v>22.8</v>
      </c>
      <c r="G693" s="13">
        <f t="shared" si="11"/>
        <v>250.8</v>
      </c>
    </row>
    <row r="694" spans="1:7" x14ac:dyDescent="0.25">
      <c r="A694">
        <v>10742</v>
      </c>
      <c r="B694" s="12">
        <v>45248</v>
      </c>
      <c r="C694" t="s">
        <v>14</v>
      </c>
      <c r="D694" t="s">
        <v>24</v>
      </c>
      <c r="E694" s="13">
        <v>3118</v>
      </c>
      <c r="F694" s="13">
        <v>249.44</v>
      </c>
      <c r="G694" s="13">
        <f t="shared" si="11"/>
        <v>3367.44</v>
      </c>
    </row>
    <row r="695" spans="1:7" x14ac:dyDescent="0.25">
      <c r="A695">
        <v>10743</v>
      </c>
      <c r="B695" s="12">
        <v>45251</v>
      </c>
      <c r="C695" t="s">
        <v>14</v>
      </c>
      <c r="D695" t="s">
        <v>18</v>
      </c>
      <c r="E695" s="13">
        <v>319.2</v>
      </c>
      <c r="F695" s="13">
        <v>31.92</v>
      </c>
      <c r="G695" s="13">
        <f t="shared" si="11"/>
        <v>351.12</v>
      </c>
    </row>
    <row r="696" spans="1:7" x14ac:dyDescent="0.25">
      <c r="A696">
        <v>10744</v>
      </c>
      <c r="B696" s="12">
        <v>45254</v>
      </c>
      <c r="C696" t="s">
        <v>17</v>
      </c>
      <c r="D696" t="s">
        <v>19</v>
      </c>
      <c r="E696" s="13">
        <v>736</v>
      </c>
      <c r="F696" s="13">
        <v>66.239999999999995</v>
      </c>
      <c r="G696" s="13">
        <f t="shared" si="11"/>
        <v>802.24</v>
      </c>
    </row>
    <row r="697" spans="1:7" x14ac:dyDescent="0.25">
      <c r="A697">
        <v>10745</v>
      </c>
      <c r="B697" s="12">
        <v>45257</v>
      </c>
      <c r="C697" t="s">
        <v>17</v>
      </c>
      <c r="D697" t="s">
        <v>16</v>
      </c>
      <c r="E697" s="13">
        <v>4529.8</v>
      </c>
      <c r="F697" s="13">
        <v>362.38400000000001</v>
      </c>
      <c r="G697" s="13">
        <f t="shared" si="11"/>
        <v>4892.1840000000002</v>
      </c>
    </row>
    <row r="698" spans="1:7" x14ac:dyDescent="0.25">
      <c r="A698">
        <v>10746</v>
      </c>
      <c r="B698" s="12">
        <v>45251</v>
      </c>
      <c r="C698" t="s">
        <v>14</v>
      </c>
      <c r="D698" t="s">
        <v>18</v>
      </c>
      <c r="E698" s="13">
        <v>2311.6999999999998</v>
      </c>
      <c r="F698" s="13">
        <v>184.93599999999998</v>
      </c>
      <c r="G698" s="13">
        <f t="shared" si="11"/>
        <v>2496.636</v>
      </c>
    </row>
    <row r="699" spans="1:7" x14ac:dyDescent="0.25">
      <c r="A699">
        <v>10747</v>
      </c>
      <c r="B699" s="12">
        <v>45256</v>
      </c>
      <c r="C699" t="s">
        <v>17</v>
      </c>
      <c r="D699" t="s">
        <v>19</v>
      </c>
      <c r="E699" s="13">
        <v>1912.85</v>
      </c>
      <c r="F699" s="13">
        <v>172.15649999999999</v>
      </c>
      <c r="G699" s="13">
        <f t="shared" si="11"/>
        <v>2085.0065</v>
      </c>
    </row>
    <row r="700" spans="1:7" x14ac:dyDescent="0.25">
      <c r="A700">
        <v>10748</v>
      </c>
      <c r="B700" s="12">
        <v>45258</v>
      </c>
      <c r="C700" t="s">
        <v>14</v>
      </c>
      <c r="D700" t="s">
        <v>24</v>
      </c>
      <c r="E700" s="13">
        <v>2196</v>
      </c>
      <c r="F700" s="13">
        <v>175.68</v>
      </c>
      <c r="G700" s="13">
        <f t="shared" si="11"/>
        <v>2371.6799999999998</v>
      </c>
    </row>
    <row r="701" spans="1:7" x14ac:dyDescent="0.25">
      <c r="A701">
        <v>10749</v>
      </c>
      <c r="B701" s="12">
        <v>45279</v>
      </c>
      <c r="C701" t="s">
        <v>14</v>
      </c>
      <c r="D701" t="s">
        <v>22</v>
      </c>
      <c r="E701" s="13">
        <v>1080</v>
      </c>
      <c r="F701" s="13">
        <v>108</v>
      </c>
      <c r="G701" s="13">
        <f t="shared" si="11"/>
        <v>1188</v>
      </c>
    </row>
    <row r="702" spans="1:7" x14ac:dyDescent="0.25">
      <c r="A702">
        <v>10750</v>
      </c>
      <c r="B702" s="12">
        <v>45254</v>
      </c>
      <c r="C702" t="s">
        <v>17</v>
      </c>
      <c r="D702" t="s">
        <v>16</v>
      </c>
      <c r="E702" s="13">
        <v>1590.56</v>
      </c>
      <c r="F702" s="13">
        <v>143.15039999999999</v>
      </c>
      <c r="G702" s="13">
        <f t="shared" si="11"/>
        <v>1733.7103999999999</v>
      </c>
    </row>
    <row r="703" spans="1:7" x14ac:dyDescent="0.25">
      <c r="A703">
        <v>10751</v>
      </c>
      <c r="B703" s="12">
        <v>45263</v>
      </c>
      <c r="C703" t="s">
        <v>14</v>
      </c>
      <c r="D703" t="s">
        <v>24</v>
      </c>
      <c r="E703" s="13">
        <v>1631.48</v>
      </c>
      <c r="F703" s="13">
        <v>163.14800000000002</v>
      </c>
      <c r="G703" s="13">
        <f t="shared" si="11"/>
        <v>1794.6280000000002</v>
      </c>
    </row>
    <row r="704" spans="1:7" x14ac:dyDescent="0.25">
      <c r="A704">
        <v>10752</v>
      </c>
      <c r="B704" s="12">
        <v>45258</v>
      </c>
      <c r="C704" t="s">
        <v>14</v>
      </c>
      <c r="D704" t="s">
        <v>15</v>
      </c>
      <c r="E704" s="13">
        <v>252</v>
      </c>
      <c r="F704" s="13">
        <v>25.200000000000003</v>
      </c>
      <c r="G704" s="13">
        <f t="shared" si="11"/>
        <v>277.2</v>
      </c>
    </row>
    <row r="705" spans="1:7" x14ac:dyDescent="0.25">
      <c r="A705">
        <v>10753</v>
      </c>
      <c r="B705" s="12">
        <v>45257</v>
      </c>
      <c r="C705" t="s">
        <v>14</v>
      </c>
      <c r="D705" t="s">
        <v>24</v>
      </c>
      <c r="E705" s="13">
        <v>88</v>
      </c>
      <c r="F705" s="13">
        <v>8.8000000000000007</v>
      </c>
      <c r="G705" s="13">
        <f t="shared" si="11"/>
        <v>96.8</v>
      </c>
    </row>
    <row r="706" spans="1:7" x14ac:dyDescent="0.25">
      <c r="A706">
        <v>10754</v>
      </c>
      <c r="B706" s="12">
        <v>45257</v>
      </c>
      <c r="C706" t="s">
        <v>17</v>
      </c>
      <c r="D706" t="s">
        <v>19</v>
      </c>
      <c r="E706" s="13">
        <v>55.2</v>
      </c>
      <c r="F706" s="13">
        <v>5</v>
      </c>
      <c r="G706" s="13">
        <f t="shared" si="11"/>
        <v>60.2</v>
      </c>
    </row>
    <row r="707" spans="1:7" x14ac:dyDescent="0.25">
      <c r="A707">
        <v>10755</v>
      </c>
      <c r="B707" s="12">
        <v>45258</v>
      </c>
      <c r="C707" t="s">
        <v>14</v>
      </c>
      <c r="D707" t="s">
        <v>22</v>
      </c>
      <c r="E707" s="13">
        <v>1948.5</v>
      </c>
      <c r="F707" s="13">
        <v>194.85000000000002</v>
      </c>
      <c r="G707" s="13">
        <f t="shared" si="11"/>
        <v>2143.35</v>
      </c>
    </row>
    <row r="708" spans="1:7" x14ac:dyDescent="0.25">
      <c r="A708">
        <v>10756</v>
      </c>
      <c r="B708" s="12">
        <v>45262</v>
      </c>
      <c r="C708" t="s">
        <v>14</v>
      </c>
      <c r="D708" t="s">
        <v>21</v>
      </c>
      <c r="E708" s="13">
        <v>1990</v>
      </c>
      <c r="F708" s="13">
        <v>199</v>
      </c>
      <c r="G708" s="13">
        <f t="shared" si="11"/>
        <v>2189</v>
      </c>
    </row>
    <row r="709" spans="1:7" x14ac:dyDescent="0.25">
      <c r="A709">
        <v>10757</v>
      </c>
      <c r="B709" s="12">
        <v>45275</v>
      </c>
      <c r="C709" t="s">
        <v>17</v>
      </c>
      <c r="D709" t="s">
        <v>19</v>
      </c>
      <c r="E709" s="13">
        <v>3082</v>
      </c>
      <c r="F709" s="13">
        <v>246.56</v>
      </c>
      <c r="G709" s="13">
        <f t="shared" ref="G709:G772" si="12">SUM(E709:F709)</f>
        <v>3328.56</v>
      </c>
    </row>
    <row r="710" spans="1:7" x14ac:dyDescent="0.25">
      <c r="A710">
        <v>10758</v>
      </c>
      <c r="B710" s="12">
        <v>45264</v>
      </c>
      <c r="C710" t="s">
        <v>14</v>
      </c>
      <c r="D710" t="s">
        <v>24</v>
      </c>
      <c r="E710" s="13">
        <v>1644.6</v>
      </c>
      <c r="F710" s="13">
        <v>164.46</v>
      </c>
      <c r="G710" s="13">
        <f t="shared" si="12"/>
        <v>1809.06</v>
      </c>
    </row>
    <row r="711" spans="1:7" x14ac:dyDescent="0.25">
      <c r="A711">
        <v>10759</v>
      </c>
      <c r="B711" s="12">
        <v>45272</v>
      </c>
      <c r="C711" t="s">
        <v>14</v>
      </c>
      <c r="D711" t="s">
        <v>24</v>
      </c>
      <c r="E711" s="13">
        <v>320</v>
      </c>
      <c r="F711" s="13">
        <v>32</v>
      </c>
      <c r="G711" s="13">
        <f t="shared" si="12"/>
        <v>352</v>
      </c>
    </row>
    <row r="712" spans="1:7" x14ac:dyDescent="0.25">
      <c r="A712">
        <v>10760</v>
      </c>
      <c r="B712" s="12">
        <v>45270</v>
      </c>
      <c r="C712" t="s">
        <v>14</v>
      </c>
      <c r="D712" t="s">
        <v>22</v>
      </c>
      <c r="E712" s="13">
        <v>2917</v>
      </c>
      <c r="F712" s="13">
        <v>233.36</v>
      </c>
      <c r="G712" s="13">
        <f t="shared" si="12"/>
        <v>3150.36</v>
      </c>
    </row>
    <row r="713" spans="1:7" x14ac:dyDescent="0.25">
      <c r="A713">
        <v>10761</v>
      </c>
      <c r="B713" s="12">
        <v>45268</v>
      </c>
      <c r="C713" t="s">
        <v>17</v>
      </c>
      <c r="D713" t="s">
        <v>20</v>
      </c>
      <c r="E713" s="13">
        <v>507</v>
      </c>
      <c r="F713" s="13">
        <v>45.629999999999995</v>
      </c>
      <c r="G713" s="13">
        <f t="shared" si="12"/>
        <v>552.63</v>
      </c>
    </row>
    <row r="714" spans="1:7" x14ac:dyDescent="0.25">
      <c r="A714">
        <v>10762</v>
      </c>
      <c r="B714" s="12">
        <v>45269</v>
      </c>
      <c r="C714" t="s">
        <v>14</v>
      </c>
      <c r="D714" t="s">
        <v>24</v>
      </c>
      <c r="E714" s="13">
        <v>4337</v>
      </c>
      <c r="F714" s="13">
        <v>346.96</v>
      </c>
      <c r="G714" s="13">
        <f t="shared" si="12"/>
        <v>4683.96</v>
      </c>
    </row>
    <row r="715" spans="1:7" x14ac:dyDescent="0.25">
      <c r="A715">
        <v>10763</v>
      </c>
      <c r="B715" s="12">
        <v>45268</v>
      </c>
      <c r="C715" t="s">
        <v>14</v>
      </c>
      <c r="D715" t="s">
        <v>24</v>
      </c>
      <c r="E715" s="13">
        <v>616</v>
      </c>
      <c r="F715" s="13">
        <v>61.6</v>
      </c>
      <c r="G715" s="13">
        <f t="shared" si="12"/>
        <v>677.6</v>
      </c>
    </row>
    <row r="716" spans="1:7" x14ac:dyDescent="0.25">
      <c r="A716">
        <v>10764</v>
      </c>
      <c r="B716" s="12">
        <v>45268</v>
      </c>
      <c r="C716" t="s">
        <v>17</v>
      </c>
      <c r="D716" t="s">
        <v>19</v>
      </c>
      <c r="E716" s="13">
        <v>2286</v>
      </c>
      <c r="F716" s="13">
        <v>205.73999999999998</v>
      </c>
      <c r="G716" s="13">
        <f t="shared" si="12"/>
        <v>2491.7399999999998</v>
      </c>
    </row>
    <row r="717" spans="1:7" x14ac:dyDescent="0.25">
      <c r="A717">
        <v>10765</v>
      </c>
      <c r="B717" s="12">
        <v>45269</v>
      </c>
      <c r="C717" t="s">
        <v>14</v>
      </c>
      <c r="D717" t="s">
        <v>24</v>
      </c>
      <c r="E717" s="13">
        <v>1515.6</v>
      </c>
      <c r="F717" s="13">
        <v>151.56</v>
      </c>
      <c r="G717" s="13">
        <f t="shared" si="12"/>
        <v>1667.1599999999999</v>
      </c>
    </row>
    <row r="718" spans="1:7" x14ac:dyDescent="0.25">
      <c r="A718">
        <v>10766</v>
      </c>
      <c r="B718" s="12">
        <v>45269</v>
      </c>
      <c r="C718" t="s">
        <v>14</v>
      </c>
      <c r="D718" t="s">
        <v>22</v>
      </c>
      <c r="E718" s="13">
        <v>2310</v>
      </c>
      <c r="F718" s="13">
        <v>184.8</v>
      </c>
      <c r="G718" s="13">
        <f t="shared" si="12"/>
        <v>2494.8000000000002</v>
      </c>
    </row>
    <row r="719" spans="1:7" x14ac:dyDescent="0.25">
      <c r="A719">
        <v>10767</v>
      </c>
      <c r="B719" s="12">
        <v>45275</v>
      </c>
      <c r="C719" t="s">
        <v>14</v>
      </c>
      <c r="D719" t="s">
        <v>22</v>
      </c>
      <c r="E719" s="13">
        <v>28</v>
      </c>
      <c r="F719" s="13">
        <v>5</v>
      </c>
      <c r="G719" s="13">
        <f t="shared" si="12"/>
        <v>33</v>
      </c>
    </row>
    <row r="720" spans="1:7" x14ac:dyDescent="0.25">
      <c r="A720">
        <v>10768</v>
      </c>
      <c r="B720" s="12">
        <v>45275</v>
      </c>
      <c r="C720" t="s">
        <v>14</v>
      </c>
      <c r="D720" t="s">
        <v>24</v>
      </c>
      <c r="E720" s="13">
        <v>1477</v>
      </c>
      <c r="F720" s="13">
        <v>147.70000000000002</v>
      </c>
      <c r="G720" s="13">
        <f t="shared" si="12"/>
        <v>1624.7</v>
      </c>
    </row>
    <row r="721" spans="1:7" x14ac:dyDescent="0.25">
      <c r="A721">
        <v>10769</v>
      </c>
      <c r="B721" s="12">
        <v>45272</v>
      </c>
      <c r="C721" t="s">
        <v>14</v>
      </c>
      <c r="D721" t="s">
        <v>24</v>
      </c>
      <c r="E721" s="13">
        <v>1684.27</v>
      </c>
      <c r="F721" s="13">
        <v>168.42700000000002</v>
      </c>
      <c r="G721" s="13">
        <f t="shared" si="12"/>
        <v>1852.6970000000001</v>
      </c>
    </row>
    <row r="722" spans="1:7" x14ac:dyDescent="0.25">
      <c r="A722">
        <v>10770</v>
      </c>
      <c r="B722" s="12">
        <v>45277</v>
      </c>
      <c r="C722" t="s">
        <v>14</v>
      </c>
      <c r="D722" t="s">
        <v>21</v>
      </c>
      <c r="E722" s="13">
        <v>236.25</v>
      </c>
      <c r="F722" s="13">
        <v>23.625</v>
      </c>
      <c r="G722" s="13">
        <f t="shared" si="12"/>
        <v>259.875</v>
      </c>
    </row>
    <row r="723" spans="1:7" x14ac:dyDescent="0.25">
      <c r="A723">
        <v>10771</v>
      </c>
      <c r="B723" s="12">
        <v>44928</v>
      </c>
      <c r="C723" t="s">
        <v>17</v>
      </c>
      <c r="D723" t="s">
        <v>16</v>
      </c>
      <c r="E723" s="13">
        <v>344</v>
      </c>
      <c r="F723" s="13">
        <v>30.959999999999997</v>
      </c>
      <c r="G723" s="13">
        <f t="shared" si="12"/>
        <v>374.96</v>
      </c>
    </row>
    <row r="724" spans="1:7" x14ac:dyDescent="0.25">
      <c r="A724">
        <v>10772</v>
      </c>
      <c r="B724" s="12">
        <v>45279</v>
      </c>
      <c r="C724" t="s">
        <v>14</v>
      </c>
      <c r="D724" t="s">
        <v>24</v>
      </c>
      <c r="E724" s="13">
        <v>3603.22</v>
      </c>
      <c r="F724" s="13">
        <v>288.25759999999997</v>
      </c>
      <c r="G724" s="13">
        <f t="shared" si="12"/>
        <v>3891.4775999999997</v>
      </c>
    </row>
    <row r="725" spans="1:7" x14ac:dyDescent="0.25">
      <c r="A725">
        <v>10773</v>
      </c>
      <c r="B725" s="12">
        <v>45276</v>
      </c>
      <c r="C725" t="s">
        <v>14</v>
      </c>
      <c r="D725" t="s">
        <v>18</v>
      </c>
      <c r="E725" s="13">
        <v>2030.4</v>
      </c>
      <c r="F725" s="13">
        <v>162.43200000000002</v>
      </c>
      <c r="G725" s="13">
        <f t="shared" si="12"/>
        <v>2192.8320000000003</v>
      </c>
    </row>
    <row r="726" spans="1:7" x14ac:dyDescent="0.25">
      <c r="A726">
        <v>10774</v>
      </c>
      <c r="B726" s="12">
        <v>45272</v>
      </c>
      <c r="C726" t="s">
        <v>14</v>
      </c>
      <c r="D726" t="s">
        <v>22</v>
      </c>
      <c r="E726" s="13">
        <v>868.75</v>
      </c>
      <c r="F726" s="13">
        <v>86.875</v>
      </c>
      <c r="G726" s="13">
        <f t="shared" si="12"/>
        <v>955.625</v>
      </c>
    </row>
    <row r="727" spans="1:7" x14ac:dyDescent="0.25">
      <c r="A727">
        <v>10775</v>
      </c>
      <c r="B727" s="12">
        <v>45286</v>
      </c>
      <c r="C727" t="s">
        <v>17</v>
      </c>
      <c r="D727" t="s">
        <v>23</v>
      </c>
      <c r="E727" s="13">
        <v>228</v>
      </c>
      <c r="F727" s="13">
        <v>20.52</v>
      </c>
      <c r="G727" s="13">
        <f t="shared" si="12"/>
        <v>248.52</v>
      </c>
    </row>
    <row r="728" spans="1:7" x14ac:dyDescent="0.25">
      <c r="A728">
        <v>10776</v>
      </c>
      <c r="B728" s="12">
        <v>45278</v>
      </c>
      <c r="C728" t="s">
        <v>14</v>
      </c>
      <c r="D728" t="s">
        <v>18</v>
      </c>
      <c r="E728" s="13">
        <v>6635.27</v>
      </c>
      <c r="F728" s="13">
        <v>331.76350000000002</v>
      </c>
      <c r="G728" s="13">
        <f t="shared" si="12"/>
        <v>6967.0335000000005</v>
      </c>
    </row>
    <row r="729" spans="1:7" x14ac:dyDescent="0.25">
      <c r="A729">
        <v>10777</v>
      </c>
      <c r="B729" s="12">
        <v>44582</v>
      </c>
      <c r="C729" t="s">
        <v>17</v>
      </c>
      <c r="D729" t="s">
        <v>23</v>
      </c>
      <c r="E729" s="13">
        <v>224</v>
      </c>
      <c r="F729" s="13">
        <v>20.16</v>
      </c>
      <c r="G729" s="13">
        <f t="shared" si="12"/>
        <v>244.16</v>
      </c>
    </row>
    <row r="730" spans="1:7" x14ac:dyDescent="0.25">
      <c r="A730">
        <v>10778</v>
      </c>
      <c r="B730" s="12">
        <v>45284</v>
      </c>
      <c r="C730" t="s">
        <v>14</v>
      </c>
      <c r="D730" t="s">
        <v>24</v>
      </c>
      <c r="E730" s="13">
        <v>96.5</v>
      </c>
      <c r="F730" s="13">
        <v>9.65</v>
      </c>
      <c r="G730" s="13">
        <f t="shared" si="12"/>
        <v>106.15</v>
      </c>
    </row>
    <row r="731" spans="1:7" x14ac:dyDescent="0.25">
      <c r="A731">
        <v>10779</v>
      </c>
      <c r="B731" s="12">
        <v>44575</v>
      </c>
      <c r="C731" t="s">
        <v>14</v>
      </c>
      <c r="D731" t="s">
        <v>24</v>
      </c>
      <c r="E731" s="13">
        <v>1335</v>
      </c>
      <c r="F731" s="13">
        <v>133.5</v>
      </c>
      <c r="G731" s="13">
        <f t="shared" si="12"/>
        <v>1468.5</v>
      </c>
    </row>
    <row r="732" spans="1:7" x14ac:dyDescent="0.25">
      <c r="A732">
        <v>10780</v>
      </c>
      <c r="B732" s="12">
        <v>45285</v>
      </c>
      <c r="C732" t="s">
        <v>14</v>
      </c>
      <c r="D732" t="s">
        <v>15</v>
      </c>
      <c r="E732" s="13">
        <v>720</v>
      </c>
      <c r="F732" s="13">
        <v>72</v>
      </c>
      <c r="G732" s="13">
        <f t="shared" si="12"/>
        <v>792</v>
      </c>
    </row>
    <row r="733" spans="1:7" x14ac:dyDescent="0.25">
      <c r="A733">
        <v>10781</v>
      </c>
      <c r="B733" s="12">
        <v>45279</v>
      </c>
      <c r="C733" t="s">
        <v>14</v>
      </c>
      <c r="D733" t="s">
        <v>15</v>
      </c>
      <c r="E733" s="13">
        <v>975.88</v>
      </c>
      <c r="F733" s="13">
        <v>97.588000000000008</v>
      </c>
      <c r="G733" s="13">
        <f t="shared" si="12"/>
        <v>1073.4680000000001</v>
      </c>
    </row>
    <row r="734" spans="1:7" x14ac:dyDescent="0.25">
      <c r="A734">
        <v>10782</v>
      </c>
      <c r="B734" s="12">
        <v>45282</v>
      </c>
      <c r="C734" t="s">
        <v>17</v>
      </c>
      <c r="D734" t="s">
        <v>16</v>
      </c>
      <c r="E734" s="13">
        <v>12.5</v>
      </c>
      <c r="F734" s="13">
        <v>5</v>
      </c>
      <c r="G734" s="13">
        <f t="shared" si="12"/>
        <v>17.5</v>
      </c>
    </row>
    <row r="735" spans="1:7" x14ac:dyDescent="0.25">
      <c r="A735">
        <v>10783</v>
      </c>
      <c r="B735" s="12">
        <v>45279</v>
      </c>
      <c r="C735" t="s">
        <v>14</v>
      </c>
      <c r="D735" t="s">
        <v>22</v>
      </c>
      <c r="E735" s="13">
        <v>1442.5</v>
      </c>
      <c r="F735" s="13">
        <v>144.25</v>
      </c>
      <c r="G735" s="13">
        <f t="shared" si="12"/>
        <v>1586.75</v>
      </c>
    </row>
    <row r="736" spans="1:7" x14ac:dyDescent="0.25">
      <c r="A736">
        <v>10784</v>
      </c>
      <c r="B736" s="12">
        <v>45282</v>
      </c>
      <c r="C736" t="s">
        <v>14</v>
      </c>
      <c r="D736" t="s">
        <v>22</v>
      </c>
      <c r="E736" s="13">
        <v>1488</v>
      </c>
      <c r="F736" s="13">
        <v>148.80000000000001</v>
      </c>
      <c r="G736" s="13">
        <f t="shared" si="12"/>
        <v>1636.8</v>
      </c>
    </row>
    <row r="737" spans="1:7" x14ac:dyDescent="0.25">
      <c r="A737">
        <v>10785</v>
      </c>
      <c r="B737" s="12">
        <v>45284</v>
      </c>
      <c r="C737" t="s">
        <v>14</v>
      </c>
      <c r="D737" t="s">
        <v>18</v>
      </c>
      <c r="E737" s="13">
        <v>387.5</v>
      </c>
      <c r="F737" s="13">
        <v>38.75</v>
      </c>
      <c r="G737" s="13">
        <f t="shared" si="12"/>
        <v>426.25</v>
      </c>
    </row>
    <row r="738" spans="1:7" x14ac:dyDescent="0.25">
      <c r="A738">
        <v>10786</v>
      </c>
      <c r="B738" s="12">
        <v>45283</v>
      </c>
      <c r="C738" t="s">
        <v>14</v>
      </c>
      <c r="D738" t="s">
        <v>21</v>
      </c>
      <c r="E738" s="13">
        <v>1531.08</v>
      </c>
      <c r="F738" s="13">
        <v>153.108</v>
      </c>
      <c r="G738" s="13">
        <f t="shared" si="12"/>
        <v>1684.1879999999999</v>
      </c>
    </row>
    <row r="739" spans="1:7" x14ac:dyDescent="0.25">
      <c r="A739">
        <v>10787</v>
      </c>
      <c r="B739" s="12">
        <v>45286</v>
      </c>
      <c r="C739" t="s">
        <v>14</v>
      </c>
      <c r="D739" t="s">
        <v>15</v>
      </c>
      <c r="E739" s="13">
        <v>2622.76</v>
      </c>
      <c r="F739" s="13">
        <v>209.82080000000002</v>
      </c>
      <c r="G739" s="13">
        <f t="shared" si="12"/>
        <v>2832.5808000000002</v>
      </c>
    </row>
    <row r="740" spans="1:7" x14ac:dyDescent="0.25">
      <c r="A740">
        <v>10788</v>
      </c>
      <c r="B740" s="12">
        <v>44580</v>
      </c>
      <c r="C740" t="s">
        <v>14</v>
      </c>
      <c r="D740" t="s">
        <v>18</v>
      </c>
      <c r="E740" s="13">
        <v>731.5</v>
      </c>
      <c r="F740" s="13">
        <v>73.150000000000006</v>
      </c>
      <c r="G740" s="13">
        <f t="shared" si="12"/>
        <v>804.65</v>
      </c>
    </row>
    <row r="741" spans="1:7" x14ac:dyDescent="0.25">
      <c r="A741">
        <v>10789</v>
      </c>
      <c r="B741" s="12">
        <v>45291</v>
      </c>
      <c r="C741" t="s">
        <v>14</v>
      </c>
      <c r="D741" t="s">
        <v>18</v>
      </c>
      <c r="E741" s="13">
        <v>3687</v>
      </c>
      <c r="F741" s="13">
        <v>294.95999999999998</v>
      </c>
      <c r="G741" s="13">
        <f t="shared" si="12"/>
        <v>3981.96</v>
      </c>
    </row>
    <row r="742" spans="1:7" x14ac:dyDescent="0.25">
      <c r="A742">
        <v>10790</v>
      </c>
      <c r="B742" s="12">
        <v>45286</v>
      </c>
      <c r="C742" t="s">
        <v>17</v>
      </c>
      <c r="D742" t="s">
        <v>19</v>
      </c>
      <c r="E742" s="13">
        <v>722.5</v>
      </c>
      <c r="F742" s="13">
        <v>65.024999999999991</v>
      </c>
      <c r="G742" s="13">
        <f t="shared" si="12"/>
        <v>787.52499999999998</v>
      </c>
    </row>
    <row r="743" spans="1:7" x14ac:dyDescent="0.25">
      <c r="A743">
        <v>10791</v>
      </c>
      <c r="B743" s="12">
        <v>44562</v>
      </c>
      <c r="C743" t="s">
        <v>17</v>
      </c>
      <c r="D743" t="s">
        <v>19</v>
      </c>
      <c r="E743" s="13">
        <v>1829.76</v>
      </c>
      <c r="F743" s="13">
        <v>164.67839999999998</v>
      </c>
      <c r="G743" s="13">
        <f t="shared" si="12"/>
        <v>1994.4384</v>
      </c>
    </row>
    <row r="744" spans="1:7" x14ac:dyDescent="0.25">
      <c r="A744">
        <v>10792</v>
      </c>
      <c r="B744" s="12">
        <v>45291</v>
      </c>
      <c r="C744" t="s">
        <v>14</v>
      </c>
      <c r="D744" t="s">
        <v>18</v>
      </c>
      <c r="E744" s="13">
        <v>399.85</v>
      </c>
      <c r="F744" s="13">
        <v>39.985000000000007</v>
      </c>
      <c r="G744" s="13">
        <f t="shared" si="12"/>
        <v>439.83500000000004</v>
      </c>
    </row>
    <row r="745" spans="1:7" x14ac:dyDescent="0.25">
      <c r="A745">
        <v>10793</v>
      </c>
      <c r="B745" s="12">
        <v>44569</v>
      </c>
      <c r="C745" t="s">
        <v>14</v>
      </c>
      <c r="D745" t="s">
        <v>24</v>
      </c>
      <c r="E745" s="13">
        <v>191.1</v>
      </c>
      <c r="F745" s="13">
        <v>19.11</v>
      </c>
      <c r="G745" s="13">
        <f t="shared" si="12"/>
        <v>210.20999999999998</v>
      </c>
    </row>
    <row r="746" spans="1:7" x14ac:dyDescent="0.25">
      <c r="A746">
        <v>10794</v>
      </c>
      <c r="B746" s="12">
        <v>44563</v>
      </c>
      <c r="C746" t="s">
        <v>17</v>
      </c>
      <c r="D746" t="s">
        <v>19</v>
      </c>
      <c r="E746" s="13">
        <v>314.76</v>
      </c>
      <c r="F746" s="13">
        <v>28.328399999999998</v>
      </c>
      <c r="G746" s="13">
        <f t="shared" si="12"/>
        <v>343.08839999999998</v>
      </c>
    </row>
    <row r="747" spans="1:7" x14ac:dyDescent="0.25">
      <c r="A747">
        <v>10795</v>
      </c>
      <c r="B747" s="12">
        <v>44581</v>
      </c>
      <c r="C747" t="s">
        <v>14</v>
      </c>
      <c r="D747" t="s">
        <v>21</v>
      </c>
      <c r="E747" s="13">
        <v>2158</v>
      </c>
      <c r="F747" s="13">
        <v>172.64000000000001</v>
      </c>
      <c r="G747" s="13">
        <f t="shared" si="12"/>
        <v>2330.64</v>
      </c>
    </row>
    <row r="748" spans="1:7" x14ac:dyDescent="0.25">
      <c r="A748">
        <v>10796</v>
      </c>
      <c r="B748" s="12">
        <v>44575</v>
      </c>
      <c r="C748" t="s">
        <v>14</v>
      </c>
      <c r="D748" t="s">
        <v>24</v>
      </c>
      <c r="E748" s="13">
        <v>2341.36</v>
      </c>
      <c r="F748" s="13">
        <v>187.30880000000002</v>
      </c>
      <c r="G748" s="13">
        <f t="shared" si="12"/>
        <v>2528.6688000000004</v>
      </c>
    </row>
    <row r="749" spans="1:7" x14ac:dyDescent="0.25">
      <c r="A749">
        <v>10797</v>
      </c>
      <c r="B749" s="12">
        <v>44566</v>
      </c>
      <c r="C749" t="s">
        <v>17</v>
      </c>
      <c r="D749" t="s">
        <v>23</v>
      </c>
      <c r="E749" s="13">
        <v>420</v>
      </c>
      <c r="F749" s="13">
        <v>37.799999999999997</v>
      </c>
      <c r="G749" s="13">
        <f t="shared" si="12"/>
        <v>457.8</v>
      </c>
    </row>
    <row r="750" spans="1:7" x14ac:dyDescent="0.25">
      <c r="A750">
        <v>10798</v>
      </c>
      <c r="B750" s="12">
        <v>44566</v>
      </c>
      <c r="C750" t="s">
        <v>14</v>
      </c>
      <c r="D750" t="s">
        <v>15</v>
      </c>
      <c r="E750" s="13">
        <v>446.6</v>
      </c>
      <c r="F750" s="13">
        <v>44.660000000000004</v>
      </c>
      <c r="G750" s="13">
        <f t="shared" si="12"/>
        <v>491.26000000000005</v>
      </c>
    </row>
    <row r="751" spans="1:7" x14ac:dyDescent="0.25">
      <c r="A751">
        <v>10799</v>
      </c>
      <c r="B751" s="12">
        <v>44566</v>
      </c>
      <c r="C751" t="s">
        <v>17</v>
      </c>
      <c r="D751" t="s">
        <v>16</v>
      </c>
      <c r="E751" s="13">
        <v>1553.5</v>
      </c>
      <c r="F751" s="13">
        <v>139.815</v>
      </c>
      <c r="G751" s="13">
        <f t="shared" si="12"/>
        <v>1693.3150000000001</v>
      </c>
    </row>
    <row r="752" spans="1:7" x14ac:dyDescent="0.25">
      <c r="A752">
        <v>10800</v>
      </c>
      <c r="B752" s="12">
        <v>44566</v>
      </c>
      <c r="C752" t="s">
        <v>14</v>
      </c>
      <c r="D752" t="s">
        <v>18</v>
      </c>
      <c r="E752" s="13">
        <v>1468.93</v>
      </c>
      <c r="F752" s="13">
        <v>146.893</v>
      </c>
      <c r="G752" s="13">
        <f t="shared" si="12"/>
        <v>1615.8230000000001</v>
      </c>
    </row>
    <row r="753" spans="1:7" x14ac:dyDescent="0.25">
      <c r="A753">
        <v>10801</v>
      </c>
      <c r="B753" s="12">
        <v>45291</v>
      </c>
      <c r="C753" t="s">
        <v>14</v>
      </c>
      <c r="D753" t="s">
        <v>22</v>
      </c>
      <c r="E753" s="13">
        <v>3026.85</v>
      </c>
      <c r="F753" s="13">
        <v>242.148</v>
      </c>
      <c r="G753" s="13">
        <f t="shared" si="12"/>
        <v>3268.998</v>
      </c>
    </row>
    <row r="754" spans="1:7" x14ac:dyDescent="0.25">
      <c r="A754">
        <v>10802</v>
      </c>
      <c r="B754" s="12">
        <v>44563</v>
      </c>
      <c r="C754" t="s">
        <v>14</v>
      </c>
      <c r="D754" t="s">
        <v>22</v>
      </c>
      <c r="E754" s="13">
        <v>2942.81</v>
      </c>
      <c r="F754" s="13">
        <v>235.4248</v>
      </c>
      <c r="G754" s="13">
        <f t="shared" si="12"/>
        <v>3178.2348000000002</v>
      </c>
    </row>
    <row r="755" spans="1:7" x14ac:dyDescent="0.25">
      <c r="A755">
        <v>10803</v>
      </c>
      <c r="B755" s="12">
        <v>44567</v>
      </c>
      <c r="C755" t="s">
        <v>14</v>
      </c>
      <c r="D755" t="s">
        <v>22</v>
      </c>
      <c r="E755" s="13">
        <v>1193.01</v>
      </c>
      <c r="F755" s="13">
        <v>119.301</v>
      </c>
      <c r="G755" s="13">
        <f t="shared" si="12"/>
        <v>1312.3109999999999</v>
      </c>
    </row>
    <row r="756" spans="1:7" x14ac:dyDescent="0.25">
      <c r="A756">
        <v>10804</v>
      </c>
      <c r="B756" s="12">
        <v>44568</v>
      </c>
      <c r="C756" t="s">
        <v>17</v>
      </c>
      <c r="D756" t="s">
        <v>19</v>
      </c>
      <c r="E756" s="13">
        <v>2278.4</v>
      </c>
      <c r="F756" s="13">
        <v>205.05600000000001</v>
      </c>
      <c r="G756" s="13">
        <f t="shared" si="12"/>
        <v>2483.4560000000001</v>
      </c>
    </row>
    <row r="757" spans="1:7" x14ac:dyDescent="0.25">
      <c r="A757">
        <v>10805</v>
      </c>
      <c r="B757" s="12">
        <v>44570</v>
      </c>
      <c r="C757" t="s">
        <v>14</v>
      </c>
      <c r="D757" t="s">
        <v>15</v>
      </c>
      <c r="E757" s="13">
        <v>2775</v>
      </c>
      <c r="F757" s="13">
        <v>222</v>
      </c>
      <c r="G757" s="13">
        <f t="shared" si="12"/>
        <v>2997</v>
      </c>
    </row>
    <row r="758" spans="1:7" x14ac:dyDescent="0.25">
      <c r="A758">
        <v>10806</v>
      </c>
      <c r="B758" s="12">
        <v>44566</v>
      </c>
      <c r="C758" t="s">
        <v>14</v>
      </c>
      <c r="D758" t="s">
        <v>24</v>
      </c>
      <c r="E758" s="13">
        <v>439.6</v>
      </c>
      <c r="F758" s="13">
        <v>43.960000000000008</v>
      </c>
      <c r="G758" s="13">
        <f t="shared" si="12"/>
        <v>483.56000000000006</v>
      </c>
    </row>
    <row r="759" spans="1:7" x14ac:dyDescent="0.25">
      <c r="A759">
        <v>10807</v>
      </c>
      <c r="B759" s="12">
        <v>44591</v>
      </c>
      <c r="C759" t="s">
        <v>14</v>
      </c>
      <c r="D759" t="s">
        <v>22</v>
      </c>
      <c r="E759" s="13">
        <v>18.399999999999999</v>
      </c>
      <c r="F759" s="13">
        <v>5</v>
      </c>
      <c r="G759" s="13">
        <f t="shared" si="12"/>
        <v>23.4</v>
      </c>
    </row>
    <row r="760" spans="1:7" x14ac:dyDescent="0.25">
      <c r="A760">
        <v>10808</v>
      </c>
      <c r="B760" s="12">
        <v>44570</v>
      </c>
      <c r="C760" t="s">
        <v>14</v>
      </c>
      <c r="D760" t="s">
        <v>15</v>
      </c>
      <c r="E760" s="13">
        <v>1411</v>
      </c>
      <c r="F760" s="13">
        <v>141.1</v>
      </c>
      <c r="G760" s="13">
        <f t="shared" si="12"/>
        <v>1552.1</v>
      </c>
    </row>
    <row r="761" spans="1:7" x14ac:dyDescent="0.25">
      <c r="A761">
        <v>10809</v>
      </c>
      <c r="B761" s="12">
        <v>44568</v>
      </c>
      <c r="C761" t="s">
        <v>17</v>
      </c>
      <c r="D761" t="s">
        <v>23</v>
      </c>
      <c r="E761" s="13">
        <v>140</v>
      </c>
      <c r="F761" s="13">
        <v>12.6</v>
      </c>
      <c r="G761" s="13">
        <f t="shared" si="12"/>
        <v>152.6</v>
      </c>
    </row>
    <row r="762" spans="1:7" x14ac:dyDescent="0.25">
      <c r="A762">
        <v>10810</v>
      </c>
      <c r="B762" s="12">
        <v>44568</v>
      </c>
      <c r="C762" t="s">
        <v>14</v>
      </c>
      <c r="D762" t="s">
        <v>15</v>
      </c>
      <c r="E762" s="13">
        <v>187</v>
      </c>
      <c r="F762" s="13">
        <v>18.7</v>
      </c>
      <c r="G762" s="13">
        <f t="shared" si="12"/>
        <v>205.7</v>
      </c>
    </row>
    <row r="763" spans="1:7" x14ac:dyDescent="0.25">
      <c r="A763">
        <v>10811</v>
      </c>
      <c r="B763" s="12">
        <v>44569</v>
      </c>
      <c r="C763" t="s">
        <v>14</v>
      </c>
      <c r="D763" t="s">
        <v>21</v>
      </c>
      <c r="E763" s="13">
        <v>852</v>
      </c>
      <c r="F763" s="13">
        <v>85.2</v>
      </c>
      <c r="G763" s="13">
        <f t="shared" si="12"/>
        <v>937.2</v>
      </c>
    </row>
    <row r="764" spans="1:7" x14ac:dyDescent="0.25">
      <c r="A764">
        <v>10812</v>
      </c>
      <c r="B764" s="12">
        <v>44573</v>
      </c>
      <c r="C764" t="s">
        <v>17</v>
      </c>
      <c r="D764" t="s">
        <v>20</v>
      </c>
      <c r="E764" s="13">
        <v>1692.8</v>
      </c>
      <c r="F764" s="13">
        <v>152.352</v>
      </c>
      <c r="G764" s="13">
        <f t="shared" si="12"/>
        <v>1845.152</v>
      </c>
    </row>
    <row r="765" spans="1:7" x14ac:dyDescent="0.25">
      <c r="A765">
        <v>10813</v>
      </c>
      <c r="B765" s="12">
        <v>44570</v>
      </c>
      <c r="C765" t="s">
        <v>14</v>
      </c>
      <c r="D765" t="s">
        <v>18</v>
      </c>
      <c r="E765" s="13">
        <v>602.4</v>
      </c>
      <c r="F765" s="13">
        <v>60.24</v>
      </c>
      <c r="G765" s="13">
        <f t="shared" si="12"/>
        <v>662.64</v>
      </c>
    </row>
    <row r="766" spans="1:7" x14ac:dyDescent="0.25">
      <c r="A766">
        <v>10814</v>
      </c>
      <c r="B766" s="12">
        <v>44575</v>
      </c>
      <c r="C766" t="s">
        <v>14</v>
      </c>
      <c r="D766" t="s">
        <v>24</v>
      </c>
      <c r="E766" s="13">
        <v>1788.45</v>
      </c>
      <c r="F766" s="13">
        <v>178.84500000000003</v>
      </c>
      <c r="G766" s="13">
        <f t="shared" si="12"/>
        <v>1967.2950000000001</v>
      </c>
    </row>
    <row r="767" spans="1:7" x14ac:dyDescent="0.25">
      <c r="A767">
        <v>10815</v>
      </c>
      <c r="B767" s="12">
        <v>44575</v>
      </c>
      <c r="C767" t="s">
        <v>14</v>
      </c>
      <c r="D767" t="s">
        <v>15</v>
      </c>
      <c r="E767" s="13">
        <v>40</v>
      </c>
      <c r="F767" s="13">
        <v>5</v>
      </c>
      <c r="G767" s="13">
        <f t="shared" si="12"/>
        <v>45</v>
      </c>
    </row>
    <row r="768" spans="1:7" x14ac:dyDescent="0.25">
      <c r="A768">
        <v>10816</v>
      </c>
      <c r="B768" s="12">
        <v>44596</v>
      </c>
      <c r="C768" t="s">
        <v>14</v>
      </c>
      <c r="D768" t="s">
        <v>22</v>
      </c>
      <c r="E768" s="13">
        <v>8446.4500000000007</v>
      </c>
      <c r="F768" s="13">
        <v>422.32250000000005</v>
      </c>
      <c r="G768" s="13">
        <f t="shared" si="12"/>
        <v>8868.7725000000009</v>
      </c>
    </row>
    <row r="769" spans="1:7" x14ac:dyDescent="0.25">
      <c r="A769">
        <v>10817</v>
      </c>
      <c r="B769" s="12">
        <v>44574</v>
      </c>
      <c r="C769" t="s">
        <v>14</v>
      </c>
      <c r="D769" t="s">
        <v>24</v>
      </c>
      <c r="E769" s="13">
        <v>10952.84</v>
      </c>
      <c r="F769" s="13">
        <v>547.64200000000005</v>
      </c>
      <c r="G769" s="13">
        <f t="shared" si="12"/>
        <v>11500.482</v>
      </c>
    </row>
    <row r="770" spans="1:7" x14ac:dyDescent="0.25">
      <c r="A770">
        <v>10818</v>
      </c>
      <c r="B770" s="12">
        <v>44573</v>
      </c>
      <c r="C770" t="s">
        <v>17</v>
      </c>
      <c r="D770" t="s">
        <v>23</v>
      </c>
      <c r="E770" s="13">
        <v>833</v>
      </c>
      <c r="F770" s="13">
        <v>74.97</v>
      </c>
      <c r="G770" s="13">
        <f t="shared" si="12"/>
        <v>907.97</v>
      </c>
    </row>
    <row r="771" spans="1:7" x14ac:dyDescent="0.25">
      <c r="A771">
        <v>10819</v>
      </c>
      <c r="B771" s="12">
        <v>44577</v>
      </c>
      <c r="C771" t="s">
        <v>14</v>
      </c>
      <c r="D771" t="s">
        <v>15</v>
      </c>
      <c r="E771" s="13">
        <v>477</v>
      </c>
      <c r="F771" s="13">
        <v>47.7</v>
      </c>
      <c r="G771" s="13">
        <f t="shared" si="12"/>
        <v>524.70000000000005</v>
      </c>
    </row>
    <row r="772" spans="1:7" x14ac:dyDescent="0.25">
      <c r="A772">
        <v>10820</v>
      </c>
      <c r="B772" s="12">
        <v>44574</v>
      </c>
      <c r="C772" t="s">
        <v>14</v>
      </c>
      <c r="D772" t="s">
        <v>24</v>
      </c>
      <c r="E772" s="13">
        <v>1140</v>
      </c>
      <c r="F772" s="13">
        <v>114</v>
      </c>
      <c r="G772" s="13">
        <f t="shared" si="12"/>
        <v>1254</v>
      </c>
    </row>
    <row r="773" spans="1:7" x14ac:dyDescent="0.25">
      <c r="A773">
        <v>10821</v>
      </c>
      <c r="B773" s="12">
        <v>44576</v>
      </c>
      <c r="C773" t="s">
        <v>14</v>
      </c>
      <c r="D773" t="s">
        <v>18</v>
      </c>
      <c r="E773" s="13">
        <v>678</v>
      </c>
      <c r="F773" s="13">
        <v>67.8</v>
      </c>
      <c r="G773" s="13">
        <f t="shared" ref="G773:G836" si="13">SUM(E773:F773)</f>
        <v>745.8</v>
      </c>
    </row>
    <row r="774" spans="1:7" x14ac:dyDescent="0.25">
      <c r="A774">
        <v>10822</v>
      </c>
      <c r="B774" s="12">
        <v>44577</v>
      </c>
      <c r="C774" t="s">
        <v>17</v>
      </c>
      <c r="D774" t="s">
        <v>19</v>
      </c>
      <c r="E774" s="13">
        <v>237.9</v>
      </c>
      <c r="F774" s="13">
        <v>21.411000000000001</v>
      </c>
      <c r="G774" s="13">
        <f t="shared" si="13"/>
        <v>259.31100000000004</v>
      </c>
    </row>
    <row r="775" spans="1:7" x14ac:dyDescent="0.25">
      <c r="A775">
        <v>10823</v>
      </c>
      <c r="B775" s="12">
        <v>44574</v>
      </c>
      <c r="C775" t="s">
        <v>17</v>
      </c>
      <c r="D775" t="s">
        <v>20</v>
      </c>
      <c r="E775" s="13">
        <v>2826</v>
      </c>
      <c r="F775" s="13">
        <v>254.34</v>
      </c>
      <c r="G775" s="13">
        <f t="shared" si="13"/>
        <v>3080.34</v>
      </c>
    </row>
    <row r="776" spans="1:7" x14ac:dyDescent="0.25">
      <c r="A776">
        <v>10824</v>
      </c>
      <c r="B776" s="12">
        <v>44591</v>
      </c>
      <c r="C776" t="s">
        <v>14</v>
      </c>
      <c r="D776" t="s">
        <v>21</v>
      </c>
      <c r="E776" s="13">
        <v>250.8</v>
      </c>
      <c r="F776" s="13">
        <v>25.080000000000002</v>
      </c>
      <c r="G776" s="13">
        <f t="shared" si="13"/>
        <v>275.88</v>
      </c>
    </row>
    <row r="777" spans="1:7" x14ac:dyDescent="0.25">
      <c r="A777">
        <v>10825</v>
      </c>
      <c r="B777" s="12">
        <v>44575</v>
      </c>
      <c r="C777" t="s">
        <v>14</v>
      </c>
      <c r="D777" t="s">
        <v>18</v>
      </c>
      <c r="E777" s="13">
        <v>1030.76</v>
      </c>
      <c r="F777" s="13">
        <v>103.07600000000001</v>
      </c>
      <c r="G777" s="13">
        <f t="shared" si="13"/>
        <v>1133.836</v>
      </c>
    </row>
    <row r="778" spans="1:7" x14ac:dyDescent="0.25">
      <c r="A778">
        <v>10826</v>
      </c>
      <c r="B778" s="12">
        <v>44598</v>
      </c>
      <c r="C778" t="s">
        <v>17</v>
      </c>
      <c r="D778" t="s">
        <v>19</v>
      </c>
      <c r="E778" s="13">
        <v>730</v>
      </c>
      <c r="F778" s="13">
        <v>65.7</v>
      </c>
      <c r="G778" s="13">
        <f t="shared" si="13"/>
        <v>795.7</v>
      </c>
    </row>
    <row r="779" spans="1:7" x14ac:dyDescent="0.25">
      <c r="A779">
        <v>10827</v>
      </c>
      <c r="B779" s="12">
        <v>44598</v>
      </c>
      <c r="C779" t="s">
        <v>14</v>
      </c>
      <c r="D779" t="s">
        <v>18</v>
      </c>
      <c r="E779" s="13">
        <v>843</v>
      </c>
      <c r="F779" s="13">
        <v>84.300000000000011</v>
      </c>
      <c r="G779" s="13">
        <f t="shared" si="13"/>
        <v>927.3</v>
      </c>
    </row>
    <row r="780" spans="1:7" x14ac:dyDescent="0.25">
      <c r="A780">
        <v>10828</v>
      </c>
      <c r="B780" s="12">
        <v>44596</v>
      </c>
      <c r="C780" t="s">
        <v>17</v>
      </c>
      <c r="D780" t="s">
        <v>16</v>
      </c>
      <c r="E780" s="13">
        <v>932</v>
      </c>
      <c r="F780" s="13">
        <v>83.88</v>
      </c>
      <c r="G780" s="13">
        <f t="shared" si="13"/>
        <v>1015.88</v>
      </c>
    </row>
    <row r="781" spans="1:7" x14ac:dyDescent="0.25">
      <c r="A781">
        <v>10829</v>
      </c>
      <c r="B781" s="12">
        <v>44584</v>
      </c>
      <c r="C781" t="s">
        <v>17</v>
      </c>
      <c r="D781" t="s">
        <v>16</v>
      </c>
      <c r="E781" s="13">
        <v>1764</v>
      </c>
      <c r="F781" s="13">
        <v>158.76</v>
      </c>
      <c r="G781" s="13">
        <f t="shared" si="13"/>
        <v>1922.76</v>
      </c>
    </row>
    <row r="782" spans="1:7" x14ac:dyDescent="0.25">
      <c r="A782">
        <v>10830</v>
      </c>
      <c r="B782" s="12">
        <v>44582</v>
      </c>
      <c r="C782" t="s">
        <v>14</v>
      </c>
      <c r="D782" t="s">
        <v>22</v>
      </c>
      <c r="E782" s="13">
        <v>1974</v>
      </c>
      <c r="F782" s="13">
        <v>197.4</v>
      </c>
      <c r="G782" s="13">
        <f t="shared" si="13"/>
        <v>2171.4</v>
      </c>
    </row>
    <row r="783" spans="1:7" x14ac:dyDescent="0.25">
      <c r="A783">
        <v>10831</v>
      </c>
      <c r="B783" s="12">
        <v>44584</v>
      </c>
      <c r="C783" t="s">
        <v>14</v>
      </c>
      <c r="D783" t="s">
        <v>24</v>
      </c>
      <c r="E783" s="13">
        <v>2684.4</v>
      </c>
      <c r="F783" s="13">
        <v>214.75200000000001</v>
      </c>
      <c r="G783" s="13">
        <f t="shared" si="13"/>
        <v>2899.152</v>
      </c>
    </row>
    <row r="784" spans="1:7" x14ac:dyDescent="0.25">
      <c r="A784">
        <v>10832</v>
      </c>
      <c r="B784" s="12">
        <v>44580</v>
      </c>
      <c r="C784" t="s">
        <v>14</v>
      </c>
      <c r="D784" t="s">
        <v>15</v>
      </c>
      <c r="E784" s="13">
        <v>475.11</v>
      </c>
      <c r="F784" s="13">
        <v>47.511000000000003</v>
      </c>
      <c r="G784" s="13">
        <f t="shared" si="13"/>
        <v>522.62099999999998</v>
      </c>
    </row>
    <row r="785" spans="1:7" x14ac:dyDescent="0.25">
      <c r="A785">
        <v>10833</v>
      </c>
      <c r="B785" s="12">
        <v>44584</v>
      </c>
      <c r="C785" t="s">
        <v>17</v>
      </c>
      <c r="D785" t="s">
        <v>19</v>
      </c>
      <c r="E785" s="13">
        <v>906.93</v>
      </c>
      <c r="F785" s="13">
        <v>81.623699999999999</v>
      </c>
      <c r="G785" s="13">
        <f t="shared" si="13"/>
        <v>988.55369999999994</v>
      </c>
    </row>
    <row r="786" spans="1:7" x14ac:dyDescent="0.25">
      <c r="A786">
        <v>10834</v>
      </c>
      <c r="B786" s="12">
        <v>44580</v>
      </c>
      <c r="C786" t="s">
        <v>14</v>
      </c>
      <c r="D786" t="s">
        <v>18</v>
      </c>
      <c r="E786" s="13">
        <v>1432.71</v>
      </c>
      <c r="F786" s="13">
        <v>143.27100000000002</v>
      </c>
      <c r="G786" s="13">
        <f t="shared" si="13"/>
        <v>1575.981</v>
      </c>
    </row>
    <row r="787" spans="1:7" x14ac:dyDescent="0.25">
      <c r="A787">
        <v>10835</v>
      </c>
      <c r="B787" s="12">
        <v>44582</v>
      </c>
      <c r="C787" t="s">
        <v>14</v>
      </c>
      <c r="D787" t="s">
        <v>18</v>
      </c>
      <c r="E787" s="13">
        <v>845.8</v>
      </c>
      <c r="F787" s="13">
        <v>84.58</v>
      </c>
      <c r="G787" s="13">
        <f t="shared" si="13"/>
        <v>930.38</v>
      </c>
    </row>
    <row r="788" spans="1:7" x14ac:dyDescent="0.25">
      <c r="A788">
        <v>10836</v>
      </c>
      <c r="B788" s="12">
        <v>44582</v>
      </c>
      <c r="C788" t="s">
        <v>17</v>
      </c>
      <c r="D788" t="s">
        <v>23</v>
      </c>
      <c r="E788" s="13">
        <v>4705.5</v>
      </c>
      <c r="F788" s="13">
        <v>376.44</v>
      </c>
      <c r="G788" s="13">
        <f t="shared" si="13"/>
        <v>5081.9399999999996</v>
      </c>
    </row>
    <row r="789" spans="1:7" x14ac:dyDescent="0.25">
      <c r="A789">
        <v>10837</v>
      </c>
      <c r="B789" s="12">
        <v>44584</v>
      </c>
      <c r="C789" t="s">
        <v>17</v>
      </c>
      <c r="D789" t="s">
        <v>16</v>
      </c>
      <c r="E789" s="13">
        <v>1064.5</v>
      </c>
      <c r="F789" s="13">
        <v>95.804999999999993</v>
      </c>
      <c r="G789" s="13">
        <f t="shared" si="13"/>
        <v>1160.3050000000001</v>
      </c>
    </row>
    <row r="790" spans="1:7" x14ac:dyDescent="0.25">
      <c r="A790">
        <v>10838</v>
      </c>
      <c r="B790" s="12">
        <v>44584</v>
      </c>
      <c r="C790" t="s">
        <v>14</v>
      </c>
      <c r="D790" t="s">
        <v>24</v>
      </c>
      <c r="E790" s="13">
        <v>1938.38</v>
      </c>
      <c r="F790" s="13">
        <v>193.83800000000002</v>
      </c>
      <c r="G790" s="13">
        <f t="shared" si="13"/>
        <v>2132.2180000000003</v>
      </c>
    </row>
    <row r="791" spans="1:7" x14ac:dyDescent="0.25">
      <c r="A791">
        <v>10839</v>
      </c>
      <c r="B791" s="12">
        <v>44583</v>
      </c>
      <c r="C791" t="s">
        <v>14</v>
      </c>
      <c r="D791" t="s">
        <v>24</v>
      </c>
      <c r="E791" s="13">
        <v>827.55</v>
      </c>
      <c r="F791" s="13">
        <v>82.754999999999995</v>
      </c>
      <c r="G791" s="13">
        <f t="shared" si="13"/>
        <v>910.30499999999995</v>
      </c>
    </row>
    <row r="792" spans="1:7" x14ac:dyDescent="0.25">
      <c r="A792">
        <v>10840</v>
      </c>
      <c r="B792" s="12">
        <v>44608</v>
      </c>
      <c r="C792" t="s">
        <v>14</v>
      </c>
      <c r="D792" t="s">
        <v>22</v>
      </c>
      <c r="E792" s="13">
        <v>211.2</v>
      </c>
      <c r="F792" s="13">
        <v>21.12</v>
      </c>
      <c r="G792" s="13">
        <f t="shared" si="13"/>
        <v>232.32</v>
      </c>
    </row>
    <row r="793" spans="1:7" x14ac:dyDescent="0.25">
      <c r="A793">
        <v>10841</v>
      </c>
      <c r="B793" s="12">
        <v>44590</v>
      </c>
      <c r="C793" t="s">
        <v>17</v>
      </c>
      <c r="D793" t="s">
        <v>20</v>
      </c>
      <c r="E793" s="13">
        <v>4581</v>
      </c>
      <c r="F793" s="13">
        <v>366.48</v>
      </c>
      <c r="G793" s="13">
        <f t="shared" si="13"/>
        <v>4947.4799999999996</v>
      </c>
    </row>
    <row r="794" spans="1:7" x14ac:dyDescent="0.25">
      <c r="A794">
        <v>10842</v>
      </c>
      <c r="B794" s="12">
        <v>44590</v>
      </c>
      <c r="C794" t="s">
        <v>14</v>
      </c>
      <c r="D794" t="s">
        <v>18</v>
      </c>
      <c r="E794" s="13">
        <v>975</v>
      </c>
      <c r="F794" s="13">
        <v>97.5</v>
      </c>
      <c r="G794" s="13">
        <f t="shared" si="13"/>
        <v>1072.5</v>
      </c>
    </row>
    <row r="795" spans="1:7" x14ac:dyDescent="0.25">
      <c r="A795">
        <v>10843</v>
      </c>
      <c r="B795" s="12">
        <v>44587</v>
      </c>
      <c r="C795" t="s">
        <v>14</v>
      </c>
      <c r="D795" t="s">
        <v>22</v>
      </c>
      <c r="E795" s="13">
        <v>159</v>
      </c>
      <c r="F795" s="13">
        <v>15.9</v>
      </c>
      <c r="G795" s="13">
        <f t="shared" si="13"/>
        <v>174.9</v>
      </c>
    </row>
    <row r="796" spans="1:7" x14ac:dyDescent="0.25">
      <c r="A796">
        <v>10844</v>
      </c>
      <c r="B796" s="12">
        <v>44587</v>
      </c>
      <c r="C796" t="s">
        <v>14</v>
      </c>
      <c r="D796" t="s">
        <v>21</v>
      </c>
      <c r="E796" s="13">
        <v>735</v>
      </c>
      <c r="F796" s="13">
        <v>73.5</v>
      </c>
      <c r="G796" s="13">
        <f t="shared" si="13"/>
        <v>808.5</v>
      </c>
    </row>
    <row r="797" spans="1:7" x14ac:dyDescent="0.25">
      <c r="A797">
        <v>10845</v>
      </c>
      <c r="B797" s="12">
        <v>44591</v>
      </c>
      <c r="C797" t="s">
        <v>14</v>
      </c>
      <c r="D797" t="s">
        <v>21</v>
      </c>
      <c r="E797" s="13">
        <v>3812.7</v>
      </c>
      <c r="F797" s="13">
        <v>305.01600000000002</v>
      </c>
      <c r="G797" s="13">
        <f t="shared" si="13"/>
        <v>4117.7159999999994</v>
      </c>
    </row>
    <row r="798" spans="1:7" x14ac:dyDescent="0.25">
      <c r="A798">
        <v>10846</v>
      </c>
      <c r="B798" s="12">
        <v>44584</v>
      </c>
      <c r="C798" t="s">
        <v>14</v>
      </c>
      <c r="D798" t="s">
        <v>15</v>
      </c>
      <c r="E798" s="13">
        <v>1112</v>
      </c>
      <c r="F798" s="13">
        <v>111.2</v>
      </c>
      <c r="G798" s="13">
        <f t="shared" si="13"/>
        <v>1223.2</v>
      </c>
    </row>
    <row r="799" spans="1:7" x14ac:dyDescent="0.25">
      <c r="A799">
        <v>10847</v>
      </c>
      <c r="B799" s="12">
        <v>44602</v>
      </c>
      <c r="C799" t="s">
        <v>14</v>
      </c>
      <c r="D799" t="s">
        <v>22</v>
      </c>
      <c r="E799" s="13">
        <v>4931.92</v>
      </c>
      <c r="F799" s="13">
        <v>394.55360000000002</v>
      </c>
      <c r="G799" s="13">
        <f t="shared" si="13"/>
        <v>5326.4736000000003</v>
      </c>
    </row>
    <row r="800" spans="1:7" x14ac:dyDescent="0.25">
      <c r="A800">
        <v>10848</v>
      </c>
      <c r="B800" s="12">
        <v>44590</v>
      </c>
      <c r="C800" t="s">
        <v>17</v>
      </c>
      <c r="D800" t="s">
        <v>23</v>
      </c>
      <c r="E800" s="13">
        <v>931.5</v>
      </c>
      <c r="F800" s="13">
        <v>83.834999999999994</v>
      </c>
      <c r="G800" s="13">
        <f t="shared" si="13"/>
        <v>1015.335</v>
      </c>
    </row>
    <row r="801" spans="1:7" x14ac:dyDescent="0.25">
      <c r="A801">
        <v>10849</v>
      </c>
      <c r="B801" s="12">
        <v>44591</v>
      </c>
      <c r="C801" t="s">
        <v>17</v>
      </c>
      <c r="D801" t="s">
        <v>16</v>
      </c>
      <c r="E801" s="13">
        <v>967.82</v>
      </c>
      <c r="F801" s="13">
        <v>87.103800000000007</v>
      </c>
      <c r="G801" s="13">
        <f t="shared" si="13"/>
        <v>1054.9238</v>
      </c>
    </row>
    <row r="802" spans="1:7" x14ac:dyDescent="0.25">
      <c r="A802">
        <v>10850</v>
      </c>
      <c r="B802" s="12">
        <v>44591</v>
      </c>
      <c r="C802" t="s">
        <v>14</v>
      </c>
      <c r="D802" t="s">
        <v>18</v>
      </c>
      <c r="E802" s="13">
        <v>629</v>
      </c>
      <c r="F802" s="13">
        <v>62.900000000000006</v>
      </c>
      <c r="G802" s="13">
        <f t="shared" si="13"/>
        <v>691.9</v>
      </c>
    </row>
    <row r="803" spans="1:7" x14ac:dyDescent="0.25">
      <c r="A803">
        <v>10851</v>
      </c>
      <c r="B803" s="12">
        <v>44594</v>
      </c>
      <c r="C803" t="s">
        <v>17</v>
      </c>
      <c r="D803" t="s">
        <v>20</v>
      </c>
      <c r="E803" s="13">
        <v>2603</v>
      </c>
      <c r="F803" s="13">
        <v>234.26999999999998</v>
      </c>
      <c r="G803" s="13">
        <f t="shared" si="13"/>
        <v>2837.27</v>
      </c>
    </row>
    <row r="804" spans="1:7" x14ac:dyDescent="0.25">
      <c r="A804">
        <v>10852</v>
      </c>
      <c r="B804" s="12">
        <v>44591</v>
      </c>
      <c r="C804" t="s">
        <v>14</v>
      </c>
      <c r="D804" t="s">
        <v>21</v>
      </c>
      <c r="E804" s="13">
        <v>2984</v>
      </c>
      <c r="F804" s="13">
        <v>238.72</v>
      </c>
      <c r="G804" s="13">
        <f t="shared" si="13"/>
        <v>3222.72</v>
      </c>
    </row>
    <row r="805" spans="1:7" x14ac:dyDescent="0.25">
      <c r="A805">
        <v>10853</v>
      </c>
      <c r="B805" s="12">
        <v>44595</v>
      </c>
      <c r="C805" t="s">
        <v>17</v>
      </c>
      <c r="D805" t="s">
        <v>16</v>
      </c>
      <c r="E805" s="13">
        <v>625</v>
      </c>
      <c r="F805" s="13">
        <v>56.25</v>
      </c>
      <c r="G805" s="13">
        <f t="shared" si="13"/>
        <v>681.25</v>
      </c>
    </row>
    <row r="806" spans="1:7" x14ac:dyDescent="0.25">
      <c r="A806">
        <v>10854</v>
      </c>
      <c r="B806" s="12">
        <v>44597</v>
      </c>
      <c r="C806" t="s">
        <v>14</v>
      </c>
      <c r="D806" t="s">
        <v>24</v>
      </c>
      <c r="E806" s="13">
        <v>2966.5</v>
      </c>
      <c r="F806" s="13">
        <v>237.32</v>
      </c>
      <c r="G806" s="13">
        <f t="shared" si="13"/>
        <v>3203.82</v>
      </c>
    </row>
    <row r="807" spans="1:7" x14ac:dyDescent="0.25">
      <c r="A807">
        <v>10855</v>
      </c>
      <c r="B807" s="12">
        <v>44596</v>
      </c>
      <c r="C807" t="s">
        <v>14</v>
      </c>
      <c r="D807" t="s">
        <v>24</v>
      </c>
      <c r="E807" s="13">
        <v>2227.89</v>
      </c>
      <c r="F807" s="13">
        <v>178.2312</v>
      </c>
      <c r="G807" s="13">
        <f t="shared" si="13"/>
        <v>2406.1212</v>
      </c>
    </row>
    <row r="808" spans="1:7" x14ac:dyDescent="0.25">
      <c r="A808">
        <v>10856</v>
      </c>
      <c r="B808" s="12">
        <v>44602</v>
      </c>
      <c r="C808" t="s">
        <v>14</v>
      </c>
      <c r="D808" t="s">
        <v>24</v>
      </c>
      <c r="E808" s="13">
        <v>660</v>
      </c>
      <c r="F808" s="13">
        <v>66</v>
      </c>
      <c r="G808" s="13">
        <f t="shared" si="13"/>
        <v>726</v>
      </c>
    </row>
    <row r="809" spans="1:7" x14ac:dyDescent="0.25">
      <c r="A809">
        <v>10857</v>
      </c>
      <c r="B809" s="12">
        <v>44598</v>
      </c>
      <c r="C809" t="s">
        <v>14</v>
      </c>
      <c r="D809" t="s">
        <v>21</v>
      </c>
      <c r="E809" s="13">
        <v>2048.2199999999998</v>
      </c>
      <c r="F809" s="13">
        <v>163.85759999999999</v>
      </c>
      <c r="G809" s="13">
        <f t="shared" si="13"/>
        <v>2212.0775999999996</v>
      </c>
    </row>
    <row r="810" spans="1:7" x14ac:dyDescent="0.25">
      <c r="A810">
        <v>10858</v>
      </c>
      <c r="B810" s="12">
        <v>44595</v>
      </c>
      <c r="C810" t="s">
        <v>14</v>
      </c>
      <c r="D810" t="s">
        <v>15</v>
      </c>
      <c r="E810" s="13">
        <v>649</v>
      </c>
      <c r="F810" s="13">
        <v>64.900000000000006</v>
      </c>
      <c r="G810" s="13">
        <f t="shared" si="13"/>
        <v>713.9</v>
      </c>
    </row>
    <row r="811" spans="1:7" x14ac:dyDescent="0.25">
      <c r="A811">
        <v>10859</v>
      </c>
      <c r="B811" s="12">
        <v>44594</v>
      </c>
      <c r="C811" t="s">
        <v>14</v>
      </c>
      <c r="D811" t="s">
        <v>18</v>
      </c>
      <c r="E811" s="13">
        <v>1078.69</v>
      </c>
      <c r="F811" s="13">
        <v>107.86900000000001</v>
      </c>
      <c r="G811" s="13">
        <f t="shared" si="13"/>
        <v>1186.559</v>
      </c>
    </row>
    <row r="812" spans="1:7" x14ac:dyDescent="0.25">
      <c r="A812">
        <v>10860</v>
      </c>
      <c r="B812" s="12">
        <v>44596</v>
      </c>
      <c r="C812" t="s">
        <v>14</v>
      </c>
      <c r="D812" t="s">
        <v>24</v>
      </c>
      <c r="E812" s="13">
        <v>519</v>
      </c>
      <c r="F812" s="13">
        <v>51.900000000000006</v>
      </c>
      <c r="G812" s="13">
        <f t="shared" si="13"/>
        <v>570.9</v>
      </c>
    </row>
    <row r="813" spans="1:7" x14ac:dyDescent="0.25">
      <c r="A813">
        <v>10861</v>
      </c>
      <c r="B813" s="12">
        <v>44609</v>
      </c>
      <c r="C813" t="s">
        <v>14</v>
      </c>
      <c r="D813" t="s">
        <v>22</v>
      </c>
      <c r="E813" s="13">
        <v>3523.4</v>
      </c>
      <c r="F813" s="13">
        <v>281.87200000000001</v>
      </c>
      <c r="G813" s="13">
        <f t="shared" si="13"/>
        <v>3805.2719999999999</v>
      </c>
    </row>
    <row r="814" spans="1:7" x14ac:dyDescent="0.25">
      <c r="A814">
        <v>10862</v>
      </c>
      <c r="B814" s="12">
        <v>44594</v>
      </c>
      <c r="C814" t="s">
        <v>14</v>
      </c>
      <c r="D814" t="s">
        <v>21</v>
      </c>
      <c r="E814" s="13">
        <v>581</v>
      </c>
      <c r="F814" s="13">
        <v>58.1</v>
      </c>
      <c r="G814" s="13">
        <f t="shared" si="13"/>
        <v>639.1</v>
      </c>
    </row>
    <row r="815" spans="1:7" x14ac:dyDescent="0.25">
      <c r="A815">
        <v>10863</v>
      </c>
      <c r="B815" s="12">
        <v>44609</v>
      </c>
      <c r="C815" t="s">
        <v>14</v>
      </c>
      <c r="D815" t="s">
        <v>22</v>
      </c>
      <c r="E815" s="13">
        <v>441.15</v>
      </c>
      <c r="F815" s="13">
        <v>44.115000000000002</v>
      </c>
      <c r="G815" s="13">
        <f t="shared" si="13"/>
        <v>485.26499999999999</v>
      </c>
    </row>
    <row r="816" spans="1:7" x14ac:dyDescent="0.25">
      <c r="A816">
        <v>10864</v>
      </c>
      <c r="B816" s="12">
        <v>44601</v>
      </c>
      <c r="C816" t="s">
        <v>14</v>
      </c>
      <c r="D816" t="s">
        <v>22</v>
      </c>
      <c r="E816" s="13">
        <v>282</v>
      </c>
      <c r="F816" s="13">
        <v>28.200000000000003</v>
      </c>
      <c r="G816" s="13">
        <f t="shared" si="13"/>
        <v>310.2</v>
      </c>
    </row>
    <row r="817" spans="1:7" x14ac:dyDescent="0.25">
      <c r="A817">
        <v>10865</v>
      </c>
      <c r="B817" s="12">
        <v>44604</v>
      </c>
      <c r="C817" t="s">
        <v>14</v>
      </c>
      <c r="D817" t="s">
        <v>15</v>
      </c>
      <c r="E817" s="13">
        <v>16387.5</v>
      </c>
      <c r="F817" s="13">
        <v>819.375</v>
      </c>
      <c r="G817" s="13">
        <f t="shared" si="13"/>
        <v>17206.875</v>
      </c>
    </row>
    <row r="818" spans="1:7" x14ac:dyDescent="0.25">
      <c r="A818">
        <v>10866</v>
      </c>
      <c r="B818" s="12">
        <v>44604</v>
      </c>
      <c r="C818" t="s">
        <v>17</v>
      </c>
      <c r="D818" t="s">
        <v>20</v>
      </c>
      <c r="E818" s="13">
        <v>1096.2</v>
      </c>
      <c r="F818" s="13">
        <v>98.658000000000001</v>
      </c>
      <c r="G818" s="13">
        <f t="shared" si="13"/>
        <v>1194.8579999999999</v>
      </c>
    </row>
    <row r="819" spans="1:7" x14ac:dyDescent="0.25">
      <c r="A819">
        <v>10867</v>
      </c>
      <c r="B819" s="12">
        <v>44603</v>
      </c>
      <c r="C819" t="s">
        <v>17</v>
      </c>
      <c r="D819" t="s">
        <v>19</v>
      </c>
      <c r="E819" s="13">
        <v>98.4</v>
      </c>
      <c r="F819" s="13">
        <v>8.8559999999999999</v>
      </c>
      <c r="G819" s="13">
        <f t="shared" si="13"/>
        <v>107.256</v>
      </c>
    </row>
    <row r="820" spans="1:7" x14ac:dyDescent="0.25">
      <c r="A820">
        <v>10868</v>
      </c>
      <c r="B820" s="12">
        <v>44615</v>
      </c>
      <c r="C820" t="s">
        <v>17</v>
      </c>
      <c r="D820" t="s">
        <v>23</v>
      </c>
      <c r="E820" s="13">
        <v>1920.6</v>
      </c>
      <c r="F820" s="13">
        <v>172.85399999999998</v>
      </c>
      <c r="G820" s="13">
        <f t="shared" si="13"/>
        <v>2093.4539999999997</v>
      </c>
    </row>
    <row r="821" spans="1:7" x14ac:dyDescent="0.25">
      <c r="A821">
        <v>10869</v>
      </c>
      <c r="B821" s="12">
        <v>44601</v>
      </c>
      <c r="C821" t="s">
        <v>17</v>
      </c>
      <c r="D821" t="s">
        <v>20</v>
      </c>
      <c r="E821" s="13">
        <v>1630</v>
      </c>
      <c r="F821" s="13">
        <v>146.69999999999999</v>
      </c>
      <c r="G821" s="13">
        <f t="shared" si="13"/>
        <v>1776.7</v>
      </c>
    </row>
    <row r="822" spans="1:7" x14ac:dyDescent="0.25">
      <c r="A822">
        <v>10870</v>
      </c>
      <c r="B822" s="12">
        <v>44605</v>
      </c>
      <c r="C822" t="s">
        <v>17</v>
      </c>
      <c r="D822" t="s">
        <v>20</v>
      </c>
      <c r="E822" s="13">
        <v>160</v>
      </c>
      <c r="F822" s="13">
        <v>14.399999999999999</v>
      </c>
      <c r="G822" s="13">
        <f t="shared" si="13"/>
        <v>174.4</v>
      </c>
    </row>
    <row r="823" spans="1:7" x14ac:dyDescent="0.25">
      <c r="A823">
        <v>10871</v>
      </c>
      <c r="B823" s="12">
        <v>44602</v>
      </c>
      <c r="C823" t="s">
        <v>17</v>
      </c>
      <c r="D823" t="s">
        <v>16</v>
      </c>
      <c r="E823" s="13">
        <v>1979.23</v>
      </c>
      <c r="F823" s="13">
        <v>178.13069999999999</v>
      </c>
      <c r="G823" s="13">
        <f t="shared" si="13"/>
        <v>2157.3607000000002</v>
      </c>
    </row>
    <row r="824" spans="1:7" x14ac:dyDescent="0.25">
      <c r="A824">
        <v>10872</v>
      </c>
      <c r="B824" s="12">
        <v>44601</v>
      </c>
      <c r="C824" t="s">
        <v>17</v>
      </c>
      <c r="D824" t="s">
        <v>20</v>
      </c>
      <c r="E824" s="13">
        <v>2058.46</v>
      </c>
      <c r="F824" s="13">
        <v>185.26140000000001</v>
      </c>
      <c r="G824" s="13">
        <f t="shared" si="13"/>
        <v>2243.7213999999999</v>
      </c>
    </row>
    <row r="825" spans="1:7" x14ac:dyDescent="0.25">
      <c r="A825">
        <v>10873</v>
      </c>
      <c r="B825" s="12">
        <v>44601</v>
      </c>
      <c r="C825" t="s">
        <v>14</v>
      </c>
      <c r="D825" t="s">
        <v>22</v>
      </c>
      <c r="E825" s="13">
        <v>336.8</v>
      </c>
      <c r="F825" s="13">
        <v>33.68</v>
      </c>
      <c r="G825" s="13">
        <f t="shared" si="13"/>
        <v>370.48</v>
      </c>
    </row>
    <row r="826" spans="1:7" x14ac:dyDescent="0.25">
      <c r="A826">
        <v>10874</v>
      </c>
      <c r="B826" s="12">
        <v>44603</v>
      </c>
      <c r="C826" t="s">
        <v>17</v>
      </c>
      <c r="D826" t="s">
        <v>20</v>
      </c>
      <c r="E826" s="13">
        <v>310</v>
      </c>
      <c r="F826" s="13">
        <v>27.9</v>
      </c>
      <c r="G826" s="13">
        <f t="shared" si="13"/>
        <v>337.9</v>
      </c>
    </row>
    <row r="827" spans="1:7" x14ac:dyDescent="0.25">
      <c r="A827">
        <v>10875</v>
      </c>
      <c r="B827" s="12">
        <v>44623</v>
      </c>
      <c r="C827" t="s">
        <v>14</v>
      </c>
      <c r="D827" t="s">
        <v>22</v>
      </c>
      <c r="E827" s="13">
        <v>709.55</v>
      </c>
      <c r="F827" s="13">
        <v>70.954999999999998</v>
      </c>
      <c r="G827" s="13">
        <f t="shared" si="13"/>
        <v>780.505</v>
      </c>
    </row>
    <row r="828" spans="1:7" x14ac:dyDescent="0.25">
      <c r="A828">
        <v>10876</v>
      </c>
      <c r="B828" s="12">
        <v>44604</v>
      </c>
      <c r="C828" t="s">
        <v>17</v>
      </c>
      <c r="D828" t="s">
        <v>23</v>
      </c>
      <c r="E828" s="13">
        <v>917</v>
      </c>
      <c r="F828" s="13">
        <v>82.53</v>
      </c>
      <c r="G828" s="13">
        <f t="shared" si="13"/>
        <v>999.53</v>
      </c>
    </row>
    <row r="829" spans="1:7" x14ac:dyDescent="0.25">
      <c r="A829">
        <v>10877</v>
      </c>
      <c r="B829" s="12">
        <v>44611</v>
      </c>
      <c r="C829" t="s">
        <v>14</v>
      </c>
      <c r="D829" t="s">
        <v>18</v>
      </c>
      <c r="E829" s="13">
        <v>1955.13</v>
      </c>
      <c r="F829" s="13">
        <v>195.51300000000003</v>
      </c>
      <c r="G829" s="13">
        <f t="shared" si="13"/>
        <v>2150.643</v>
      </c>
    </row>
    <row r="830" spans="1:7" x14ac:dyDescent="0.25">
      <c r="A830">
        <v>10878</v>
      </c>
      <c r="B830" s="12">
        <v>44604</v>
      </c>
      <c r="C830" t="s">
        <v>14</v>
      </c>
      <c r="D830" t="s">
        <v>22</v>
      </c>
      <c r="E830" s="13">
        <v>1539</v>
      </c>
      <c r="F830" s="13">
        <v>153.9</v>
      </c>
      <c r="G830" s="13">
        <f t="shared" si="13"/>
        <v>1692.9</v>
      </c>
    </row>
    <row r="831" spans="1:7" x14ac:dyDescent="0.25">
      <c r="A831">
        <v>10879</v>
      </c>
      <c r="B831" s="12">
        <v>44604</v>
      </c>
      <c r="C831" t="s">
        <v>14</v>
      </c>
      <c r="D831" t="s">
        <v>24</v>
      </c>
      <c r="E831" s="13">
        <v>611.29999999999995</v>
      </c>
      <c r="F831" s="13">
        <v>61.129999999999995</v>
      </c>
      <c r="G831" s="13">
        <f t="shared" si="13"/>
        <v>672.43</v>
      </c>
    </row>
    <row r="832" spans="1:7" x14ac:dyDescent="0.25">
      <c r="A832">
        <v>10880</v>
      </c>
      <c r="B832" s="12">
        <v>44610</v>
      </c>
      <c r="C832" t="s">
        <v>17</v>
      </c>
      <c r="D832" t="s">
        <v>23</v>
      </c>
      <c r="E832" s="13">
        <v>1500</v>
      </c>
      <c r="F832" s="13">
        <v>135</v>
      </c>
      <c r="G832" s="13">
        <f t="shared" si="13"/>
        <v>1635</v>
      </c>
    </row>
    <row r="833" spans="1:7" x14ac:dyDescent="0.25">
      <c r="A833">
        <v>10881</v>
      </c>
      <c r="B833" s="12">
        <v>44610</v>
      </c>
      <c r="C833" t="s">
        <v>14</v>
      </c>
      <c r="D833" t="s">
        <v>22</v>
      </c>
      <c r="E833" s="13">
        <v>150</v>
      </c>
      <c r="F833" s="13">
        <v>15</v>
      </c>
      <c r="G833" s="13">
        <f t="shared" si="13"/>
        <v>165</v>
      </c>
    </row>
    <row r="834" spans="1:7" x14ac:dyDescent="0.25">
      <c r="A834">
        <v>10882</v>
      </c>
      <c r="B834" s="12">
        <v>44612</v>
      </c>
      <c r="C834" t="s">
        <v>14</v>
      </c>
      <c r="D834" t="s">
        <v>22</v>
      </c>
      <c r="E834" s="13">
        <v>892.64</v>
      </c>
      <c r="F834" s="13">
        <v>89.26400000000001</v>
      </c>
      <c r="G834" s="13">
        <f t="shared" si="13"/>
        <v>981.904</v>
      </c>
    </row>
    <row r="835" spans="1:7" x14ac:dyDescent="0.25">
      <c r="A835">
        <v>10883</v>
      </c>
      <c r="B835" s="12">
        <v>44612</v>
      </c>
      <c r="C835" t="s">
        <v>14</v>
      </c>
      <c r="D835" t="s">
        <v>21</v>
      </c>
      <c r="E835" s="13">
        <v>36</v>
      </c>
      <c r="F835" s="13">
        <v>5</v>
      </c>
      <c r="G835" s="13">
        <f t="shared" si="13"/>
        <v>41</v>
      </c>
    </row>
    <row r="836" spans="1:7" x14ac:dyDescent="0.25">
      <c r="A836">
        <v>10884</v>
      </c>
      <c r="B836" s="12">
        <v>44605</v>
      </c>
      <c r="C836" t="s">
        <v>14</v>
      </c>
      <c r="D836" t="s">
        <v>22</v>
      </c>
      <c r="E836" s="13">
        <v>1378.07</v>
      </c>
      <c r="F836" s="13">
        <v>137.80699999999999</v>
      </c>
      <c r="G836" s="13">
        <f t="shared" si="13"/>
        <v>1515.877</v>
      </c>
    </row>
    <row r="837" spans="1:7" x14ac:dyDescent="0.25">
      <c r="A837">
        <v>10885</v>
      </c>
      <c r="B837" s="12">
        <v>44610</v>
      </c>
      <c r="C837" t="s">
        <v>17</v>
      </c>
      <c r="D837" t="s">
        <v>19</v>
      </c>
      <c r="E837" s="13">
        <v>1209</v>
      </c>
      <c r="F837" s="13">
        <v>108.81</v>
      </c>
      <c r="G837" s="13">
        <f t="shared" ref="G837:G900" si="14">SUM(E837:F837)</f>
        <v>1317.81</v>
      </c>
    </row>
    <row r="838" spans="1:7" x14ac:dyDescent="0.25">
      <c r="A838">
        <v>10886</v>
      </c>
      <c r="B838" s="12">
        <v>44622</v>
      </c>
      <c r="C838" t="s">
        <v>14</v>
      </c>
      <c r="D838" t="s">
        <v>18</v>
      </c>
      <c r="E838" s="13">
        <v>3127.5</v>
      </c>
      <c r="F838" s="13">
        <v>250.20000000000002</v>
      </c>
      <c r="G838" s="13">
        <f t="shared" si="14"/>
        <v>3377.7</v>
      </c>
    </row>
    <row r="839" spans="1:7" x14ac:dyDescent="0.25">
      <c r="A839">
        <v>10887</v>
      </c>
      <c r="B839" s="12">
        <v>44608</v>
      </c>
      <c r="C839" t="s">
        <v>14</v>
      </c>
      <c r="D839" t="s">
        <v>21</v>
      </c>
      <c r="E839" s="13">
        <v>70</v>
      </c>
      <c r="F839" s="13">
        <v>7</v>
      </c>
      <c r="G839" s="13">
        <f t="shared" si="14"/>
        <v>77</v>
      </c>
    </row>
    <row r="840" spans="1:7" x14ac:dyDescent="0.25">
      <c r="A840">
        <v>10888</v>
      </c>
      <c r="B840" s="12">
        <v>44615</v>
      </c>
      <c r="C840" t="s">
        <v>14</v>
      </c>
      <c r="D840" t="s">
        <v>18</v>
      </c>
      <c r="E840" s="13">
        <v>605</v>
      </c>
      <c r="F840" s="13">
        <v>60.5</v>
      </c>
      <c r="G840" s="13">
        <f t="shared" si="14"/>
        <v>665.5</v>
      </c>
    </row>
    <row r="841" spans="1:7" x14ac:dyDescent="0.25">
      <c r="A841">
        <v>10889</v>
      </c>
      <c r="B841" s="12">
        <v>44615</v>
      </c>
      <c r="C841" t="s">
        <v>17</v>
      </c>
      <c r="D841" t="s">
        <v>16</v>
      </c>
      <c r="E841" s="13">
        <v>11380</v>
      </c>
      <c r="F841" s="13">
        <v>455.2</v>
      </c>
      <c r="G841" s="13">
        <f t="shared" si="14"/>
        <v>11835.2</v>
      </c>
    </row>
    <row r="842" spans="1:7" x14ac:dyDescent="0.25">
      <c r="A842">
        <v>10890</v>
      </c>
      <c r="B842" s="12">
        <v>44610</v>
      </c>
      <c r="C842" t="s">
        <v>17</v>
      </c>
      <c r="D842" t="s">
        <v>23</v>
      </c>
      <c r="E842" s="13">
        <v>860.1</v>
      </c>
      <c r="F842" s="13">
        <v>77.409000000000006</v>
      </c>
      <c r="G842" s="13">
        <f t="shared" si="14"/>
        <v>937.50900000000001</v>
      </c>
    </row>
    <row r="843" spans="1:7" x14ac:dyDescent="0.25">
      <c r="A843">
        <v>10891</v>
      </c>
      <c r="B843" s="12">
        <v>44611</v>
      </c>
      <c r="C843" t="s">
        <v>17</v>
      </c>
      <c r="D843" t="s">
        <v>23</v>
      </c>
      <c r="E843" s="13">
        <v>368.93</v>
      </c>
      <c r="F843" s="13">
        <v>33.203699999999998</v>
      </c>
      <c r="G843" s="13">
        <f t="shared" si="14"/>
        <v>402.13369999999998</v>
      </c>
    </row>
    <row r="844" spans="1:7" x14ac:dyDescent="0.25">
      <c r="A844">
        <v>10892</v>
      </c>
      <c r="B844" s="12">
        <v>44611</v>
      </c>
      <c r="C844" t="s">
        <v>14</v>
      </c>
      <c r="D844" t="s">
        <v>22</v>
      </c>
      <c r="E844" s="13">
        <v>2090</v>
      </c>
      <c r="F844" s="13">
        <v>167.20000000000002</v>
      </c>
      <c r="G844" s="13">
        <f t="shared" si="14"/>
        <v>2257.1999999999998</v>
      </c>
    </row>
    <row r="845" spans="1:7" x14ac:dyDescent="0.25">
      <c r="A845">
        <v>10893</v>
      </c>
      <c r="B845" s="12">
        <v>44612</v>
      </c>
      <c r="C845" t="s">
        <v>17</v>
      </c>
      <c r="D845" t="s">
        <v>16</v>
      </c>
      <c r="E845" s="13">
        <v>5502.11</v>
      </c>
      <c r="F845" s="13">
        <v>440.16879999999998</v>
      </c>
      <c r="G845" s="13">
        <f t="shared" si="14"/>
        <v>5942.2788</v>
      </c>
    </row>
    <row r="846" spans="1:7" x14ac:dyDescent="0.25">
      <c r="A846">
        <v>10894</v>
      </c>
      <c r="B846" s="12">
        <v>44612</v>
      </c>
      <c r="C846" t="s">
        <v>14</v>
      </c>
      <c r="D846" t="s">
        <v>18</v>
      </c>
      <c r="E846" s="13">
        <v>2753.1</v>
      </c>
      <c r="F846" s="13">
        <v>220.24799999999999</v>
      </c>
      <c r="G846" s="13">
        <f t="shared" si="14"/>
        <v>2973.348</v>
      </c>
    </row>
    <row r="847" spans="1:7" x14ac:dyDescent="0.25">
      <c r="A847">
        <v>10895</v>
      </c>
      <c r="B847" s="12">
        <v>44615</v>
      </c>
      <c r="C847" t="s">
        <v>14</v>
      </c>
      <c r="D847" t="s">
        <v>24</v>
      </c>
      <c r="E847" s="13">
        <v>6379.4</v>
      </c>
      <c r="F847" s="13">
        <v>318.97000000000003</v>
      </c>
      <c r="G847" s="13">
        <f t="shared" si="14"/>
        <v>6698.37</v>
      </c>
    </row>
    <row r="848" spans="1:7" x14ac:dyDescent="0.25">
      <c r="A848">
        <v>10896</v>
      </c>
      <c r="B848" s="12">
        <v>44619</v>
      </c>
      <c r="C848" t="s">
        <v>17</v>
      </c>
      <c r="D848" t="s">
        <v>23</v>
      </c>
      <c r="E848" s="13">
        <v>750.5</v>
      </c>
      <c r="F848" s="13">
        <v>67.545000000000002</v>
      </c>
      <c r="G848" s="13">
        <f t="shared" si="14"/>
        <v>818.04499999999996</v>
      </c>
    </row>
    <row r="849" spans="1:7" x14ac:dyDescent="0.25">
      <c r="A849">
        <v>10897</v>
      </c>
      <c r="B849" s="12">
        <v>44617</v>
      </c>
      <c r="C849" t="s">
        <v>14</v>
      </c>
      <c r="D849" t="s">
        <v>24</v>
      </c>
      <c r="E849" s="13">
        <v>10835.24</v>
      </c>
      <c r="F849" s="13">
        <v>541.76200000000006</v>
      </c>
      <c r="G849" s="13">
        <f t="shared" si="14"/>
        <v>11377.002</v>
      </c>
    </row>
    <row r="850" spans="1:7" x14ac:dyDescent="0.25">
      <c r="A850">
        <v>10898</v>
      </c>
      <c r="B850" s="12">
        <v>44626</v>
      </c>
      <c r="C850" t="s">
        <v>14</v>
      </c>
      <c r="D850" t="s">
        <v>22</v>
      </c>
      <c r="E850" s="13">
        <v>30</v>
      </c>
      <c r="F850" s="13">
        <v>5</v>
      </c>
      <c r="G850" s="13">
        <f t="shared" si="14"/>
        <v>35</v>
      </c>
    </row>
    <row r="851" spans="1:7" x14ac:dyDescent="0.25">
      <c r="A851">
        <v>10899</v>
      </c>
      <c r="B851" s="12">
        <v>44618</v>
      </c>
      <c r="C851" t="s">
        <v>17</v>
      </c>
      <c r="D851" t="s">
        <v>20</v>
      </c>
      <c r="E851" s="13">
        <v>122.4</v>
      </c>
      <c r="F851" s="13">
        <v>11.016</v>
      </c>
      <c r="G851" s="13">
        <f t="shared" si="14"/>
        <v>133.416</v>
      </c>
    </row>
    <row r="852" spans="1:7" x14ac:dyDescent="0.25">
      <c r="A852">
        <v>10900</v>
      </c>
      <c r="B852" s="12">
        <v>44624</v>
      </c>
      <c r="C852" t="s">
        <v>14</v>
      </c>
      <c r="D852" t="s">
        <v>18</v>
      </c>
      <c r="E852" s="13">
        <v>33.75</v>
      </c>
      <c r="F852" s="13">
        <v>5</v>
      </c>
      <c r="G852" s="13">
        <f t="shared" si="14"/>
        <v>38.75</v>
      </c>
    </row>
    <row r="853" spans="1:7" x14ac:dyDescent="0.25">
      <c r="A853">
        <v>10901</v>
      </c>
      <c r="B853" s="12">
        <v>44618</v>
      </c>
      <c r="C853" t="s">
        <v>14</v>
      </c>
      <c r="D853" t="s">
        <v>22</v>
      </c>
      <c r="E853" s="13">
        <v>934.5</v>
      </c>
      <c r="F853" s="13">
        <v>93.45</v>
      </c>
      <c r="G853" s="13">
        <f t="shared" si="14"/>
        <v>1027.95</v>
      </c>
    </row>
    <row r="854" spans="1:7" x14ac:dyDescent="0.25">
      <c r="A854">
        <v>10902</v>
      </c>
      <c r="B854" s="12">
        <v>44623</v>
      </c>
      <c r="C854" t="s">
        <v>14</v>
      </c>
      <c r="D854" t="s">
        <v>18</v>
      </c>
      <c r="E854" s="13">
        <v>863.43</v>
      </c>
      <c r="F854" s="13">
        <v>86.343000000000004</v>
      </c>
      <c r="G854" s="13">
        <f t="shared" si="14"/>
        <v>949.77299999999991</v>
      </c>
    </row>
    <row r="855" spans="1:7" x14ac:dyDescent="0.25">
      <c r="A855">
        <v>10903</v>
      </c>
      <c r="B855" s="12">
        <v>44624</v>
      </c>
      <c r="C855" t="s">
        <v>14</v>
      </c>
      <c r="D855" t="s">
        <v>24</v>
      </c>
      <c r="E855" s="13">
        <v>932.05</v>
      </c>
      <c r="F855" s="13">
        <v>93.204999999999998</v>
      </c>
      <c r="G855" s="13">
        <f t="shared" si="14"/>
        <v>1025.2549999999999</v>
      </c>
    </row>
    <row r="856" spans="1:7" x14ac:dyDescent="0.25">
      <c r="A856">
        <v>10904</v>
      </c>
      <c r="B856" s="12">
        <v>44619</v>
      </c>
      <c r="C856" t="s">
        <v>14</v>
      </c>
      <c r="D856" t="s">
        <v>24</v>
      </c>
      <c r="E856" s="13">
        <v>1924.25</v>
      </c>
      <c r="F856" s="13">
        <v>192.42500000000001</v>
      </c>
      <c r="G856" s="13">
        <f t="shared" si="14"/>
        <v>2116.6750000000002</v>
      </c>
    </row>
    <row r="857" spans="1:7" x14ac:dyDescent="0.25">
      <c r="A857">
        <v>10905</v>
      </c>
      <c r="B857" s="12">
        <v>44626</v>
      </c>
      <c r="C857" t="s">
        <v>17</v>
      </c>
      <c r="D857" t="s">
        <v>16</v>
      </c>
      <c r="E857" s="13">
        <v>342</v>
      </c>
      <c r="F857" s="13">
        <v>30.779999999999998</v>
      </c>
      <c r="G857" s="13">
        <f t="shared" si="14"/>
        <v>372.78</v>
      </c>
    </row>
    <row r="858" spans="1:7" x14ac:dyDescent="0.25">
      <c r="A858">
        <v>10906</v>
      </c>
      <c r="B858" s="12">
        <v>44623</v>
      </c>
      <c r="C858" t="s">
        <v>14</v>
      </c>
      <c r="D858" t="s">
        <v>22</v>
      </c>
      <c r="E858" s="13">
        <v>427.5</v>
      </c>
      <c r="F858" s="13">
        <v>42.75</v>
      </c>
      <c r="G858" s="13">
        <f t="shared" si="14"/>
        <v>470.25</v>
      </c>
    </row>
    <row r="859" spans="1:7" x14ac:dyDescent="0.25">
      <c r="A859">
        <v>10907</v>
      </c>
      <c r="B859" s="12">
        <v>44619</v>
      </c>
      <c r="C859" t="s">
        <v>17</v>
      </c>
      <c r="D859" t="s">
        <v>19</v>
      </c>
      <c r="E859" s="13">
        <v>108.5</v>
      </c>
      <c r="F859" s="13">
        <v>9.7649999999999988</v>
      </c>
      <c r="G859" s="13">
        <f t="shared" si="14"/>
        <v>118.265</v>
      </c>
    </row>
    <row r="860" spans="1:7" x14ac:dyDescent="0.25">
      <c r="A860">
        <v>10908</v>
      </c>
      <c r="B860" s="12">
        <v>44626</v>
      </c>
      <c r="C860" t="s">
        <v>14</v>
      </c>
      <c r="D860" t="s">
        <v>22</v>
      </c>
      <c r="E860" s="13">
        <v>663.1</v>
      </c>
      <c r="F860" s="13">
        <v>66.31</v>
      </c>
      <c r="G860" s="13">
        <f t="shared" si="14"/>
        <v>729.41000000000008</v>
      </c>
    </row>
    <row r="861" spans="1:7" x14ac:dyDescent="0.25">
      <c r="A861">
        <v>10909</v>
      </c>
      <c r="B861" s="12">
        <v>44630</v>
      </c>
      <c r="C861" t="s">
        <v>14</v>
      </c>
      <c r="D861" t="s">
        <v>18</v>
      </c>
      <c r="E861" s="13">
        <v>670</v>
      </c>
      <c r="F861" s="13">
        <v>67</v>
      </c>
      <c r="G861" s="13">
        <f t="shared" si="14"/>
        <v>737</v>
      </c>
    </row>
    <row r="862" spans="1:7" x14ac:dyDescent="0.25">
      <c r="A862">
        <v>10910</v>
      </c>
      <c r="B862" s="12">
        <v>44624</v>
      </c>
      <c r="C862" t="s">
        <v>14</v>
      </c>
      <c r="D862" t="s">
        <v>18</v>
      </c>
      <c r="E862" s="13">
        <v>452.9</v>
      </c>
      <c r="F862" s="13">
        <v>45.29</v>
      </c>
      <c r="G862" s="13">
        <f t="shared" si="14"/>
        <v>498.19</v>
      </c>
    </row>
    <row r="863" spans="1:7" x14ac:dyDescent="0.25">
      <c r="A863">
        <v>10911</v>
      </c>
      <c r="B863" s="12">
        <v>44625</v>
      </c>
      <c r="C863" t="s">
        <v>14</v>
      </c>
      <c r="D863" t="s">
        <v>24</v>
      </c>
      <c r="E863" s="13">
        <v>858</v>
      </c>
      <c r="F863" s="13">
        <v>85.800000000000011</v>
      </c>
      <c r="G863" s="13">
        <f t="shared" si="14"/>
        <v>943.8</v>
      </c>
    </row>
    <row r="864" spans="1:7" x14ac:dyDescent="0.25">
      <c r="A864">
        <v>10912</v>
      </c>
      <c r="B864" s="12">
        <v>44638</v>
      </c>
      <c r="C864" t="s">
        <v>14</v>
      </c>
      <c r="D864" t="s">
        <v>15</v>
      </c>
      <c r="E864" s="13">
        <v>6200.55</v>
      </c>
      <c r="F864" s="13">
        <v>310.02750000000003</v>
      </c>
      <c r="G864" s="13">
        <f t="shared" si="14"/>
        <v>6510.5775000000003</v>
      </c>
    </row>
    <row r="865" spans="1:7" x14ac:dyDescent="0.25">
      <c r="A865">
        <v>10913</v>
      </c>
      <c r="B865" s="12">
        <v>44624</v>
      </c>
      <c r="C865" t="s">
        <v>14</v>
      </c>
      <c r="D865" t="s">
        <v>22</v>
      </c>
      <c r="E865" s="13">
        <v>768.75</v>
      </c>
      <c r="F865" s="13">
        <v>76.875</v>
      </c>
      <c r="G865" s="13">
        <f t="shared" si="14"/>
        <v>845.625</v>
      </c>
    </row>
    <row r="866" spans="1:7" x14ac:dyDescent="0.25">
      <c r="A866">
        <v>10914</v>
      </c>
      <c r="B866" s="12">
        <v>44622</v>
      </c>
      <c r="C866" t="s">
        <v>17</v>
      </c>
      <c r="D866" t="s">
        <v>19</v>
      </c>
      <c r="E866" s="13">
        <v>537.5</v>
      </c>
      <c r="F866" s="13">
        <v>48.375</v>
      </c>
      <c r="G866" s="13">
        <f t="shared" si="14"/>
        <v>585.875</v>
      </c>
    </row>
    <row r="867" spans="1:7" x14ac:dyDescent="0.25">
      <c r="A867">
        <v>10915</v>
      </c>
      <c r="B867" s="12">
        <v>44622</v>
      </c>
      <c r="C867" t="s">
        <v>14</v>
      </c>
      <c r="D867" t="s">
        <v>15</v>
      </c>
      <c r="E867" s="13">
        <v>539.5</v>
      </c>
      <c r="F867" s="13">
        <v>53.95</v>
      </c>
      <c r="G867" s="13">
        <f t="shared" si="14"/>
        <v>593.45000000000005</v>
      </c>
    </row>
    <row r="868" spans="1:7" x14ac:dyDescent="0.25">
      <c r="A868">
        <v>10916</v>
      </c>
      <c r="B868" s="12">
        <v>44629</v>
      </c>
      <c r="C868" t="s">
        <v>14</v>
      </c>
      <c r="D868" t="s">
        <v>18</v>
      </c>
      <c r="E868" s="13">
        <v>686.7</v>
      </c>
      <c r="F868" s="13">
        <v>68.67</v>
      </c>
      <c r="G868" s="13">
        <f t="shared" si="14"/>
        <v>755.37</v>
      </c>
    </row>
    <row r="869" spans="1:7" x14ac:dyDescent="0.25">
      <c r="A869">
        <v>10917</v>
      </c>
      <c r="B869" s="12">
        <v>44631</v>
      </c>
      <c r="C869" t="s">
        <v>14</v>
      </c>
      <c r="D869" t="s">
        <v>22</v>
      </c>
      <c r="E869" s="13">
        <v>365.89</v>
      </c>
      <c r="F869" s="13">
        <v>36.588999999999999</v>
      </c>
      <c r="G869" s="13">
        <f t="shared" si="14"/>
        <v>402.47899999999998</v>
      </c>
    </row>
    <row r="870" spans="1:7" x14ac:dyDescent="0.25">
      <c r="A870">
        <v>10918</v>
      </c>
      <c r="B870" s="12">
        <v>44631</v>
      </c>
      <c r="C870" t="s">
        <v>14</v>
      </c>
      <c r="D870" t="s">
        <v>24</v>
      </c>
      <c r="E870" s="13">
        <v>1447.5</v>
      </c>
      <c r="F870" s="13">
        <v>144.75</v>
      </c>
      <c r="G870" s="13">
        <f t="shared" si="14"/>
        <v>1592.25</v>
      </c>
    </row>
    <row r="871" spans="1:7" x14ac:dyDescent="0.25">
      <c r="A871">
        <v>10919</v>
      </c>
      <c r="B871" s="12">
        <v>44624</v>
      </c>
      <c r="C871" t="s">
        <v>14</v>
      </c>
      <c r="D871" t="s">
        <v>15</v>
      </c>
      <c r="E871" s="13">
        <v>1122.8</v>
      </c>
      <c r="F871" s="13">
        <v>112.28</v>
      </c>
      <c r="G871" s="13">
        <f t="shared" si="14"/>
        <v>1235.08</v>
      </c>
    </row>
    <row r="872" spans="1:7" x14ac:dyDescent="0.25">
      <c r="A872">
        <v>10920</v>
      </c>
      <c r="B872" s="12">
        <v>44629</v>
      </c>
      <c r="C872" t="s">
        <v>14</v>
      </c>
      <c r="D872" t="s">
        <v>22</v>
      </c>
      <c r="E872" s="13">
        <v>390</v>
      </c>
      <c r="F872" s="13">
        <v>39</v>
      </c>
      <c r="G872" s="13">
        <f t="shared" si="14"/>
        <v>429</v>
      </c>
    </row>
    <row r="873" spans="1:7" x14ac:dyDescent="0.25">
      <c r="A873">
        <v>10921</v>
      </c>
      <c r="B873" s="12">
        <v>44629</v>
      </c>
      <c r="C873" t="s">
        <v>14</v>
      </c>
      <c r="D873" t="s">
        <v>18</v>
      </c>
      <c r="E873" s="13">
        <v>1936</v>
      </c>
      <c r="F873" s="13">
        <v>193.60000000000002</v>
      </c>
      <c r="G873" s="13">
        <f t="shared" si="14"/>
        <v>2129.6</v>
      </c>
    </row>
    <row r="874" spans="1:7" x14ac:dyDescent="0.25">
      <c r="A874">
        <v>10922</v>
      </c>
      <c r="B874" s="12">
        <v>44625</v>
      </c>
      <c r="C874" t="s">
        <v>17</v>
      </c>
      <c r="D874" t="s">
        <v>20</v>
      </c>
      <c r="E874" s="13">
        <v>742.5</v>
      </c>
      <c r="F874" s="13">
        <v>66.825000000000003</v>
      </c>
      <c r="G874" s="13">
        <f t="shared" si="14"/>
        <v>809.32500000000005</v>
      </c>
    </row>
    <row r="875" spans="1:7" x14ac:dyDescent="0.25">
      <c r="A875">
        <v>10923</v>
      </c>
      <c r="B875" s="12">
        <v>44633</v>
      </c>
      <c r="C875" t="s">
        <v>17</v>
      </c>
      <c r="D875" t="s">
        <v>23</v>
      </c>
      <c r="E875" s="13">
        <v>748.8</v>
      </c>
      <c r="F875" s="13">
        <v>67.391999999999996</v>
      </c>
      <c r="G875" s="13">
        <f t="shared" si="14"/>
        <v>816.19200000000001</v>
      </c>
    </row>
    <row r="876" spans="1:7" x14ac:dyDescent="0.25">
      <c r="A876">
        <v>10924</v>
      </c>
      <c r="B876" s="12">
        <v>44659</v>
      </c>
      <c r="C876" t="s">
        <v>14</v>
      </c>
      <c r="D876" t="s">
        <v>24</v>
      </c>
      <c r="E876" s="13">
        <v>1835.7</v>
      </c>
      <c r="F876" s="13">
        <v>183.57000000000002</v>
      </c>
      <c r="G876" s="13">
        <f t="shared" si="14"/>
        <v>2019.27</v>
      </c>
    </row>
    <row r="877" spans="1:7" x14ac:dyDescent="0.25">
      <c r="A877">
        <v>10925</v>
      </c>
      <c r="B877" s="12">
        <v>44633</v>
      </c>
      <c r="C877" t="s">
        <v>14</v>
      </c>
      <c r="D877" t="s">
        <v>24</v>
      </c>
      <c r="E877" s="13">
        <v>475.15</v>
      </c>
      <c r="F877" s="13">
        <v>47.515000000000001</v>
      </c>
      <c r="G877" s="13">
        <f t="shared" si="14"/>
        <v>522.66499999999996</v>
      </c>
    </row>
    <row r="878" spans="1:7" x14ac:dyDescent="0.25">
      <c r="A878">
        <v>10926</v>
      </c>
      <c r="B878" s="12">
        <v>44631</v>
      </c>
      <c r="C878" t="s">
        <v>14</v>
      </c>
      <c r="D878" t="s">
        <v>22</v>
      </c>
      <c r="E878" s="13">
        <v>514.4</v>
      </c>
      <c r="F878" s="13">
        <v>51.44</v>
      </c>
      <c r="G878" s="13">
        <f t="shared" si="14"/>
        <v>565.83999999999992</v>
      </c>
    </row>
    <row r="879" spans="1:7" x14ac:dyDescent="0.25">
      <c r="A879">
        <v>10927</v>
      </c>
      <c r="B879" s="12">
        <v>44659</v>
      </c>
      <c r="C879" t="s">
        <v>14</v>
      </c>
      <c r="D879" t="s">
        <v>22</v>
      </c>
      <c r="E879" s="13">
        <v>800</v>
      </c>
      <c r="F879" s="13">
        <v>80</v>
      </c>
      <c r="G879" s="13">
        <f t="shared" si="14"/>
        <v>880</v>
      </c>
    </row>
    <row r="880" spans="1:7" x14ac:dyDescent="0.25">
      <c r="A880">
        <v>10928</v>
      </c>
      <c r="B880" s="12">
        <v>44638</v>
      </c>
      <c r="C880" t="s">
        <v>14</v>
      </c>
      <c r="D880" t="s">
        <v>18</v>
      </c>
      <c r="E880" s="13">
        <v>137.5</v>
      </c>
      <c r="F880" s="13">
        <v>13.75</v>
      </c>
      <c r="G880" s="13">
        <f t="shared" si="14"/>
        <v>151.25</v>
      </c>
    </row>
    <row r="881" spans="1:7" x14ac:dyDescent="0.25">
      <c r="A881">
        <v>10929</v>
      </c>
      <c r="B881" s="12">
        <v>44632</v>
      </c>
      <c r="C881" t="s">
        <v>17</v>
      </c>
      <c r="D881" t="s">
        <v>19</v>
      </c>
      <c r="E881" s="13">
        <v>1174.75</v>
      </c>
      <c r="F881" s="13">
        <v>105.72749999999999</v>
      </c>
      <c r="G881" s="13">
        <f t="shared" si="14"/>
        <v>1280.4775</v>
      </c>
    </row>
    <row r="882" spans="1:7" x14ac:dyDescent="0.25">
      <c r="A882">
        <v>10930</v>
      </c>
      <c r="B882" s="12">
        <v>44638</v>
      </c>
      <c r="C882" t="s">
        <v>14</v>
      </c>
      <c r="D882" t="s">
        <v>22</v>
      </c>
      <c r="E882" s="13">
        <v>2255.5</v>
      </c>
      <c r="F882" s="13">
        <v>180.44</v>
      </c>
      <c r="G882" s="13">
        <f t="shared" si="14"/>
        <v>2435.94</v>
      </c>
    </row>
    <row r="883" spans="1:7" x14ac:dyDescent="0.25">
      <c r="A883">
        <v>10931</v>
      </c>
      <c r="B883" s="12">
        <v>44639</v>
      </c>
      <c r="C883" t="s">
        <v>14</v>
      </c>
      <c r="D883" t="s">
        <v>22</v>
      </c>
      <c r="E883" s="13">
        <v>799.2</v>
      </c>
      <c r="F883" s="13">
        <v>79.920000000000016</v>
      </c>
      <c r="G883" s="13">
        <f t="shared" si="14"/>
        <v>879.12000000000012</v>
      </c>
    </row>
    <row r="884" spans="1:7" x14ac:dyDescent="0.25">
      <c r="A884">
        <v>10932</v>
      </c>
      <c r="B884" s="12">
        <v>44644</v>
      </c>
      <c r="C884" t="s">
        <v>14</v>
      </c>
      <c r="D884" t="s">
        <v>21</v>
      </c>
      <c r="E884" s="13">
        <v>1788.63</v>
      </c>
      <c r="F884" s="13">
        <v>178.86300000000003</v>
      </c>
      <c r="G884" s="13">
        <f t="shared" si="14"/>
        <v>1967.4930000000002</v>
      </c>
    </row>
    <row r="885" spans="1:7" x14ac:dyDescent="0.25">
      <c r="A885">
        <v>10933</v>
      </c>
      <c r="B885" s="12">
        <v>44636</v>
      </c>
      <c r="C885" t="s">
        <v>17</v>
      </c>
      <c r="D885" t="s">
        <v>19</v>
      </c>
      <c r="E885" s="13">
        <v>920.6</v>
      </c>
      <c r="F885" s="13">
        <v>82.853999999999999</v>
      </c>
      <c r="G885" s="13">
        <f t="shared" si="14"/>
        <v>1003.4540000000001</v>
      </c>
    </row>
    <row r="886" spans="1:7" x14ac:dyDescent="0.25">
      <c r="A886">
        <v>10934</v>
      </c>
      <c r="B886" s="12">
        <v>44632</v>
      </c>
      <c r="C886" t="s">
        <v>14</v>
      </c>
      <c r="D886" t="s">
        <v>24</v>
      </c>
      <c r="E886" s="13">
        <v>500</v>
      </c>
      <c r="F886" s="13">
        <v>50</v>
      </c>
      <c r="G886" s="13">
        <f t="shared" si="14"/>
        <v>550</v>
      </c>
    </row>
    <row r="887" spans="1:7" x14ac:dyDescent="0.25">
      <c r="A887">
        <v>10935</v>
      </c>
      <c r="B887" s="12">
        <v>44638</v>
      </c>
      <c r="C887" t="s">
        <v>14</v>
      </c>
      <c r="D887" t="s">
        <v>22</v>
      </c>
      <c r="E887" s="13">
        <v>619.5</v>
      </c>
      <c r="F887" s="13">
        <v>61.95</v>
      </c>
      <c r="G887" s="13">
        <f t="shared" si="14"/>
        <v>681.45</v>
      </c>
    </row>
    <row r="888" spans="1:7" x14ac:dyDescent="0.25">
      <c r="A888">
        <v>10936</v>
      </c>
      <c r="B888" s="12">
        <v>44638</v>
      </c>
      <c r="C888" t="s">
        <v>14</v>
      </c>
      <c r="D888" t="s">
        <v>24</v>
      </c>
      <c r="E888" s="13">
        <v>456</v>
      </c>
      <c r="F888" s="13">
        <v>45.6</v>
      </c>
      <c r="G888" s="13">
        <f t="shared" si="14"/>
        <v>501.6</v>
      </c>
    </row>
    <row r="889" spans="1:7" x14ac:dyDescent="0.25">
      <c r="A889">
        <v>10937</v>
      </c>
      <c r="B889" s="12">
        <v>44633</v>
      </c>
      <c r="C889" t="s">
        <v>17</v>
      </c>
      <c r="D889" t="s">
        <v>23</v>
      </c>
      <c r="E889" s="13">
        <v>644.79999999999995</v>
      </c>
      <c r="F889" s="13">
        <v>58.031999999999996</v>
      </c>
      <c r="G889" s="13">
        <f t="shared" si="14"/>
        <v>702.83199999999999</v>
      </c>
    </row>
    <row r="890" spans="1:7" x14ac:dyDescent="0.25">
      <c r="A890">
        <v>10938</v>
      </c>
      <c r="B890" s="12">
        <v>44636</v>
      </c>
      <c r="C890" t="s">
        <v>14</v>
      </c>
      <c r="D890" t="s">
        <v>24</v>
      </c>
      <c r="E890" s="13">
        <v>2731.87</v>
      </c>
      <c r="F890" s="13">
        <v>218.5496</v>
      </c>
      <c r="G890" s="13">
        <f t="shared" si="14"/>
        <v>2950.4195999999997</v>
      </c>
    </row>
    <row r="891" spans="1:7" x14ac:dyDescent="0.25">
      <c r="A891">
        <v>10939</v>
      </c>
      <c r="B891" s="12">
        <v>44633</v>
      </c>
      <c r="C891" t="s">
        <v>14</v>
      </c>
      <c r="D891" t="s">
        <v>15</v>
      </c>
      <c r="E891" s="13">
        <v>637.5</v>
      </c>
      <c r="F891" s="13">
        <v>63.75</v>
      </c>
      <c r="G891" s="13">
        <f t="shared" si="14"/>
        <v>701.25</v>
      </c>
    </row>
    <row r="892" spans="1:7" x14ac:dyDescent="0.25">
      <c r="A892">
        <v>10940</v>
      </c>
      <c r="B892" s="12">
        <v>44643</v>
      </c>
      <c r="C892" t="s">
        <v>14</v>
      </c>
      <c r="D892" t="s">
        <v>21</v>
      </c>
      <c r="E892" s="13">
        <v>360</v>
      </c>
      <c r="F892" s="13">
        <v>36</v>
      </c>
      <c r="G892" s="13">
        <f t="shared" si="14"/>
        <v>396</v>
      </c>
    </row>
    <row r="893" spans="1:7" x14ac:dyDescent="0.25">
      <c r="A893">
        <v>10941</v>
      </c>
      <c r="B893" s="12">
        <v>44640</v>
      </c>
      <c r="C893" t="s">
        <v>17</v>
      </c>
      <c r="D893" t="s">
        <v>23</v>
      </c>
      <c r="E893" s="13">
        <v>4011.75</v>
      </c>
      <c r="F893" s="13">
        <v>320.94</v>
      </c>
      <c r="G893" s="13">
        <f t="shared" si="14"/>
        <v>4332.6899999999996</v>
      </c>
    </row>
    <row r="894" spans="1:7" x14ac:dyDescent="0.25">
      <c r="A894">
        <v>10942</v>
      </c>
      <c r="B894" s="12">
        <v>44638</v>
      </c>
      <c r="C894" t="s">
        <v>17</v>
      </c>
      <c r="D894" t="s">
        <v>16</v>
      </c>
      <c r="E894" s="13">
        <v>560</v>
      </c>
      <c r="F894" s="13">
        <v>50.4</v>
      </c>
      <c r="G894" s="13">
        <f t="shared" si="14"/>
        <v>610.4</v>
      </c>
    </row>
    <row r="895" spans="1:7" x14ac:dyDescent="0.25">
      <c r="A895">
        <v>10943</v>
      </c>
      <c r="B895" s="12">
        <v>44639</v>
      </c>
      <c r="C895" t="s">
        <v>14</v>
      </c>
      <c r="D895" t="s">
        <v>22</v>
      </c>
      <c r="E895" s="13">
        <v>711</v>
      </c>
      <c r="F895" s="13">
        <v>71.100000000000009</v>
      </c>
      <c r="G895" s="13">
        <f t="shared" si="14"/>
        <v>782.1</v>
      </c>
    </row>
    <row r="896" spans="1:7" x14ac:dyDescent="0.25">
      <c r="A896">
        <v>10944</v>
      </c>
      <c r="B896" s="12">
        <v>44633</v>
      </c>
      <c r="C896" t="s">
        <v>17</v>
      </c>
      <c r="D896" t="s">
        <v>19</v>
      </c>
      <c r="E896" s="13">
        <v>1025.33</v>
      </c>
      <c r="F896" s="13">
        <v>92.279699999999991</v>
      </c>
      <c r="G896" s="13">
        <f t="shared" si="14"/>
        <v>1117.6097</v>
      </c>
    </row>
    <row r="897" spans="1:7" x14ac:dyDescent="0.25">
      <c r="A897">
        <v>10945</v>
      </c>
      <c r="B897" s="12">
        <v>44638</v>
      </c>
      <c r="C897" t="s">
        <v>14</v>
      </c>
      <c r="D897" t="s">
        <v>22</v>
      </c>
      <c r="E897" s="13">
        <v>245</v>
      </c>
      <c r="F897" s="13">
        <v>24.5</v>
      </c>
      <c r="G897" s="13">
        <f t="shared" si="14"/>
        <v>269.5</v>
      </c>
    </row>
    <row r="898" spans="1:7" x14ac:dyDescent="0.25">
      <c r="A898">
        <v>10946</v>
      </c>
      <c r="B898" s="12">
        <v>44639</v>
      </c>
      <c r="C898" t="s">
        <v>14</v>
      </c>
      <c r="D898" t="s">
        <v>18</v>
      </c>
      <c r="E898" s="13">
        <v>1407.5</v>
      </c>
      <c r="F898" s="13">
        <v>140.75</v>
      </c>
      <c r="G898" s="13">
        <f t="shared" si="14"/>
        <v>1548.25</v>
      </c>
    </row>
    <row r="899" spans="1:7" x14ac:dyDescent="0.25">
      <c r="A899">
        <v>10947</v>
      </c>
      <c r="B899" s="12">
        <v>44636</v>
      </c>
      <c r="C899" t="s">
        <v>14</v>
      </c>
      <c r="D899" t="s">
        <v>24</v>
      </c>
      <c r="E899" s="13">
        <v>220</v>
      </c>
      <c r="F899" s="13">
        <v>22</v>
      </c>
      <c r="G899" s="13">
        <f t="shared" si="14"/>
        <v>242</v>
      </c>
    </row>
    <row r="900" spans="1:7" x14ac:dyDescent="0.25">
      <c r="A900">
        <v>10948</v>
      </c>
      <c r="B900" s="12">
        <v>44639</v>
      </c>
      <c r="C900" t="s">
        <v>14</v>
      </c>
      <c r="D900" t="s">
        <v>24</v>
      </c>
      <c r="E900" s="13">
        <v>2362.25</v>
      </c>
      <c r="F900" s="13">
        <v>188.98</v>
      </c>
      <c r="G900" s="13">
        <f t="shared" si="14"/>
        <v>2551.23</v>
      </c>
    </row>
    <row r="901" spans="1:7" x14ac:dyDescent="0.25">
      <c r="A901">
        <v>10949</v>
      </c>
      <c r="B901" s="12">
        <v>44637</v>
      </c>
      <c r="C901" t="s">
        <v>14</v>
      </c>
      <c r="D901" t="s">
        <v>15</v>
      </c>
      <c r="E901" s="13">
        <v>4422</v>
      </c>
      <c r="F901" s="13">
        <v>353.76</v>
      </c>
      <c r="G901" s="13">
        <f t="shared" ref="G901:G964" si="15">SUM(E901:F901)</f>
        <v>4775.76</v>
      </c>
    </row>
    <row r="902" spans="1:7" x14ac:dyDescent="0.25">
      <c r="A902">
        <v>10950</v>
      </c>
      <c r="B902" s="12">
        <v>44643</v>
      </c>
      <c r="C902" t="s">
        <v>14</v>
      </c>
      <c r="D902" t="s">
        <v>18</v>
      </c>
      <c r="E902" s="13">
        <v>110</v>
      </c>
      <c r="F902" s="13">
        <v>11</v>
      </c>
      <c r="G902" s="13">
        <f t="shared" si="15"/>
        <v>121</v>
      </c>
    </row>
    <row r="903" spans="1:7" x14ac:dyDescent="0.25">
      <c r="A903">
        <v>10951</v>
      </c>
      <c r="B903" s="12">
        <v>44658</v>
      </c>
      <c r="C903" t="s">
        <v>17</v>
      </c>
      <c r="D903" t="s">
        <v>16</v>
      </c>
      <c r="E903" s="13">
        <v>458.74</v>
      </c>
      <c r="F903" s="13">
        <v>41.2866</v>
      </c>
      <c r="G903" s="13">
        <f t="shared" si="15"/>
        <v>500.02660000000003</v>
      </c>
    </row>
    <row r="904" spans="1:7" x14ac:dyDescent="0.25">
      <c r="A904">
        <v>10952</v>
      </c>
      <c r="B904" s="12">
        <v>44644</v>
      </c>
      <c r="C904" t="s">
        <v>14</v>
      </c>
      <c r="D904" t="s">
        <v>18</v>
      </c>
      <c r="E904" s="13">
        <v>471.2</v>
      </c>
      <c r="F904" s="13">
        <v>47.120000000000005</v>
      </c>
      <c r="G904" s="13">
        <f t="shared" si="15"/>
        <v>518.31999999999994</v>
      </c>
    </row>
    <row r="905" spans="1:7" x14ac:dyDescent="0.25">
      <c r="A905">
        <v>10953</v>
      </c>
      <c r="B905" s="12">
        <v>44645</v>
      </c>
      <c r="C905" t="s">
        <v>17</v>
      </c>
      <c r="D905" t="s">
        <v>16</v>
      </c>
      <c r="E905" s="13">
        <v>4441.25</v>
      </c>
      <c r="F905" s="13">
        <v>355.3</v>
      </c>
      <c r="G905" s="13">
        <f t="shared" si="15"/>
        <v>4796.55</v>
      </c>
    </row>
    <row r="906" spans="1:7" x14ac:dyDescent="0.25">
      <c r="A906">
        <v>10954</v>
      </c>
      <c r="B906" s="12">
        <v>44640</v>
      </c>
      <c r="C906" t="s">
        <v>17</v>
      </c>
      <c r="D906" t="s">
        <v>20</v>
      </c>
      <c r="E906" s="13">
        <v>1659.53</v>
      </c>
      <c r="F906" s="13">
        <v>149.35769999999999</v>
      </c>
      <c r="G906" s="13">
        <f t="shared" si="15"/>
        <v>1808.8877</v>
      </c>
    </row>
    <row r="907" spans="1:7" x14ac:dyDescent="0.25">
      <c r="A907">
        <v>10955</v>
      </c>
      <c r="B907" s="12">
        <v>44640</v>
      </c>
      <c r="C907" t="s">
        <v>14</v>
      </c>
      <c r="D907" t="s">
        <v>21</v>
      </c>
      <c r="E907" s="13">
        <v>74.400000000000006</v>
      </c>
      <c r="F907" s="13">
        <v>7.4400000000000013</v>
      </c>
      <c r="G907" s="13">
        <f t="shared" si="15"/>
        <v>81.84</v>
      </c>
    </row>
    <row r="908" spans="1:7" x14ac:dyDescent="0.25">
      <c r="A908">
        <v>10956</v>
      </c>
      <c r="B908" s="12">
        <v>44640</v>
      </c>
      <c r="C908" t="s">
        <v>17</v>
      </c>
      <c r="D908" t="s">
        <v>19</v>
      </c>
      <c r="E908" s="13">
        <v>677</v>
      </c>
      <c r="F908" s="13">
        <v>60.93</v>
      </c>
      <c r="G908" s="13">
        <f t="shared" si="15"/>
        <v>737.93</v>
      </c>
    </row>
    <row r="909" spans="1:7" x14ac:dyDescent="0.25">
      <c r="A909">
        <v>10957</v>
      </c>
      <c r="B909" s="12">
        <v>44647</v>
      </c>
      <c r="C909" t="s">
        <v>14</v>
      </c>
      <c r="D909" t="s">
        <v>21</v>
      </c>
      <c r="E909" s="13">
        <v>1762.7</v>
      </c>
      <c r="F909" s="13">
        <v>176.27</v>
      </c>
      <c r="G909" s="13">
        <f t="shared" si="15"/>
        <v>1938.97</v>
      </c>
    </row>
    <row r="910" spans="1:7" x14ac:dyDescent="0.25">
      <c r="A910">
        <v>10958</v>
      </c>
      <c r="B910" s="12">
        <v>44647</v>
      </c>
      <c r="C910" t="s">
        <v>17</v>
      </c>
      <c r="D910" t="s">
        <v>23</v>
      </c>
      <c r="E910" s="13">
        <v>781</v>
      </c>
      <c r="F910" s="13">
        <v>70.289999999999992</v>
      </c>
      <c r="G910" s="13">
        <f t="shared" si="15"/>
        <v>851.29</v>
      </c>
    </row>
    <row r="911" spans="1:7" x14ac:dyDescent="0.25">
      <c r="A911">
        <v>10959</v>
      </c>
      <c r="B911" s="12">
        <v>44643</v>
      </c>
      <c r="C911" t="s">
        <v>17</v>
      </c>
      <c r="D911" t="s">
        <v>19</v>
      </c>
      <c r="E911" s="13">
        <v>131.75</v>
      </c>
      <c r="F911" s="13">
        <v>11.8575</v>
      </c>
      <c r="G911" s="13">
        <f t="shared" si="15"/>
        <v>143.60749999999999</v>
      </c>
    </row>
    <row r="912" spans="1:7" x14ac:dyDescent="0.25">
      <c r="A912">
        <v>10960</v>
      </c>
      <c r="B912" s="12">
        <v>44659</v>
      </c>
      <c r="C912" t="s">
        <v>14</v>
      </c>
      <c r="D912" t="s">
        <v>24</v>
      </c>
      <c r="E912" s="13">
        <v>265.35000000000002</v>
      </c>
      <c r="F912" s="13">
        <v>26.535000000000004</v>
      </c>
      <c r="G912" s="13">
        <f t="shared" si="15"/>
        <v>291.88500000000005</v>
      </c>
    </row>
    <row r="913" spans="1:7" x14ac:dyDescent="0.25">
      <c r="A913">
        <v>10961</v>
      </c>
      <c r="B913" s="12">
        <v>44650</v>
      </c>
      <c r="C913" t="s">
        <v>14</v>
      </c>
      <c r="D913" t="s">
        <v>21</v>
      </c>
      <c r="E913" s="13">
        <v>1119.9000000000001</v>
      </c>
      <c r="F913" s="13">
        <v>111.99000000000001</v>
      </c>
      <c r="G913" s="13">
        <f t="shared" si="15"/>
        <v>1231.8900000000001</v>
      </c>
    </row>
    <row r="914" spans="1:7" x14ac:dyDescent="0.25">
      <c r="A914">
        <v>10962</v>
      </c>
      <c r="B914" s="12">
        <v>44643</v>
      </c>
      <c r="C914" t="s">
        <v>14</v>
      </c>
      <c r="D914" t="s">
        <v>21</v>
      </c>
      <c r="E914" s="13">
        <v>3584</v>
      </c>
      <c r="F914" s="13">
        <v>286.72000000000003</v>
      </c>
      <c r="G914" s="13">
        <f t="shared" si="15"/>
        <v>3870.7200000000003</v>
      </c>
    </row>
    <row r="915" spans="1:7" x14ac:dyDescent="0.25">
      <c r="A915">
        <v>10963</v>
      </c>
      <c r="B915" s="12">
        <v>44646</v>
      </c>
      <c r="C915" t="s">
        <v>17</v>
      </c>
      <c r="D915" t="s">
        <v>16</v>
      </c>
      <c r="E915" s="13">
        <v>57.8</v>
      </c>
      <c r="F915" s="13">
        <v>5.202</v>
      </c>
      <c r="G915" s="13">
        <f t="shared" si="15"/>
        <v>63.001999999999995</v>
      </c>
    </row>
    <row r="916" spans="1:7" x14ac:dyDescent="0.25">
      <c r="A916">
        <v>10964</v>
      </c>
      <c r="B916" s="12">
        <v>44644</v>
      </c>
      <c r="C916" t="s">
        <v>14</v>
      </c>
      <c r="D916" t="s">
        <v>24</v>
      </c>
      <c r="E916" s="13">
        <v>2052.5</v>
      </c>
      <c r="F916" s="13">
        <v>164.20000000000002</v>
      </c>
      <c r="G916" s="13">
        <f t="shared" si="15"/>
        <v>2216.6999999999998</v>
      </c>
    </row>
    <row r="917" spans="1:7" x14ac:dyDescent="0.25">
      <c r="A917">
        <v>10965</v>
      </c>
      <c r="B917" s="12">
        <v>44650</v>
      </c>
      <c r="C917" t="s">
        <v>17</v>
      </c>
      <c r="D917" t="s">
        <v>19</v>
      </c>
      <c r="E917" s="13">
        <v>848</v>
      </c>
      <c r="F917" s="13">
        <v>76.319999999999993</v>
      </c>
      <c r="G917" s="13">
        <f t="shared" si="15"/>
        <v>924.31999999999994</v>
      </c>
    </row>
    <row r="918" spans="1:7" x14ac:dyDescent="0.25">
      <c r="A918">
        <v>10966</v>
      </c>
      <c r="B918" s="12">
        <v>44659</v>
      </c>
      <c r="C918" t="s">
        <v>14</v>
      </c>
      <c r="D918" t="s">
        <v>22</v>
      </c>
      <c r="E918" s="13">
        <v>1098.46</v>
      </c>
      <c r="F918" s="13">
        <v>109.846</v>
      </c>
      <c r="G918" s="13">
        <f t="shared" si="15"/>
        <v>1208.306</v>
      </c>
    </row>
    <row r="919" spans="1:7" x14ac:dyDescent="0.25">
      <c r="A919">
        <v>10967</v>
      </c>
      <c r="B919" s="12">
        <v>44653</v>
      </c>
      <c r="C919" t="s">
        <v>14</v>
      </c>
      <c r="D919" t="s">
        <v>15</v>
      </c>
      <c r="E919" s="13">
        <v>910.4</v>
      </c>
      <c r="F919" s="13">
        <v>91.04</v>
      </c>
      <c r="G919" s="13">
        <f t="shared" si="15"/>
        <v>1001.4399999999999</v>
      </c>
    </row>
    <row r="920" spans="1:7" x14ac:dyDescent="0.25">
      <c r="A920">
        <v>10968</v>
      </c>
      <c r="B920" s="12">
        <v>44652</v>
      </c>
      <c r="C920" t="s">
        <v>14</v>
      </c>
      <c r="D920" t="s">
        <v>18</v>
      </c>
      <c r="E920" s="13">
        <v>1408</v>
      </c>
      <c r="F920" s="13">
        <v>140.80000000000001</v>
      </c>
      <c r="G920" s="13">
        <f t="shared" si="15"/>
        <v>1548.8</v>
      </c>
    </row>
    <row r="921" spans="1:7" x14ac:dyDescent="0.25">
      <c r="A921">
        <v>10969</v>
      </c>
      <c r="B921" s="12">
        <v>44650</v>
      </c>
      <c r="C921" t="s">
        <v>14</v>
      </c>
      <c r="D921" t="s">
        <v>18</v>
      </c>
      <c r="E921" s="13">
        <v>108</v>
      </c>
      <c r="F921" s="13">
        <v>10.8</v>
      </c>
      <c r="G921" s="13">
        <f t="shared" si="15"/>
        <v>118.8</v>
      </c>
    </row>
    <row r="922" spans="1:7" x14ac:dyDescent="0.25">
      <c r="A922">
        <v>10970</v>
      </c>
      <c r="B922" s="12">
        <v>44675</v>
      </c>
      <c r="C922" t="s">
        <v>17</v>
      </c>
      <c r="D922" t="s">
        <v>16</v>
      </c>
      <c r="E922" s="13">
        <v>224</v>
      </c>
      <c r="F922" s="13">
        <v>20.16</v>
      </c>
      <c r="G922" s="13">
        <f t="shared" si="15"/>
        <v>244.16</v>
      </c>
    </row>
    <row r="923" spans="1:7" x14ac:dyDescent="0.25">
      <c r="A923">
        <v>10971</v>
      </c>
      <c r="B923" s="12">
        <v>44653</v>
      </c>
      <c r="C923" t="s">
        <v>14</v>
      </c>
      <c r="D923" t="s">
        <v>15</v>
      </c>
      <c r="E923" s="13">
        <v>1733.06</v>
      </c>
      <c r="F923" s="13">
        <v>173.30600000000001</v>
      </c>
      <c r="G923" s="13">
        <f t="shared" si="15"/>
        <v>1906.366</v>
      </c>
    </row>
    <row r="924" spans="1:7" x14ac:dyDescent="0.25">
      <c r="A924">
        <v>10972</v>
      </c>
      <c r="B924" s="12">
        <v>44646</v>
      </c>
      <c r="C924" t="s">
        <v>14</v>
      </c>
      <c r="D924" t="s">
        <v>22</v>
      </c>
      <c r="E924" s="13">
        <v>251.5</v>
      </c>
      <c r="F924" s="13">
        <v>25.150000000000002</v>
      </c>
      <c r="G924" s="13">
        <f t="shared" si="15"/>
        <v>276.64999999999998</v>
      </c>
    </row>
    <row r="925" spans="1:7" x14ac:dyDescent="0.25">
      <c r="A925">
        <v>10973</v>
      </c>
      <c r="B925" s="12">
        <v>44647</v>
      </c>
      <c r="C925" t="s">
        <v>17</v>
      </c>
      <c r="D925" t="s">
        <v>19</v>
      </c>
      <c r="E925" s="13">
        <v>291.55</v>
      </c>
      <c r="F925" s="13">
        <v>26.2395</v>
      </c>
      <c r="G925" s="13">
        <f t="shared" si="15"/>
        <v>317.78950000000003</v>
      </c>
    </row>
    <row r="926" spans="1:7" x14ac:dyDescent="0.25">
      <c r="A926">
        <v>10974</v>
      </c>
      <c r="B926" s="12">
        <v>44654</v>
      </c>
      <c r="C926" t="s">
        <v>14</v>
      </c>
      <c r="D926" t="s">
        <v>24</v>
      </c>
      <c r="E926" s="13">
        <v>439</v>
      </c>
      <c r="F926" s="13">
        <v>43.900000000000006</v>
      </c>
      <c r="G926" s="13">
        <f t="shared" si="15"/>
        <v>482.9</v>
      </c>
    </row>
    <row r="927" spans="1:7" x14ac:dyDescent="0.25">
      <c r="A927">
        <v>10975</v>
      </c>
      <c r="B927" s="12">
        <v>44647</v>
      </c>
      <c r="C927" t="s">
        <v>14</v>
      </c>
      <c r="D927" t="s">
        <v>18</v>
      </c>
      <c r="E927" s="13">
        <v>717.5</v>
      </c>
      <c r="F927" s="13">
        <v>71.75</v>
      </c>
      <c r="G927" s="13">
        <f t="shared" si="15"/>
        <v>789.25</v>
      </c>
    </row>
    <row r="928" spans="1:7" x14ac:dyDescent="0.25">
      <c r="A928">
        <v>10976</v>
      </c>
      <c r="B928" s="12">
        <v>44654</v>
      </c>
      <c r="C928" t="s">
        <v>14</v>
      </c>
      <c r="D928" t="s">
        <v>18</v>
      </c>
      <c r="E928" s="13">
        <v>912</v>
      </c>
      <c r="F928" s="13">
        <v>91.2</v>
      </c>
      <c r="G928" s="13">
        <f t="shared" si="15"/>
        <v>1003.2</v>
      </c>
    </row>
    <row r="929" spans="1:7" x14ac:dyDescent="0.25">
      <c r="A929">
        <v>10977</v>
      </c>
      <c r="B929" s="12">
        <v>44661</v>
      </c>
      <c r="C929" t="s">
        <v>14</v>
      </c>
      <c r="D929" t="s">
        <v>21</v>
      </c>
      <c r="E929" s="13">
        <v>2233</v>
      </c>
      <c r="F929" s="13">
        <v>178.64000000000001</v>
      </c>
      <c r="G929" s="13">
        <f t="shared" si="15"/>
        <v>2411.64</v>
      </c>
    </row>
    <row r="930" spans="1:7" x14ac:dyDescent="0.25">
      <c r="A930">
        <v>10978</v>
      </c>
      <c r="B930" s="12">
        <v>44674</v>
      </c>
      <c r="C930" t="s">
        <v>17</v>
      </c>
      <c r="D930" t="s">
        <v>16</v>
      </c>
      <c r="E930" s="13">
        <v>1303.19</v>
      </c>
      <c r="F930" s="13">
        <v>117.2871</v>
      </c>
      <c r="G930" s="13">
        <f t="shared" si="15"/>
        <v>1420.4771000000001</v>
      </c>
    </row>
    <row r="931" spans="1:7" x14ac:dyDescent="0.25">
      <c r="A931">
        <v>10979</v>
      </c>
      <c r="B931" s="12">
        <v>44651</v>
      </c>
      <c r="C931" t="s">
        <v>14</v>
      </c>
      <c r="D931" t="s">
        <v>21</v>
      </c>
      <c r="E931" s="13">
        <v>4813.5</v>
      </c>
      <c r="F931" s="13">
        <v>385.08</v>
      </c>
      <c r="G931" s="13">
        <f t="shared" si="15"/>
        <v>5198.58</v>
      </c>
    </row>
    <row r="932" spans="1:7" x14ac:dyDescent="0.25">
      <c r="A932">
        <v>10980</v>
      </c>
      <c r="B932" s="12">
        <v>44668</v>
      </c>
      <c r="C932" t="s">
        <v>14</v>
      </c>
      <c r="D932" t="s">
        <v>22</v>
      </c>
      <c r="E932" s="13">
        <v>248</v>
      </c>
      <c r="F932" s="13">
        <v>24.8</v>
      </c>
      <c r="G932" s="13">
        <f t="shared" si="15"/>
        <v>272.8</v>
      </c>
    </row>
    <row r="933" spans="1:7" x14ac:dyDescent="0.25">
      <c r="A933">
        <v>10981</v>
      </c>
      <c r="B933" s="12">
        <v>44653</v>
      </c>
      <c r="C933" t="s">
        <v>14</v>
      </c>
      <c r="D933" t="s">
        <v>18</v>
      </c>
      <c r="E933" s="13">
        <v>15810</v>
      </c>
      <c r="F933" s="13">
        <v>790.5</v>
      </c>
      <c r="G933" s="13">
        <f t="shared" si="15"/>
        <v>16600.5</v>
      </c>
    </row>
    <row r="934" spans="1:7" x14ac:dyDescent="0.25">
      <c r="A934">
        <v>10982</v>
      </c>
      <c r="B934" s="12">
        <v>44659</v>
      </c>
      <c r="C934" t="s">
        <v>14</v>
      </c>
      <c r="D934" t="s">
        <v>15</v>
      </c>
      <c r="E934" s="13">
        <v>1014</v>
      </c>
      <c r="F934" s="13">
        <v>101.4</v>
      </c>
      <c r="G934" s="13">
        <f t="shared" si="15"/>
        <v>1115.4000000000001</v>
      </c>
    </row>
    <row r="935" spans="1:7" x14ac:dyDescent="0.25">
      <c r="A935">
        <v>10983</v>
      </c>
      <c r="B935" s="12">
        <v>44657</v>
      </c>
      <c r="C935" t="s">
        <v>14</v>
      </c>
      <c r="D935" t="s">
        <v>15</v>
      </c>
      <c r="E935" s="13">
        <v>720.9</v>
      </c>
      <c r="F935" s="13">
        <v>72.09</v>
      </c>
      <c r="G935" s="13">
        <f t="shared" si="15"/>
        <v>792.99</v>
      </c>
    </row>
    <row r="936" spans="1:7" x14ac:dyDescent="0.25">
      <c r="A936">
        <v>10984</v>
      </c>
      <c r="B936" s="12">
        <v>44654</v>
      </c>
      <c r="C936" t="s">
        <v>14</v>
      </c>
      <c r="D936" t="s">
        <v>18</v>
      </c>
      <c r="E936" s="13">
        <v>1809.75</v>
      </c>
      <c r="F936" s="13">
        <v>180.97500000000002</v>
      </c>
      <c r="G936" s="13">
        <f t="shared" si="15"/>
        <v>1990.7249999999999</v>
      </c>
    </row>
    <row r="937" spans="1:7" x14ac:dyDescent="0.25">
      <c r="A937">
        <v>10985</v>
      </c>
      <c r="B937" s="12">
        <v>44653</v>
      </c>
      <c r="C937" t="s">
        <v>14</v>
      </c>
      <c r="D937" t="s">
        <v>15</v>
      </c>
      <c r="E937" s="13">
        <v>2023.38</v>
      </c>
      <c r="F937" s="13">
        <v>161.87040000000002</v>
      </c>
      <c r="G937" s="13">
        <f t="shared" si="15"/>
        <v>2185.2503999999999</v>
      </c>
    </row>
    <row r="938" spans="1:7" x14ac:dyDescent="0.25">
      <c r="A938">
        <v>10986</v>
      </c>
      <c r="B938" s="12">
        <v>44672</v>
      </c>
      <c r="C938" t="s">
        <v>14</v>
      </c>
      <c r="D938" t="s">
        <v>21</v>
      </c>
      <c r="E938" s="13">
        <v>2220</v>
      </c>
      <c r="F938" s="13">
        <v>177.6</v>
      </c>
      <c r="G938" s="13">
        <f t="shared" si="15"/>
        <v>2397.6</v>
      </c>
    </row>
    <row r="939" spans="1:7" x14ac:dyDescent="0.25">
      <c r="A939">
        <v>10987</v>
      </c>
      <c r="B939" s="12">
        <v>44657</v>
      </c>
      <c r="C939" t="s">
        <v>14</v>
      </c>
      <c r="D939" t="s">
        <v>21</v>
      </c>
      <c r="E939" s="13">
        <v>2772</v>
      </c>
      <c r="F939" s="13">
        <v>221.76</v>
      </c>
      <c r="G939" s="13">
        <f t="shared" si="15"/>
        <v>2993.76</v>
      </c>
    </row>
    <row r="940" spans="1:7" x14ac:dyDescent="0.25">
      <c r="A940">
        <v>10988</v>
      </c>
      <c r="B940" s="12">
        <v>44661</v>
      </c>
      <c r="C940" t="s">
        <v>14</v>
      </c>
      <c r="D940" t="s">
        <v>24</v>
      </c>
      <c r="E940" s="13">
        <v>3574.8</v>
      </c>
      <c r="F940" s="13">
        <v>285.98400000000004</v>
      </c>
      <c r="G940" s="13">
        <f t="shared" si="15"/>
        <v>3860.7840000000001</v>
      </c>
    </row>
    <row r="941" spans="1:7" x14ac:dyDescent="0.25">
      <c r="A941">
        <v>10989</v>
      </c>
      <c r="B941" s="12">
        <v>44653</v>
      </c>
      <c r="C941" t="s">
        <v>14</v>
      </c>
      <c r="D941" t="s">
        <v>15</v>
      </c>
      <c r="E941" s="13">
        <v>1353.6</v>
      </c>
      <c r="F941" s="13">
        <v>135.35999999999999</v>
      </c>
      <c r="G941" s="13">
        <f t="shared" si="15"/>
        <v>1488.9599999999998</v>
      </c>
    </row>
    <row r="942" spans="1:7" x14ac:dyDescent="0.25">
      <c r="A942">
        <v>10990</v>
      </c>
      <c r="B942" s="12">
        <v>44658</v>
      </c>
      <c r="C942" t="s">
        <v>14</v>
      </c>
      <c r="D942" t="s">
        <v>15</v>
      </c>
      <c r="E942" s="13">
        <v>4288.8500000000004</v>
      </c>
      <c r="F942" s="13">
        <v>343.10800000000006</v>
      </c>
      <c r="G942" s="13">
        <f t="shared" si="15"/>
        <v>4631.9580000000005</v>
      </c>
    </row>
    <row r="943" spans="1:7" x14ac:dyDescent="0.25">
      <c r="A943">
        <v>10991</v>
      </c>
      <c r="B943" s="12">
        <v>44658</v>
      </c>
      <c r="C943" t="s">
        <v>14</v>
      </c>
      <c r="D943" t="s">
        <v>18</v>
      </c>
      <c r="E943" s="13">
        <v>2296</v>
      </c>
      <c r="F943" s="13">
        <v>183.68</v>
      </c>
      <c r="G943" s="13">
        <f t="shared" si="15"/>
        <v>2479.6799999999998</v>
      </c>
    </row>
    <row r="944" spans="1:7" x14ac:dyDescent="0.25">
      <c r="A944">
        <v>10992</v>
      </c>
      <c r="B944" s="12">
        <v>44654</v>
      </c>
      <c r="C944" t="s">
        <v>14</v>
      </c>
      <c r="D944" t="s">
        <v>18</v>
      </c>
      <c r="E944" s="13">
        <v>69.599999999999994</v>
      </c>
      <c r="F944" s="13">
        <v>6.96</v>
      </c>
      <c r="G944" s="13">
        <f t="shared" si="15"/>
        <v>76.559999999999988</v>
      </c>
    </row>
    <row r="945" spans="1:7" x14ac:dyDescent="0.25">
      <c r="A945">
        <v>10993</v>
      </c>
      <c r="B945" s="12">
        <v>44661</v>
      </c>
      <c r="C945" t="s">
        <v>17</v>
      </c>
      <c r="D945" t="s">
        <v>23</v>
      </c>
      <c r="E945" s="13">
        <v>4895.4399999999996</v>
      </c>
      <c r="F945" s="13">
        <v>391.6352</v>
      </c>
      <c r="G945" s="13">
        <f t="shared" si="15"/>
        <v>5287.0751999999993</v>
      </c>
    </row>
    <row r="946" spans="1:7" x14ac:dyDescent="0.25">
      <c r="A946">
        <v>10994</v>
      </c>
      <c r="B946" s="12">
        <v>44660</v>
      </c>
      <c r="C946" t="s">
        <v>14</v>
      </c>
      <c r="D946" t="s">
        <v>15</v>
      </c>
      <c r="E946" s="13">
        <v>940.5</v>
      </c>
      <c r="F946" s="13">
        <v>94.050000000000011</v>
      </c>
      <c r="G946" s="13">
        <f t="shared" si="15"/>
        <v>1034.55</v>
      </c>
    </row>
    <row r="947" spans="1:7" x14ac:dyDescent="0.25">
      <c r="A947">
        <v>10995</v>
      </c>
      <c r="B947" s="12">
        <v>44657</v>
      </c>
      <c r="C947" t="s">
        <v>14</v>
      </c>
      <c r="D947" t="s">
        <v>18</v>
      </c>
      <c r="E947" s="13">
        <v>1196</v>
      </c>
      <c r="F947" s="13">
        <v>119.60000000000001</v>
      </c>
      <c r="G947" s="13">
        <f t="shared" si="15"/>
        <v>1315.6</v>
      </c>
    </row>
    <row r="948" spans="1:7" x14ac:dyDescent="0.25">
      <c r="A948">
        <v>10996</v>
      </c>
      <c r="B948" s="12">
        <v>44661</v>
      </c>
      <c r="C948" t="s">
        <v>14</v>
      </c>
      <c r="D948" t="s">
        <v>22</v>
      </c>
      <c r="E948" s="13">
        <v>560</v>
      </c>
      <c r="F948" s="13">
        <v>56</v>
      </c>
      <c r="G948" s="13">
        <f t="shared" si="15"/>
        <v>616</v>
      </c>
    </row>
    <row r="949" spans="1:7" x14ac:dyDescent="0.25">
      <c r="A949">
        <v>10997</v>
      </c>
      <c r="B949" s="12">
        <v>44664</v>
      </c>
      <c r="C949" t="s">
        <v>14</v>
      </c>
      <c r="D949" t="s">
        <v>21</v>
      </c>
      <c r="E949" s="13">
        <v>1885</v>
      </c>
      <c r="F949" s="13">
        <v>188.5</v>
      </c>
      <c r="G949" s="13">
        <f t="shared" si="15"/>
        <v>2073.5</v>
      </c>
    </row>
    <row r="950" spans="1:7" x14ac:dyDescent="0.25">
      <c r="A950">
        <v>10998</v>
      </c>
      <c r="B950" s="12">
        <v>44668</v>
      </c>
      <c r="C950" t="s">
        <v>14</v>
      </c>
      <c r="D950" t="s">
        <v>21</v>
      </c>
      <c r="E950" s="13">
        <v>686</v>
      </c>
      <c r="F950" s="13">
        <v>68.600000000000009</v>
      </c>
      <c r="G950" s="13">
        <f t="shared" si="15"/>
        <v>754.6</v>
      </c>
    </row>
    <row r="951" spans="1:7" x14ac:dyDescent="0.25">
      <c r="A951">
        <v>10999</v>
      </c>
      <c r="B951" s="12">
        <v>44661</v>
      </c>
      <c r="C951" t="s">
        <v>17</v>
      </c>
      <c r="D951" t="s">
        <v>19</v>
      </c>
      <c r="E951" s="13">
        <v>1197.95</v>
      </c>
      <c r="F951" s="13">
        <v>107.8155</v>
      </c>
      <c r="G951" s="13">
        <f t="shared" si="15"/>
        <v>1305.7655</v>
      </c>
    </row>
    <row r="952" spans="1:7" x14ac:dyDescent="0.25">
      <c r="A952">
        <v>11000</v>
      </c>
      <c r="B952" s="12">
        <v>44665</v>
      </c>
      <c r="C952" t="s">
        <v>14</v>
      </c>
      <c r="D952" t="s">
        <v>15</v>
      </c>
      <c r="E952" s="13">
        <v>903.75</v>
      </c>
      <c r="F952" s="13">
        <v>90.375</v>
      </c>
      <c r="G952" s="13">
        <f t="shared" si="15"/>
        <v>994.125</v>
      </c>
    </row>
    <row r="953" spans="1:7" x14ac:dyDescent="0.25">
      <c r="A953">
        <v>11001</v>
      </c>
      <c r="B953" s="12">
        <v>44665</v>
      </c>
      <c r="C953" t="s">
        <v>14</v>
      </c>
      <c r="D953" t="s">
        <v>15</v>
      </c>
      <c r="E953" s="13">
        <v>2769</v>
      </c>
      <c r="F953" s="13">
        <v>221.52</v>
      </c>
      <c r="G953" s="13">
        <f t="shared" si="15"/>
        <v>2990.52</v>
      </c>
    </row>
    <row r="954" spans="1:7" x14ac:dyDescent="0.25">
      <c r="A954">
        <v>11002</v>
      </c>
      <c r="B954" s="12">
        <v>44667</v>
      </c>
      <c r="C954" t="s">
        <v>14</v>
      </c>
      <c r="D954" t="s">
        <v>22</v>
      </c>
      <c r="E954" s="13">
        <v>1811.1</v>
      </c>
      <c r="F954" s="13">
        <v>181.11</v>
      </c>
      <c r="G954" s="13">
        <f t="shared" si="15"/>
        <v>1992.21</v>
      </c>
    </row>
    <row r="955" spans="1:7" x14ac:dyDescent="0.25">
      <c r="A955">
        <v>11003</v>
      </c>
      <c r="B955" s="12">
        <v>44659</v>
      </c>
      <c r="C955" t="s">
        <v>14</v>
      </c>
      <c r="D955" t="s">
        <v>24</v>
      </c>
      <c r="E955" s="13">
        <v>326</v>
      </c>
      <c r="F955" s="13">
        <v>32.6</v>
      </c>
      <c r="G955" s="13">
        <f t="shared" si="15"/>
        <v>358.6</v>
      </c>
    </row>
    <row r="956" spans="1:7" x14ac:dyDescent="0.25">
      <c r="A956">
        <v>11004</v>
      </c>
      <c r="B956" s="12">
        <v>44671</v>
      </c>
      <c r="C956" t="s">
        <v>14</v>
      </c>
      <c r="D956" t="s">
        <v>24</v>
      </c>
      <c r="E956" s="13">
        <v>295.38</v>
      </c>
      <c r="F956" s="13">
        <v>29.538</v>
      </c>
      <c r="G956" s="13">
        <f t="shared" si="15"/>
        <v>324.91800000000001</v>
      </c>
    </row>
    <row r="957" spans="1:7" x14ac:dyDescent="0.25">
      <c r="A957">
        <v>11005</v>
      </c>
      <c r="B957" s="12">
        <v>44661</v>
      </c>
      <c r="C957" t="s">
        <v>14</v>
      </c>
      <c r="D957" t="s">
        <v>15</v>
      </c>
      <c r="E957" s="13">
        <v>586</v>
      </c>
      <c r="F957" s="13">
        <v>58.6</v>
      </c>
      <c r="G957" s="13">
        <f t="shared" si="15"/>
        <v>644.6</v>
      </c>
    </row>
    <row r="958" spans="1:7" x14ac:dyDescent="0.25">
      <c r="A958">
        <v>11006</v>
      </c>
      <c r="B958" s="12">
        <v>44666</v>
      </c>
      <c r="C958" t="s">
        <v>14</v>
      </c>
      <c r="D958" t="s">
        <v>24</v>
      </c>
      <c r="E958" s="13">
        <v>329.69</v>
      </c>
      <c r="F958" s="13">
        <v>32.969000000000001</v>
      </c>
      <c r="G958" s="13">
        <f t="shared" si="15"/>
        <v>362.65899999999999</v>
      </c>
    </row>
    <row r="959" spans="1:7" x14ac:dyDescent="0.25">
      <c r="A959">
        <v>11007</v>
      </c>
      <c r="B959" s="12">
        <v>44664</v>
      </c>
      <c r="C959" t="s">
        <v>14</v>
      </c>
      <c r="D959" t="s">
        <v>21</v>
      </c>
      <c r="E959" s="13">
        <v>2633.9</v>
      </c>
      <c r="F959" s="13">
        <v>210.71200000000002</v>
      </c>
      <c r="G959" s="13">
        <f t="shared" si="15"/>
        <v>2844.6120000000001</v>
      </c>
    </row>
    <row r="960" spans="1:7" x14ac:dyDescent="0.25">
      <c r="A960">
        <v>11009</v>
      </c>
      <c r="B960" s="12">
        <v>44661</v>
      </c>
      <c r="C960" t="s">
        <v>14</v>
      </c>
      <c r="D960" t="s">
        <v>15</v>
      </c>
      <c r="E960" s="13">
        <v>616.5</v>
      </c>
      <c r="F960" s="13">
        <v>61.650000000000006</v>
      </c>
      <c r="G960" s="13">
        <f t="shared" si="15"/>
        <v>678.15</v>
      </c>
    </row>
    <row r="961" spans="1:7" x14ac:dyDescent="0.25">
      <c r="A961">
        <v>11010</v>
      </c>
      <c r="B961" s="12">
        <v>44672</v>
      </c>
      <c r="C961" t="s">
        <v>14</v>
      </c>
      <c r="D961" t="s">
        <v>15</v>
      </c>
      <c r="E961" s="13">
        <v>645</v>
      </c>
      <c r="F961" s="13">
        <v>64.5</v>
      </c>
      <c r="G961" s="13">
        <f t="shared" si="15"/>
        <v>709.5</v>
      </c>
    </row>
    <row r="962" spans="1:7" x14ac:dyDescent="0.25">
      <c r="A962">
        <v>11011</v>
      </c>
      <c r="B962" s="12">
        <v>44664</v>
      </c>
      <c r="C962" t="s">
        <v>14</v>
      </c>
      <c r="D962" t="s">
        <v>24</v>
      </c>
      <c r="E962" s="13">
        <v>933.5</v>
      </c>
      <c r="F962" s="13">
        <v>93.350000000000009</v>
      </c>
      <c r="G962" s="13">
        <f t="shared" si="15"/>
        <v>1026.8499999999999</v>
      </c>
    </row>
    <row r="963" spans="1:7" x14ac:dyDescent="0.25">
      <c r="A963">
        <v>11012</v>
      </c>
      <c r="B963" s="12">
        <v>44668</v>
      </c>
      <c r="C963" t="s">
        <v>14</v>
      </c>
      <c r="D963" t="s">
        <v>18</v>
      </c>
      <c r="E963" s="13">
        <v>2825.3</v>
      </c>
      <c r="F963" s="13">
        <v>226.02400000000003</v>
      </c>
      <c r="G963" s="13">
        <f t="shared" si="15"/>
        <v>3051.3240000000001</v>
      </c>
    </row>
    <row r="964" spans="1:7" x14ac:dyDescent="0.25">
      <c r="A964">
        <v>11013</v>
      </c>
      <c r="B964" s="12">
        <v>44661</v>
      </c>
      <c r="C964" t="s">
        <v>14</v>
      </c>
      <c r="D964" t="s">
        <v>15</v>
      </c>
      <c r="E964" s="13">
        <v>361</v>
      </c>
      <c r="F964" s="13">
        <v>36.1</v>
      </c>
      <c r="G964" s="13">
        <f t="shared" si="15"/>
        <v>397.1</v>
      </c>
    </row>
    <row r="965" spans="1:7" x14ac:dyDescent="0.25">
      <c r="A965">
        <v>11014</v>
      </c>
      <c r="B965" s="12">
        <v>44666</v>
      </c>
      <c r="C965" t="s">
        <v>14</v>
      </c>
      <c r="D965" t="s">
        <v>15</v>
      </c>
      <c r="E965" s="13">
        <v>243.18</v>
      </c>
      <c r="F965" s="13">
        <v>24.318000000000001</v>
      </c>
      <c r="G965" s="13">
        <f t="shared" ref="G965:G1001" si="16">SUM(E965:F965)</f>
        <v>267.49799999999999</v>
      </c>
    </row>
    <row r="966" spans="1:7" x14ac:dyDescent="0.25">
      <c r="A966">
        <v>11015</v>
      </c>
      <c r="B966" s="12">
        <v>44671</v>
      </c>
      <c r="C966" t="s">
        <v>14</v>
      </c>
      <c r="D966" t="s">
        <v>15</v>
      </c>
      <c r="E966" s="13">
        <v>622.35</v>
      </c>
      <c r="F966" s="13">
        <v>62.235000000000007</v>
      </c>
      <c r="G966" s="13">
        <f t="shared" si="16"/>
        <v>684.58500000000004</v>
      </c>
    </row>
    <row r="967" spans="1:7" x14ac:dyDescent="0.25">
      <c r="A967">
        <v>11016</v>
      </c>
      <c r="B967" s="12">
        <v>44664</v>
      </c>
      <c r="C967" t="s">
        <v>17</v>
      </c>
      <c r="D967" t="s">
        <v>16</v>
      </c>
      <c r="E967" s="13">
        <v>491.5</v>
      </c>
      <c r="F967" s="13">
        <v>44.234999999999999</v>
      </c>
      <c r="G967" s="13">
        <f t="shared" si="16"/>
        <v>535.73500000000001</v>
      </c>
    </row>
    <row r="968" spans="1:7" x14ac:dyDescent="0.25">
      <c r="A968">
        <v>11017</v>
      </c>
      <c r="B968" s="12">
        <v>44671</v>
      </c>
      <c r="C968" t="s">
        <v>17</v>
      </c>
      <c r="D968" t="s">
        <v>16</v>
      </c>
      <c r="E968" s="13">
        <v>6750</v>
      </c>
      <c r="F968" s="13">
        <v>540</v>
      </c>
      <c r="G968" s="13">
        <f t="shared" si="16"/>
        <v>7290</v>
      </c>
    </row>
    <row r="969" spans="1:7" x14ac:dyDescent="0.25">
      <c r="A969">
        <v>11018</v>
      </c>
      <c r="B969" s="12">
        <v>44667</v>
      </c>
      <c r="C969" t="s">
        <v>14</v>
      </c>
      <c r="D969" t="s">
        <v>22</v>
      </c>
      <c r="E969" s="13">
        <v>1575</v>
      </c>
      <c r="F969" s="13">
        <v>157.5</v>
      </c>
      <c r="G969" s="13">
        <f t="shared" si="16"/>
        <v>1732.5</v>
      </c>
    </row>
    <row r="970" spans="1:7" x14ac:dyDescent="0.25">
      <c r="A970">
        <v>11020</v>
      </c>
      <c r="B970" s="12">
        <v>44667</v>
      </c>
      <c r="C970" t="s">
        <v>14</v>
      </c>
      <c r="D970" t="s">
        <v>15</v>
      </c>
      <c r="E970" s="13">
        <v>632.4</v>
      </c>
      <c r="F970" s="13">
        <v>63.24</v>
      </c>
      <c r="G970" s="13">
        <f t="shared" si="16"/>
        <v>695.64</v>
      </c>
    </row>
    <row r="971" spans="1:7" x14ac:dyDescent="0.25">
      <c r="A971">
        <v>11021</v>
      </c>
      <c r="B971" s="12">
        <v>44672</v>
      </c>
      <c r="C971" t="s">
        <v>14</v>
      </c>
      <c r="D971" t="s">
        <v>24</v>
      </c>
      <c r="E971" s="13">
        <v>6306.24</v>
      </c>
      <c r="F971" s="13">
        <v>315.31200000000001</v>
      </c>
      <c r="G971" s="13">
        <f t="shared" si="16"/>
        <v>6621.5519999999997</v>
      </c>
    </row>
    <row r="972" spans="1:7" x14ac:dyDescent="0.25">
      <c r="A972">
        <v>11023</v>
      </c>
      <c r="B972" s="12">
        <v>44675</v>
      </c>
      <c r="C972" t="s">
        <v>14</v>
      </c>
      <c r="D972" t="s">
        <v>18</v>
      </c>
      <c r="E972" s="13">
        <v>1500</v>
      </c>
      <c r="F972" s="13">
        <v>150</v>
      </c>
      <c r="G972" s="13">
        <f t="shared" si="16"/>
        <v>1650</v>
      </c>
    </row>
    <row r="973" spans="1:7" x14ac:dyDescent="0.25">
      <c r="A973">
        <v>11024</v>
      </c>
      <c r="B973" s="12">
        <v>44671</v>
      </c>
      <c r="C973" t="s">
        <v>14</v>
      </c>
      <c r="D973" t="s">
        <v>22</v>
      </c>
      <c r="E973" s="13">
        <v>1966.81</v>
      </c>
      <c r="F973" s="13">
        <v>196.68100000000001</v>
      </c>
      <c r="G973" s="13">
        <f t="shared" si="16"/>
        <v>2163.491</v>
      </c>
    </row>
    <row r="974" spans="1:7" x14ac:dyDescent="0.25">
      <c r="A974">
        <v>11025</v>
      </c>
      <c r="B974" s="12">
        <v>44675</v>
      </c>
      <c r="C974" t="s">
        <v>17</v>
      </c>
      <c r="D974" t="s">
        <v>19</v>
      </c>
      <c r="E974" s="13">
        <v>270</v>
      </c>
      <c r="F974" s="13">
        <v>24.3</v>
      </c>
      <c r="G974" s="13">
        <f t="shared" si="16"/>
        <v>294.3</v>
      </c>
    </row>
    <row r="975" spans="1:7" x14ac:dyDescent="0.25">
      <c r="A975">
        <v>11026</v>
      </c>
      <c r="B975" s="12">
        <v>44679</v>
      </c>
      <c r="C975" t="s">
        <v>14</v>
      </c>
      <c r="D975" t="s">
        <v>22</v>
      </c>
      <c r="E975" s="13">
        <v>1030</v>
      </c>
      <c r="F975" s="13">
        <v>103</v>
      </c>
      <c r="G975" s="13">
        <f t="shared" si="16"/>
        <v>1133</v>
      </c>
    </row>
    <row r="976" spans="1:7" x14ac:dyDescent="0.25">
      <c r="A976">
        <v>11027</v>
      </c>
      <c r="B976" s="12">
        <v>44671</v>
      </c>
      <c r="C976" t="s">
        <v>14</v>
      </c>
      <c r="D976" t="s">
        <v>18</v>
      </c>
      <c r="E976" s="13">
        <v>877.72</v>
      </c>
      <c r="F976" s="13">
        <v>87.772000000000006</v>
      </c>
      <c r="G976" s="13">
        <f t="shared" si="16"/>
        <v>965.49200000000008</v>
      </c>
    </row>
    <row r="977" spans="1:7" x14ac:dyDescent="0.25">
      <c r="A977">
        <v>11028</v>
      </c>
      <c r="B977" s="12">
        <v>44673</v>
      </c>
      <c r="C977" t="s">
        <v>14</v>
      </c>
      <c r="D977" t="s">
        <v>15</v>
      </c>
      <c r="E977" s="13">
        <v>2160</v>
      </c>
      <c r="F977" s="13">
        <v>172.8</v>
      </c>
      <c r="G977" s="13">
        <f t="shared" si="16"/>
        <v>2332.8000000000002</v>
      </c>
    </row>
    <row r="978" spans="1:7" x14ac:dyDescent="0.25">
      <c r="A978">
        <v>11029</v>
      </c>
      <c r="B978" s="12">
        <v>44678</v>
      </c>
      <c r="C978" t="s">
        <v>14</v>
      </c>
      <c r="D978" t="s">
        <v>22</v>
      </c>
      <c r="E978" s="13">
        <v>1286.8</v>
      </c>
      <c r="F978" s="13">
        <v>128.68</v>
      </c>
      <c r="G978" s="13">
        <f t="shared" si="16"/>
        <v>1415.48</v>
      </c>
    </row>
    <row r="979" spans="1:7" x14ac:dyDescent="0.25">
      <c r="A979">
        <v>11030</v>
      </c>
      <c r="B979" s="12">
        <v>44678</v>
      </c>
      <c r="C979" t="s">
        <v>17</v>
      </c>
      <c r="D979" t="s">
        <v>23</v>
      </c>
      <c r="E979" s="13">
        <v>12615.05</v>
      </c>
      <c r="F979" s="13">
        <v>504.60199999999998</v>
      </c>
      <c r="G979" s="13">
        <f t="shared" si="16"/>
        <v>13119.652</v>
      </c>
    </row>
    <row r="980" spans="1:7" x14ac:dyDescent="0.25">
      <c r="A980">
        <v>11031</v>
      </c>
      <c r="B980" s="12">
        <v>44675</v>
      </c>
      <c r="C980" t="s">
        <v>17</v>
      </c>
      <c r="D980" t="s">
        <v>19</v>
      </c>
      <c r="E980" s="13">
        <v>2393.5</v>
      </c>
      <c r="F980" s="13">
        <v>215.41499999999999</v>
      </c>
      <c r="G980" s="13">
        <f t="shared" si="16"/>
        <v>2608.915</v>
      </c>
    </row>
    <row r="981" spans="1:7" x14ac:dyDescent="0.25">
      <c r="A981">
        <v>11032</v>
      </c>
      <c r="B981" s="12">
        <v>44674</v>
      </c>
      <c r="C981" t="s">
        <v>14</v>
      </c>
      <c r="D981" t="s">
        <v>15</v>
      </c>
      <c r="E981" s="13">
        <v>8902.5</v>
      </c>
      <c r="F981" s="13">
        <v>445.125</v>
      </c>
      <c r="G981" s="13">
        <f t="shared" si="16"/>
        <v>9347.625</v>
      </c>
    </row>
    <row r="982" spans="1:7" x14ac:dyDescent="0.25">
      <c r="A982">
        <v>11033</v>
      </c>
      <c r="B982" s="12">
        <v>44674</v>
      </c>
      <c r="C982" t="s">
        <v>17</v>
      </c>
      <c r="D982" t="s">
        <v>23</v>
      </c>
      <c r="E982" s="13">
        <v>3232.8</v>
      </c>
      <c r="F982" s="13">
        <v>258.62400000000002</v>
      </c>
      <c r="G982" s="13">
        <f t="shared" si="16"/>
        <v>3491.424</v>
      </c>
    </row>
    <row r="983" spans="1:7" x14ac:dyDescent="0.25">
      <c r="A983">
        <v>11034</v>
      </c>
      <c r="B983" s="12">
        <v>44678</v>
      </c>
      <c r="C983" t="s">
        <v>14</v>
      </c>
      <c r="D983" t="s">
        <v>21</v>
      </c>
      <c r="E983" s="13">
        <v>539.4</v>
      </c>
      <c r="F983" s="13">
        <v>53.94</v>
      </c>
      <c r="G983" s="13">
        <f t="shared" si="16"/>
        <v>593.33999999999992</v>
      </c>
    </row>
    <row r="984" spans="1:7" x14ac:dyDescent="0.25">
      <c r="A984">
        <v>11035</v>
      </c>
      <c r="B984" s="12">
        <v>44675</v>
      </c>
      <c r="C984" t="s">
        <v>14</v>
      </c>
      <c r="D984" t="s">
        <v>15</v>
      </c>
      <c r="E984" s="13">
        <v>1754.5</v>
      </c>
      <c r="F984" s="13">
        <v>175.45000000000002</v>
      </c>
      <c r="G984" s="13">
        <f t="shared" si="16"/>
        <v>1929.95</v>
      </c>
    </row>
    <row r="985" spans="1:7" x14ac:dyDescent="0.25">
      <c r="A985">
        <v>11036</v>
      </c>
      <c r="B985" s="12">
        <v>44673</v>
      </c>
      <c r="C985" t="s">
        <v>14</v>
      </c>
      <c r="D985" t="s">
        <v>21</v>
      </c>
      <c r="E985" s="13">
        <v>1692</v>
      </c>
      <c r="F985" s="13">
        <v>169.20000000000002</v>
      </c>
      <c r="G985" s="13">
        <f t="shared" si="16"/>
        <v>1861.2</v>
      </c>
    </row>
    <row r="986" spans="1:7" x14ac:dyDescent="0.25">
      <c r="A986">
        <v>11037</v>
      </c>
      <c r="B986" s="12">
        <v>44678</v>
      </c>
      <c r="C986" t="s">
        <v>17</v>
      </c>
      <c r="D986" t="s">
        <v>23</v>
      </c>
      <c r="E986" s="13">
        <v>60</v>
      </c>
      <c r="F986" s="13">
        <v>5.3999999999999995</v>
      </c>
      <c r="G986" s="13">
        <f t="shared" si="16"/>
        <v>65.400000000000006</v>
      </c>
    </row>
    <row r="987" spans="1:7" x14ac:dyDescent="0.25">
      <c r="A987">
        <v>11038</v>
      </c>
      <c r="B987" s="12">
        <v>44681</v>
      </c>
      <c r="C987" t="s">
        <v>14</v>
      </c>
      <c r="D987" t="s">
        <v>18</v>
      </c>
      <c r="E987" s="13">
        <v>732.6</v>
      </c>
      <c r="F987" s="13">
        <v>73.260000000000005</v>
      </c>
      <c r="G987" s="13">
        <f t="shared" si="16"/>
        <v>805.86</v>
      </c>
    </row>
    <row r="988" spans="1:7" x14ac:dyDescent="0.25">
      <c r="A988">
        <v>11041</v>
      </c>
      <c r="B988" s="12">
        <v>44679</v>
      </c>
      <c r="C988" t="s">
        <v>14</v>
      </c>
      <c r="D988" t="s">
        <v>24</v>
      </c>
      <c r="E988" s="13">
        <v>1773</v>
      </c>
      <c r="F988" s="13">
        <v>177.3</v>
      </c>
      <c r="G988" s="13">
        <f t="shared" si="16"/>
        <v>1950.3</v>
      </c>
    </row>
    <row r="989" spans="1:7" x14ac:dyDescent="0.25">
      <c r="A989">
        <v>11042</v>
      </c>
      <c r="B989" s="12">
        <v>44682</v>
      </c>
      <c r="C989" t="s">
        <v>14</v>
      </c>
      <c r="D989" t="s">
        <v>15</v>
      </c>
      <c r="E989" s="13">
        <v>405.75</v>
      </c>
      <c r="F989" s="13">
        <v>40.575000000000003</v>
      </c>
      <c r="G989" s="13">
        <f t="shared" si="16"/>
        <v>446.32499999999999</v>
      </c>
    </row>
    <row r="990" spans="1:7" x14ac:dyDescent="0.25">
      <c r="A990">
        <v>11043</v>
      </c>
      <c r="B990" s="12">
        <v>44680</v>
      </c>
      <c r="C990" t="s">
        <v>17</v>
      </c>
      <c r="D990" t="s">
        <v>20</v>
      </c>
      <c r="E990" s="13">
        <v>210</v>
      </c>
      <c r="F990" s="13">
        <v>18.899999999999999</v>
      </c>
      <c r="G990" s="13">
        <f t="shared" si="16"/>
        <v>228.9</v>
      </c>
    </row>
    <row r="991" spans="1:7" x14ac:dyDescent="0.25">
      <c r="A991">
        <v>11044</v>
      </c>
      <c r="B991" s="12">
        <v>44682</v>
      </c>
      <c r="C991" t="s">
        <v>14</v>
      </c>
      <c r="D991" t="s">
        <v>22</v>
      </c>
      <c r="E991" s="13">
        <v>591.6</v>
      </c>
      <c r="F991" s="13">
        <v>59.160000000000004</v>
      </c>
      <c r="G991" s="13">
        <f t="shared" si="16"/>
        <v>650.76</v>
      </c>
    </row>
    <row r="992" spans="1:7" x14ac:dyDescent="0.25">
      <c r="A992">
        <v>11046</v>
      </c>
      <c r="B992" s="12">
        <v>44675</v>
      </c>
      <c r="C992" t="s">
        <v>14</v>
      </c>
      <c r="D992" t="s">
        <v>21</v>
      </c>
      <c r="E992" s="13">
        <v>1485.8</v>
      </c>
      <c r="F992" s="13">
        <v>148.58000000000001</v>
      </c>
      <c r="G992" s="13">
        <f t="shared" si="16"/>
        <v>1634.3799999999999</v>
      </c>
    </row>
    <row r="993" spans="1:7" x14ac:dyDescent="0.25">
      <c r="A993">
        <v>11047</v>
      </c>
      <c r="B993" s="12">
        <v>44682</v>
      </c>
      <c r="C993" t="s">
        <v>17</v>
      </c>
      <c r="D993" t="s">
        <v>23</v>
      </c>
      <c r="E993" s="13">
        <v>817.87</v>
      </c>
      <c r="F993" s="13">
        <v>73.6083</v>
      </c>
      <c r="G993" s="13">
        <f t="shared" si="16"/>
        <v>891.47829999999999</v>
      </c>
    </row>
    <row r="994" spans="1:7" x14ac:dyDescent="0.25">
      <c r="A994">
        <v>11048</v>
      </c>
      <c r="B994" s="12">
        <v>44681</v>
      </c>
      <c r="C994" t="s">
        <v>17</v>
      </c>
      <c r="D994" t="s">
        <v>23</v>
      </c>
      <c r="E994" s="13">
        <v>525</v>
      </c>
      <c r="F994" s="13">
        <v>47.25</v>
      </c>
      <c r="G994" s="13">
        <f t="shared" si="16"/>
        <v>572.25</v>
      </c>
    </row>
    <row r="995" spans="1:7" x14ac:dyDescent="0.25">
      <c r="A995">
        <v>11052</v>
      </c>
      <c r="B995" s="12">
        <v>44682</v>
      </c>
      <c r="C995" t="s">
        <v>14</v>
      </c>
      <c r="D995" t="s">
        <v>24</v>
      </c>
      <c r="E995" s="13">
        <v>1332</v>
      </c>
      <c r="F995" s="13">
        <v>133.20000000000002</v>
      </c>
      <c r="G995" s="13">
        <f t="shared" si="16"/>
        <v>1465.2</v>
      </c>
    </row>
    <row r="996" spans="1:7" x14ac:dyDescent="0.25">
      <c r="A996">
        <v>11053</v>
      </c>
      <c r="B996" s="12">
        <v>44680</v>
      </c>
      <c r="C996" t="s">
        <v>14</v>
      </c>
      <c r="D996" t="s">
        <v>15</v>
      </c>
      <c r="E996" s="13">
        <v>3055</v>
      </c>
      <c r="F996" s="13">
        <v>244.4</v>
      </c>
      <c r="G996" s="13">
        <f t="shared" si="16"/>
        <v>3299.4</v>
      </c>
    </row>
    <row r="997" spans="1:7" x14ac:dyDescent="0.25">
      <c r="A997">
        <v>11056</v>
      </c>
      <c r="B997" s="12">
        <v>44682</v>
      </c>
      <c r="C997" t="s">
        <v>14</v>
      </c>
      <c r="D997" t="s">
        <v>21</v>
      </c>
      <c r="E997" s="13">
        <v>3740</v>
      </c>
      <c r="F997" s="13">
        <v>299.2</v>
      </c>
      <c r="G997" s="13">
        <f t="shared" si="16"/>
        <v>4039.2</v>
      </c>
    </row>
    <row r="998" spans="1:7" x14ac:dyDescent="0.25">
      <c r="A998">
        <v>11057</v>
      </c>
      <c r="B998" s="12">
        <v>44682</v>
      </c>
      <c r="C998" t="s">
        <v>14</v>
      </c>
      <c r="D998" t="s">
        <v>24</v>
      </c>
      <c r="E998" s="13">
        <v>45</v>
      </c>
      <c r="F998" s="13">
        <v>5</v>
      </c>
      <c r="G998" s="13">
        <f t="shared" si="16"/>
        <v>50</v>
      </c>
    </row>
    <row r="999" spans="1:7" x14ac:dyDescent="0.25">
      <c r="A999">
        <v>11058</v>
      </c>
      <c r="B999" s="12">
        <v>44683</v>
      </c>
      <c r="C999" t="s">
        <v>14</v>
      </c>
      <c r="D999" t="s">
        <v>24</v>
      </c>
      <c r="E999" s="13">
        <v>2500</v>
      </c>
      <c r="F999" s="13">
        <v>8</v>
      </c>
      <c r="G999" s="13">
        <f t="shared" si="16"/>
        <v>2508</v>
      </c>
    </row>
    <row r="1000" spans="1:7" x14ac:dyDescent="0.25">
      <c r="A1000">
        <v>11059</v>
      </c>
      <c r="B1000" s="12">
        <v>44684</v>
      </c>
      <c r="C1000" t="s">
        <v>17</v>
      </c>
      <c r="D1000" t="s">
        <v>24</v>
      </c>
      <c r="E1000" s="13">
        <v>3500</v>
      </c>
      <c r="F1000" s="13">
        <v>9</v>
      </c>
      <c r="G1000" s="13">
        <f t="shared" si="16"/>
        <v>3509</v>
      </c>
    </row>
    <row r="1001" spans="1:7" x14ac:dyDescent="0.25">
      <c r="A1001">
        <v>11060</v>
      </c>
      <c r="B1001" s="12">
        <v>44685</v>
      </c>
      <c r="C1001" t="s">
        <v>17</v>
      </c>
      <c r="D1001" t="s">
        <v>20</v>
      </c>
      <c r="E1001" s="13">
        <v>25000</v>
      </c>
      <c r="F1001" s="13">
        <v>10</v>
      </c>
      <c r="G1001" s="13">
        <f t="shared" si="16"/>
        <v>25010</v>
      </c>
    </row>
  </sheetData>
  <mergeCells count="4">
    <mergeCell ref="I3:J3"/>
    <mergeCell ref="I7:J7"/>
    <mergeCell ref="I11:J11"/>
    <mergeCell ref="I22:J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DFC4-58B9-46DC-A9C9-3ECE60CE9EAC}">
  <dimension ref="A1:M28"/>
  <sheetViews>
    <sheetView topLeftCell="A7" workbookViewId="0">
      <selection activeCell="N21" sqref="N21"/>
    </sheetView>
  </sheetViews>
  <sheetFormatPr defaultRowHeight="15" x14ac:dyDescent="0.25"/>
  <cols>
    <col min="1" max="1" width="11.5703125" bestFit="1" customWidth="1"/>
    <col min="2" max="2" width="18" customWidth="1"/>
    <col min="3" max="3" width="12.28515625" customWidth="1"/>
    <col min="4" max="4" width="2.140625" customWidth="1"/>
    <col min="5" max="5" width="19.5703125" customWidth="1"/>
    <col min="6" max="6" width="16.42578125" customWidth="1"/>
    <col min="7" max="7" width="3.85546875" customWidth="1"/>
    <col min="8" max="8" width="21.7109375" customWidth="1"/>
    <col min="9" max="9" width="18.5703125" style="20" customWidth="1"/>
    <col min="10" max="10" width="2.7109375" customWidth="1"/>
    <col min="11" max="11" width="15.140625" bestFit="1" customWidth="1"/>
    <col min="12" max="12" width="17.140625" customWidth="1"/>
  </cols>
  <sheetData>
    <row r="1" spans="1:13" ht="18.75" x14ac:dyDescent="0.25">
      <c r="A1" s="121" t="s">
        <v>264</v>
      </c>
      <c r="B1" s="121"/>
      <c r="C1" s="121"/>
      <c r="D1" s="86"/>
      <c r="E1" s="86"/>
      <c r="F1" s="86"/>
      <c r="G1" s="86"/>
      <c r="H1" s="86"/>
      <c r="I1" s="87"/>
    </row>
    <row r="2" spans="1:13" ht="5.45" customHeight="1" x14ac:dyDescent="0.25">
      <c r="A2" s="86"/>
      <c r="B2" s="86"/>
      <c r="C2" s="86"/>
      <c r="D2" s="86"/>
      <c r="E2" s="86"/>
      <c r="F2" s="86"/>
      <c r="G2" s="86"/>
      <c r="H2" s="86"/>
      <c r="I2" s="87"/>
    </row>
    <row r="3" spans="1:13" ht="16.5" thickBot="1" x14ac:dyDescent="0.3">
      <c r="A3" s="88" t="s">
        <v>0</v>
      </c>
      <c r="B3" s="88" t="s">
        <v>265</v>
      </c>
      <c r="C3" s="88" t="s">
        <v>3</v>
      </c>
      <c r="D3" s="86"/>
      <c r="E3" s="89" t="s">
        <v>266</v>
      </c>
      <c r="F3" s="89"/>
      <c r="G3" s="89"/>
      <c r="H3" s="89"/>
      <c r="I3" s="90"/>
      <c r="L3" s="91"/>
      <c r="M3" s="92"/>
    </row>
    <row r="4" spans="1:13" ht="16.5" thickTop="1" x14ac:dyDescent="0.25">
      <c r="A4" s="93">
        <v>45751</v>
      </c>
      <c r="B4" s="94" t="s">
        <v>267</v>
      </c>
      <c r="C4" s="95">
        <v>2350</v>
      </c>
      <c r="D4" s="86"/>
      <c r="E4" s="86"/>
      <c r="F4" s="96"/>
      <c r="G4" s="86"/>
      <c r="H4" s="86"/>
      <c r="I4" s="87"/>
      <c r="L4" s="2"/>
    </row>
    <row r="5" spans="1:13" x14ac:dyDescent="0.25">
      <c r="A5" s="93">
        <v>45751</v>
      </c>
      <c r="B5" s="94" t="s">
        <v>268</v>
      </c>
      <c r="C5" s="95">
        <v>1450</v>
      </c>
      <c r="D5" s="86"/>
      <c r="E5" s="122" t="s">
        <v>269</v>
      </c>
      <c r="F5" s="122"/>
      <c r="G5" s="86"/>
      <c r="H5" s="122" t="s">
        <v>270</v>
      </c>
      <c r="I5" s="122"/>
      <c r="K5" s="122" t="s">
        <v>271</v>
      </c>
      <c r="L5" s="122"/>
    </row>
    <row r="6" spans="1:13" x14ac:dyDescent="0.25">
      <c r="A6" s="93">
        <v>45753</v>
      </c>
      <c r="B6" s="94" t="s">
        <v>267</v>
      </c>
      <c r="C6" s="95">
        <v>1230</v>
      </c>
      <c r="D6" s="86"/>
      <c r="E6" s="97" t="s">
        <v>265</v>
      </c>
      <c r="F6" s="97" t="s">
        <v>1</v>
      </c>
      <c r="G6" s="86"/>
      <c r="H6" s="97" t="s">
        <v>265</v>
      </c>
      <c r="I6" s="97" t="s">
        <v>1</v>
      </c>
      <c r="K6" s="97" t="s">
        <v>265</v>
      </c>
      <c r="L6" s="97" t="s">
        <v>272</v>
      </c>
      <c r="M6" s="98"/>
    </row>
    <row r="7" spans="1:13" ht="18.75" x14ac:dyDescent="0.3">
      <c r="A7" s="93">
        <v>45751</v>
      </c>
      <c r="B7" s="94" t="s">
        <v>268</v>
      </c>
      <c r="C7" s="95">
        <v>458</v>
      </c>
      <c r="D7" s="86"/>
      <c r="E7" s="94" t="s">
        <v>268</v>
      </c>
      <c r="F7" s="99">
        <f>COUNTIF($B$4:$B$28,E7)</f>
        <v>6</v>
      </c>
      <c r="G7" s="86"/>
      <c r="H7" s="94" t="s">
        <v>268</v>
      </c>
      <c r="I7" s="100">
        <f>SUMIF($B$4:$B$28,H7,$C$4:$C$28)</f>
        <v>5427</v>
      </c>
      <c r="K7" s="94" t="s">
        <v>268</v>
      </c>
      <c r="L7" s="115">
        <f>AVERAGEIF($B$4:$B$28,K7,$C$4:$C$28)</f>
        <v>904.5</v>
      </c>
    </row>
    <row r="8" spans="1:13" ht="18.75" x14ac:dyDescent="0.3">
      <c r="A8" s="93">
        <v>45757</v>
      </c>
      <c r="B8" s="94" t="s">
        <v>273</v>
      </c>
      <c r="C8" s="95">
        <v>1470</v>
      </c>
      <c r="D8" s="86"/>
      <c r="E8" s="94" t="s">
        <v>267</v>
      </c>
      <c r="F8" s="99">
        <f t="shared" ref="F8:F10" si="0">COUNTIF($B$4:$B$28,E8)</f>
        <v>5</v>
      </c>
      <c r="G8" s="86"/>
      <c r="H8" s="94" t="s">
        <v>267</v>
      </c>
      <c r="I8" s="100">
        <f t="shared" ref="I8:I10" si="1">SUMIF($B$4:$B$28,H8,$C$4:$C$28)</f>
        <v>5325</v>
      </c>
      <c r="K8" s="94" t="s">
        <v>267</v>
      </c>
      <c r="L8" s="115">
        <f t="shared" ref="L8:L11" si="2">AVERAGEIF($B$4:$B$28,K8,$C$4:$C$28)</f>
        <v>1065</v>
      </c>
    </row>
    <row r="9" spans="1:13" ht="18.75" x14ac:dyDescent="0.3">
      <c r="A9" s="93">
        <v>45758</v>
      </c>
      <c r="B9" s="94" t="s">
        <v>274</v>
      </c>
      <c r="C9" s="95">
        <v>2310</v>
      </c>
      <c r="D9" s="86"/>
      <c r="E9" s="94" t="s">
        <v>273</v>
      </c>
      <c r="F9" s="99">
        <f t="shared" si="0"/>
        <v>7</v>
      </c>
      <c r="G9" s="86"/>
      <c r="H9" s="94" t="s">
        <v>273</v>
      </c>
      <c r="I9" s="100">
        <f t="shared" si="1"/>
        <v>4790</v>
      </c>
      <c r="K9" s="94" t="s">
        <v>273</v>
      </c>
      <c r="L9" s="115">
        <f t="shared" si="2"/>
        <v>684.28571428571433</v>
      </c>
    </row>
    <row r="10" spans="1:13" ht="18.75" x14ac:dyDescent="0.3">
      <c r="A10" s="93">
        <v>45761</v>
      </c>
      <c r="B10" s="94" t="s">
        <v>267</v>
      </c>
      <c r="C10" s="95">
        <v>1425</v>
      </c>
      <c r="D10" s="86"/>
      <c r="E10" s="94" t="s">
        <v>274</v>
      </c>
      <c r="F10" s="99">
        <f t="shared" si="0"/>
        <v>7</v>
      </c>
      <c r="G10" s="86"/>
      <c r="H10" s="94" t="s">
        <v>274</v>
      </c>
      <c r="I10" s="100">
        <f t="shared" si="1"/>
        <v>8565</v>
      </c>
      <c r="K10" s="94" t="s">
        <v>274</v>
      </c>
      <c r="L10" s="115">
        <f t="shared" si="2"/>
        <v>1223.5714285714287</v>
      </c>
    </row>
    <row r="11" spans="1:13" ht="18.75" x14ac:dyDescent="0.3">
      <c r="A11" s="93">
        <v>45762</v>
      </c>
      <c r="B11" s="94" t="s">
        <v>268</v>
      </c>
      <c r="C11" s="95">
        <v>854</v>
      </c>
      <c r="D11" s="86"/>
      <c r="E11" s="97" t="s">
        <v>275</v>
      </c>
      <c r="F11" s="99">
        <f>SUM(F7:F10)</f>
        <v>25</v>
      </c>
      <c r="G11" s="86"/>
      <c r="H11" s="97" t="s">
        <v>275</v>
      </c>
      <c r="I11" s="100">
        <f>SUM(I7:I10)</f>
        <v>24107</v>
      </c>
      <c r="K11" s="97" t="s">
        <v>272</v>
      </c>
      <c r="L11" s="115">
        <f>AVERAGE(L7:L10)</f>
        <v>969.33928571428578</v>
      </c>
    </row>
    <row r="12" spans="1:13" x14ac:dyDescent="0.25">
      <c r="A12" s="93">
        <v>45763</v>
      </c>
      <c r="B12" s="94" t="s">
        <v>273</v>
      </c>
      <c r="C12" s="95">
        <v>325</v>
      </c>
      <c r="D12" s="86"/>
      <c r="E12" s="86"/>
      <c r="F12" s="86"/>
      <c r="G12" s="86"/>
      <c r="H12" s="86"/>
      <c r="I12" s="87"/>
    </row>
    <row r="13" spans="1:13" x14ac:dyDescent="0.25">
      <c r="A13" s="93">
        <v>45763</v>
      </c>
      <c r="B13" s="94" t="s">
        <v>268</v>
      </c>
      <c r="C13" s="95">
        <v>1500</v>
      </c>
      <c r="D13" s="86"/>
      <c r="E13" s="86"/>
      <c r="F13" s="86"/>
      <c r="G13" s="86"/>
      <c r="H13" s="86"/>
      <c r="I13" s="87"/>
    </row>
    <row r="14" spans="1:13" x14ac:dyDescent="0.25">
      <c r="A14" s="93">
        <v>45764</v>
      </c>
      <c r="B14" s="94" t="s">
        <v>274</v>
      </c>
      <c r="C14" s="95">
        <v>465</v>
      </c>
      <c r="D14" s="86"/>
      <c r="E14" s="86"/>
      <c r="F14" s="86"/>
      <c r="G14" s="86"/>
      <c r="H14" s="86"/>
      <c r="I14" s="87"/>
    </row>
    <row r="15" spans="1:13" ht="15.75" x14ac:dyDescent="0.25">
      <c r="A15" s="93">
        <v>45764</v>
      </c>
      <c r="B15" s="94" t="s">
        <v>273</v>
      </c>
      <c r="C15" s="95">
        <v>780</v>
      </c>
      <c r="D15" s="86"/>
      <c r="E15" s="101" t="s">
        <v>276</v>
      </c>
      <c r="I15" s="102"/>
    </row>
    <row r="16" spans="1:13" ht="15.75" thickBot="1" x14ac:dyDescent="0.3">
      <c r="A16" s="93">
        <v>45765</v>
      </c>
      <c r="B16" s="94" t="s">
        <v>273</v>
      </c>
      <c r="C16" s="95">
        <v>360</v>
      </c>
      <c r="D16" s="86"/>
    </row>
    <row r="17" spans="1:12" ht="15.75" x14ac:dyDescent="0.25">
      <c r="A17" s="93">
        <v>45766</v>
      </c>
      <c r="B17" s="94" t="s">
        <v>274</v>
      </c>
      <c r="C17" s="95">
        <v>2410</v>
      </c>
      <c r="D17" s="86"/>
      <c r="E17" s="86" t="s">
        <v>277</v>
      </c>
      <c r="I17" s="130">
        <f>COUNTIFS(C4:C28,"&gt;2000",B4:B28,E10)</f>
        <v>2</v>
      </c>
      <c r="K17" t="s">
        <v>285</v>
      </c>
    </row>
    <row r="18" spans="1:12" ht="15.75" thickBot="1" x14ac:dyDescent="0.3">
      <c r="A18" s="93">
        <v>45766</v>
      </c>
      <c r="B18" s="94" t="s">
        <v>274</v>
      </c>
      <c r="C18" s="95">
        <v>1280</v>
      </c>
      <c r="E18" s="86" t="s">
        <v>280</v>
      </c>
      <c r="I18" s="132">
        <f>SUMIFS(C4:C28,B4:B28,E9,A4:A28,"&gt;17/04/2025")</f>
        <v>2215</v>
      </c>
      <c r="K18" t="s">
        <v>286</v>
      </c>
    </row>
    <row r="19" spans="1:12" ht="15.75" thickBot="1" x14ac:dyDescent="0.3">
      <c r="A19" s="93">
        <v>45767</v>
      </c>
      <c r="B19" s="94" t="s">
        <v>268</v>
      </c>
      <c r="C19" s="95">
        <v>795</v>
      </c>
      <c r="K19" s="92"/>
    </row>
    <row r="20" spans="1:12" x14ac:dyDescent="0.25">
      <c r="A20" s="93">
        <v>45768</v>
      </c>
      <c r="B20" s="94" t="s">
        <v>273</v>
      </c>
      <c r="C20" s="95">
        <v>310</v>
      </c>
      <c r="H20" s="103" t="s">
        <v>278</v>
      </c>
      <c r="I20" s="104"/>
      <c r="J20" s="105"/>
      <c r="K20" s="106"/>
      <c r="L20" s="107"/>
    </row>
    <row r="21" spans="1:12" x14ac:dyDescent="0.25">
      <c r="A21" s="93">
        <v>45769</v>
      </c>
      <c r="B21" s="94" t="s">
        <v>267</v>
      </c>
      <c r="C21" s="95">
        <v>175</v>
      </c>
      <c r="E21" s="2"/>
      <c r="H21" s="108"/>
      <c r="K21" s="32">
        <f>SUMIF(C4:C28,"&gt;1300")</f>
        <v>12915</v>
      </c>
      <c r="L21" s="109"/>
    </row>
    <row r="22" spans="1:12" ht="15.75" thickBot="1" x14ac:dyDescent="0.3">
      <c r="A22" s="93">
        <v>45770</v>
      </c>
      <c r="B22" s="94" t="s">
        <v>273</v>
      </c>
      <c r="C22" s="95">
        <v>660</v>
      </c>
      <c r="H22" s="110"/>
      <c r="L22" s="109"/>
    </row>
    <row r="23" spans="1:12" x14ac:dyDescent="0.25">
      <c r="A23" s="93">
        <v>45771</v>
      </c>
      <c r="B23" s="94" t="s">
        <v>267</v>
      </c>
      <c r="C23" s="95">
        <v>145</v>
      </c>
      <c r="H23" s="110" t="s">
        <v>279</v>
      </c>
      <c r="K23" s="106">
        <f>SUMIF(C4:C28,"&lt;800")</f>
        <v>5743</v>
      </c>
      <c r="L23" s="109"/>
    </row>
    <row r="24" spans="1:12" ht="15.75" thickBot="1" x14ac:dyDescent="0.3">
      <c r="A24" s="93">
        <v>45772</v>
      </c>
      <c r="B24" s="94" t="s">
        <v>268</v>
      </c>
      <c r="C24" s="95">
        <v>370</v>
      </c>
      <c r="H24" s="111"/>
      <c r="I24" s="112"/>
      <c r="J24" s="113"/>
      <c r="K24" s="113"/>
      <c r="L24" s="114"/>
    </row>
    <row r="25" spans="1:12" ht="15.75" thickBot="1" x14ac:dyDescent="0.3">
      <c r="A25" s="93">
        <v>45774</v>
      </c>
      <c r="B25" s="94" t="s">
        <v>273</v>
      </c>
      <c r="C25" s="95">
        <v>885</v>
      </c>
    </row>
    <row r="26" spans="1:12" ht="16.5" thickBot="1" x14ac:dyDescent="0.3">
      <c r="A26" s="93">
        <v>45774</v>
      </c>
      <c r="B26" s="94" t="s">
        <v>274</v>
      </c>
      <c r="C26" s="95">
        <v>400</v>
      </c>
      <c r="E26" s="3" t="s">
        <v>281</v>
      </c>
      <c r="I26" s="131">
        <f>COUNTIFS(A4:A28,"&gt;17/04/2025",B4:B28,"CGD")</f>
        <v>4</v>
      </c>
      <c r="K26" t="s">
        <v>285</v>
      </c>
    </row>
    <row r="27" spans="1:12" x14ac:dyDescent="0.25">
      <c r="A27" s="93">
        <v>45775</v>
      </c>
      <c r="B27" s="94" t="s">
        <v>274</v>
      </c>
      <c r="C27" s="95">
        <v>1200</v>
      </c>
    </row>
    <row r="28" spans="1:12" x14ac:dyDescent="0.25">
      <c r="A28" s="93">
        <v>45776</v>
      </c>
      <c r="B28" s="94" t="s">
        <v>274</v>
      </c>
      <c r="C28" s="95">
        <v>500</v>
      </c>
    </row>
  </sheetData>
  <mergeCells count="4">
    <mergeCell ref="A1:C1"/>
    <mergeCell ref="E5:F5"/>
    <mergeCell ref="H5:I5"/>
    <mergeCell ref="K5:L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5F6A-FD5D-4931-98FB-4030663DB61E}">
  <dimension ref="A2:L21"/>
  <sheetViews>
    <sheetView tabSelected="1" zoomScale="120" zoomScaleNormal="120" workbookViewId="0">
      <selection activeCell="B31" sqref="B31"/>
    </sheetView>
  </sheetViews>
  <sheetFormatPr defaultRowHeight="15" x14ac:dyDescent="0.25"/>
  <cols>
    <col min="1" max="1" width="13.7109375" customWidth="1"/>
    <col min="2" max="2" width="16.85546875" customWidth="1"/>
    <col min="3" max="3" width="16.7109375" customWidth="1"/>
    <col min="4" max="4" width="10.85546875" customWidth="1"/>
    <col min="5" max="5" width="10.7109375" customWidth="1"/>
    <col min="6" max="6" width="9.28515625" bestFit="1" customWidth="1"/>
    <col min="7" max="7" width="12.140625" customWidth="1"/>
    <col min="8" max="9" width="2.140625" customWidth="1"/>
    <col min="10" max="10" width="2" customWidth="1"/>
    <col min="11" max="11" width="51.42578125" customWidth="1"/>
    <col min="12" max="12" width="26.42578125" customWidth="1"/>
  </cols>
  <sheetData>
    <row r="2" spans="1:12" ht="15.75" x14ac:dyDescent="0.25">
      <c r="A2" s="25" t="s">
        <v>0</v>
      </c>
      <c r="B2" s="25" t="s">
        <v>106</v>
      </c>
      <c r="C2" s="25" t="s">
        <v>107</v>
      </c>
      <c r="D2" s="25" t="s">
        <v>108</v>
      </c>
      <c r="E2" s="25" t="s">
        <v>109</v>
      </c>
      <c r="F2" s="25" t="s">
        <v>110</v>
      </c>
      <c r="G2" s="25" t="s">
        <v>6</v>
      </c>
      <c r="K2" s="64"/>
      <c r="L2" s="3"/>
    </row>
    <row r="3" spans="1:12" ht="18.75" x14ac:dyDescent="0.3">
      <c r="A3" s="26">
        <v>45575</v>
      </c>
      <c r="B3" s="27" t="s">
        <v>111</v>
      </c>
      <c r="C3" s="28" t="s">
        <v>112</v>
      </c>
      <c r="D3" s="29" t="s">
        <v>113</v>
      </c>
      <c r="E3" s="29" t="s">
        <v>114</v>
      </c>
      <c r="F3" s="27">
        <v>101</v>
      </c>
      <c r="G3" s="30">
        <v>1414</v>
      </c>
      <c r="K3" s="4" t="s">
        <v>204</v>
      </c>
    </row>
    <row r="4" spans="1:12" x14ac:dyDescent="0.25">
      <c r="A4" s="26">
        <v>45593</v>
      </c>
      <c r="B4" s="27" t="s">
        <v>115</v>
      </c>
      <c r="C4" s="28" t="s">
        <v>112</v>
      </c>
      <c r="D4" s="29" t="s">
        <v>7</v>
      </c>
      <c r="E4" s="29" t="s">
        <v>114</v>
      </c>
      <c r="F4" s="27">
        <v>69</v>
      </c>
      <c r="G4" s="30">
        <v>2898</v>
      </c>
    </row>
    <row r="5" spans="1:12" x14ac:dyDescent="0.25">
      <c r="A5" s="26">
        <v>45444</v>
      </c>
      <c r="B5" s="27" t="s">
        <v>116</v>
      </c>
      <c r="C5" s="28" t="s">
        <v>117</v>
      </c>
      <c r="D5" s="29" t="s">
        <v>113</v>
      </c>
      <c r="E5" s="29" t="s">
        <v>114</v>
      </c>
      <c r="F5" s="27">
        <v>96</v>
      </c>
      <c r="G5" s="30">
        <v>2112</v>
      </c>
      <c r="K5" s="5" t="s">
        <v>118</v>
      </c>
      <c r="L5">
        <f>COUNTIFS(G3:G21,"&gt;3000",E3:E21,"Norte")</f>
        <v>4</v>
      </c>
    </row>
    <row r="6" spans="1:12" ht="15.75" x14ac:dyDescent="0.25">
      <c r="A6" s="26">
        <v>45575</v>
      </c>
      <c r="B6" s="27" t="s">
        <v>116</v>
      </c>
      <c r="C6" s="28" t="s">
        <v>117</v>
      </c>
      <c r="D6" s="29" t="s">
        <v>7</v>
      </c>
      <c r="E6" s="29" t="s">
        <v>114</v>
      </c>
      <c r="F6" s="27">
        <v>93</v>
      </c>
      <c r="G6" s="30">
        <v>2600</v>
      </c>
      <c r="K6" s="5" t="s">
        <v>210</v>
      </c>
      <c r="L6" s="31"/>
    </row>
    <row r="7" spans="1:12" ht="15.75" x14ac:dyDescent="0.25">
      <c r="A7" s="26">
        <v>45573</v>
      </c>
      <c r="B7" s="27" t="s">
        <v>119</v>
      </c>
      <c r="C7" s="28" t="s">
        <v>120</v>
      </c>
      <c r="D7" s="29" t="s">
        <v>7</v>
      </c>
      <c r="E7" s="29" t="s">
        <v>114</v>
      </c>
      <c r="F7" s="27">
        <v>51</v>
      </c>
      <c r="G7" s="30">
        <v>1887</v>
      </c>
      <c r="K7" s="5" t="s">
        <v>121</v>
      </c>
      <c r="L7" s="74"/>
    </row>
    <row r="8" spans="1:12" ht="15.75" x14ac:dyDescent="0.25">
      <c r="A8" s="26">
        <v>45444</v>
      </c>
      <c r="B8" s="27" t="s">
        <v>122</v>
      </c>
      <c r="C8" s="28" t="s">
        <v>120</v>
      </c>
      <c r="D8" s="29" t="s">
        <v>7</v>
      </c>
      <c r="E8" s="29" t="s">
        <v>114</v>
      </c>
      <c r="F8" s="27">
        <v>50</v>
      </c>
      <c r="G8" s="30">
        <v>1500</v>
      </c>
      <c r="K8" s="5" t="s">
        <v>123</v>
      </c>
      <c r="L8" s="74"/>
    </row>
    <row r="9" spans="1:12" x14ac:dyDescent="0.25">
      <c r="A9" s="26">
        <v>45589</v>
      </c>
      <c r="B9" s="27" t="s">
        <v>111</v>
      </c>
      <c r="C9" s="28" t="s">
        <v>112</v>
      </c>
      <c r="D9" s="29" t="s">
        <v>4</v>
      </c>
      <c r="E9" s="29" t="s">
        <v>124</v>
      </c>
      <c r="F9" s="27">
        <v>110</v>
      </c>
      <c r="G9" s="30">
        <v>1498</v>
      </c>
    </row>
    <row r="10" spans="1:12" x14ac:dyDescent="0.25">
      <c r="A10" s="26">
        <v>45575</v>
      </c>
      <c r="B10" s="27" t="s">
        <v>125</v>
      </c>
      <c r="C10" s="28" t="s">
        <v>112</v>
      </c>
      <c r="D10" s="29" t="s">
        <v>5</v>
      </c>
      <c r="E10" s="29" t="s">
        <v>124</v>
      </c>
      <c r="F10" s="27">
        <v>96</v>
      </c>
      <c r="G10" s="30">
        <v>3552</v>
      </c>
    </row>
    <row r="11" spans="1:12" x14ac:dyDescent="0.25">
      <c r="A11" s="26">
        <v>45470</v>
      </c>
      <c r="B11" s="27" t="s">
        <v>122</v>
      </c>
      <c r="C11" s="28" t="s">
        <v>120</v>
      </c>
      <c r="D11" s="29" t="s">
        <v>5</v>
      </c>
      <c r="E11" s="29" t="s">
        <v>124</v>
      </c>
      <c r="F11" s="27">
        <v>65</v>
      </c>
      <c r="G11" s="30">
        <v>1950</v>
      </c>
    </row>
    <row r="12" spans="1:12" x14ac:dyDescent="0.25">
      <c r="A12" s="26">
        <v>45580</v>
      </c>
      <c r="B12" s="27" t="s">
        <v>126</v>
      </c>
      <c r="C12" s="28" t="s">
        <v>127</v>
      </c>
      <c r="D12" s="29" t="s">
        <v>5</v>
      </c>
      <c r="E12" s="29" t="s">
        <v>124</v>
      </c>
      <c r="F12" s="27">
        <v>52</v>
      </c>
      <c r="G12" s="30">
        <v>1560</v>
      </c>
    </row>
    <row r="13" spans="1:12" x14ac:dyDescent="0.25">
      <c r="A13" s="26">
        <v>45581</v>
      </c>
      <c r="B13" s="27" t="s">
        <v>132</v>
      </c>
      <c r="C13" s="28" t="s">
        <v>127</v>
      </c>
      <c r="D13" s="29" t="s">
        <v>129</v>
      </c>
      <c r="E13" s="29" t="s">
        <v>130</v>
      </c>
      <c r="F13" s="27">
        <v>150</v>
      </c>
      <c r="G13" s="30">
        <v>2000</v>
      </c>
    </row>
    <row r="14" spans="1:12" x14ac:dyDescent="0.25">
      <c r="A14" s="26">
        <v>45567</v>
      </c>
      <c r="B14" s="27" t="s">
        <v>128</v>
      </c>
      <c r="C14" s="28" t="s">
        <v>127</v>
      </c>
      <c r="D14" s="29" t="s">
        <v>5</v>
      </c>
      <c r="E14" s="29" t="s">
        <v>124</v>
      </c>
      <c r="F14" s="27">
        <v>51</v>
      </c>
      <c r="G14" s="30">
        <v>3600</v>
      </c>
    </row>
    <row r="15" spans="1:12" x14ac:dyDescent="0.25">
      <c r="A15" s="26">
        <v>45592</v>
      </c>
      <c r="B15" s="27" t="s">
        <v>125</v>
      </c>
      <c r="C15" s="28" t="s">
        <v>112</v>
      </c>
      <c r="D15" s="29" t="s">
        <v>129</v>
      </c>
      <c r="E15" s="29" t="s">
        <v>130</v>
      </c>
      <c r="F15" s="27">
        <v>71</v>
      </c>
      <c r="G15" s="30">
        <v>2982</v>
      </c>
    </row>
    <row r="16" spans="1:12" x14ac:dyDescent="0.25">
      <c r="A16" s="26">
        <v>45456</v>
      </c>
      <c r="B16" s="27" t="s">
        <v>115</v>
      </c>
      <c r="C16" s="28" t="s">
        <v>112</v>
      </c>
      <c r="D16" s="29" t="s">
        <v>129</v>
      </c>
      <c r="E16" s="29" t="s">
        <v>130</v>
      </c>
      <c r="F16" s="27">
        <v>61</v>
      </c>
      <c r="G16" s="30">
        <v>2562</v>
      </c>
    </row>
    <row r="17" spans="1:7" x14ac:dyDescent="0.25">
      <c r="A17" s="26">
        <v>45444</v>
      </c>
      <c r="B17" s="27" t="s">
        <v>131</v>
      </c>
      <c r="C17" s="28" t="s">
        <v>127</v>
      </c>
      <c r="D17" s="29" t="s">
        <v>7</v>
      </c>
      <c r="E17" s="29" t="s">
        <v>114</v>
      </c>
      <c r="F17" s="27">
        <v>50</v>
      </c>
      <c r="G17" s="30">
        <v>1500</v>
      </c>
    </row>
    <row r="18" spans="1:7" x14ac:dyDescent="0.25">
      <c r="A18" s="26">
        <v>45593</v>
      </c>
      <c r="B18" s="27" t="s">
        <v>115</v>
      </c>
      <c r="C18" s="28" t="s">
        <v>112</v>
      </c>
      <c r="D18" s="29" t="s">
        <v>7</v>
      </c>
      <c r="E18" s="29" t="s">
        <v>114</v>
      </c>
      <c r="F18" s="27">
        <v>30</v>
      </c>
      <c r="G18" s="30">
        <v>2898</v>
      </c>
    </row>
    <row r="19" spans="1:7" x14ac:dyDescent="0.25">
      <c r="A19" s="26">
        <v>45575</v>
      </c>
      <c r="B19" s="27" t="s">
        <v>125</v>
      </c>
      <c r="C19" s="28" t="s">
        <v>112</v>
      </c>
      <c r="D19" s="29" t="s">
        <v>4</v>
      </c>
      <c r="E19" s="29" t="s">
        <v>124</v>
      </c>
      <c r="F19" s="27">
        <v>50</v>
      </c>
      <c r="G19" s="30">
        <v>3552</v>
      </c>
    </row>
    <row r="20" spans="1:7" x14ac:dyDescent="0.25">
      <c r="A20" s="26">
        <v>45571</v>
      </c>
      <c r="B20" s="27" t="s">
        <v>115</v>
      </c>
      <c r="C20" s="28" t="s">
        <v>120</v>
      </c>
      <c r="D20" s="29" t="s">
        <v>4</v>
      </c>
      <c r="E20" s="29" t="s">
        <v>124</v>
      </c>
      <c r="F20" s="27">
        <v>50</v>
      </c>
      <c r="G20" s="30">
        <v>3552</v>
      </c>
    </row>
    <row r="21" spans="1:7" x14ac:dyDescent="0.25">
      <c r="A21" s="26">
        <v>45586</v>
      </c>
      <c r="B21" s="27" t="s">
        <v>132</v>
      </c>
      <c r="C21" s="28" t="s">
        <v>127</v>
      </c>
      <c r="D21" s="29" t="s">
        <v>129</v>
      </c>
      <c r="E21" s="29" t="s">
        <v>130</v>
      </c>
      <c r="F21" s="27">
        <v>100</v>
      </c>
      <c r="G21" s="30">
        <v>3000</v>
      </c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CF356-17C9-434E-BB69-D2C015269369}">
  <dimension ref="B1:J29"/>
  <sheetViews>
    <sheetView zoomScale="110" zoomScaleNormal="110" workbookViewId="0">
      <selection activeCell="H17" sqref="H17"/>
    </sheetView>
  </sheetViews>
  <sheetFormatPr defaultRowHeight="15" x14ac:dyDescent="0.25"/>
  <cols>
    <col min="1" max="1" width="1.28515625" customWidth="1"/>
    <col min="2" max="2" width="18.85546875" customWidth="1"/>
    <col min="3" max="3" width="14" customWidth="1"/>
    <col min="4" max="4" width="7.7109375" bestFit="1" customWidth="1"/>
    <col min="5" max="5" width="12.140625" bestFit="1" customWidth="1"/>
    <col min="6" max="6" width="12.28515625" customWidth="1"/>
    <col min="7" max="7" width="8.42578125" customWidth="1"/>
    <col min="8" max="8" width="59.5703125" bestFit="1" customWidth="1"/>
    <col min="9" max="9" width="15.140625" bestFit="1" customWidth="1"/>
    <col min="10" max="10" width="15.7109375" bestFit="1" customWidth="1"/>
  </cols>
  <sheetData>
    <row r="1" spans="2:10" ht="16.5" thickTop="1" x14ac:dyDescent="0.25">
      <c r="B1" s="49" t="s">
        <v>211</v>
      </c>
      <c r="C1" s="50" t="s">
        <v>212</v>
      </c>
      <c r="D1" s="50" t="s">
        <v>213</v>
      </c>
      <c r="E1" s="51" t="s">
        <v>214</v>
      </c>
      <c r="F1" s="51" t="s">
        <v>215</v>
      </c>
      <c r="H1" s="52" t="s">
        <v>216</v>
      </c>
    </row>
    <row r="2" spans="2:10" x14ac:dyDescent="0.25">
      <c r="B2" s="1" t="s">
        <v>217</v>
      </c>
      <c r="C2" s="53">
        <v>1388</v>
      </c>
      <c r="D2" s="6" t="s">
        <v>218</v>
      </c>
      <c r="E2" s="53">
        <v>850</v>
      </c>
      <c r="F2" s="54" t="s">
        <v>219</v>
      </c>
    </row>
    <row r="3" spans="2:10" ht="15.75" x14ac:dyDescent="0.25">
      <c r="B3" s="1" t="s">
        <v>220</v>
      </c>
      <c r="C3" s="53">
        <v>670</v>
      </c>
      <c r="D3" s="6" t="s">
        <v>4</v>
      </c>
      <c r="E3" s="53">
        <v>343</v>
      </c>
      <c r="F3" s="54" t="s">
        <v>221</v>
      </c>
      <c r="H3" s="2" t="s">
        <v>222</v>
      </c>
      <c r="I3" s="3"/>
    </row>
    <row r="4" spans="2:10" ht="15.75" thickBot="1" x14ac:dyDescent="0.3">
      <c r="B4" s="1" t="s">
        <v>223</v>
      </c>
      <c r="C4" s="53">
        <v>1489</v>
      </c>
      <c r="D4" s="6" t="s">
        <v>218</v>
      </c>
      <c r="E4" s="53">
        <v>666</v>
      </c>
      <c r="F4" s="54" t="s">
        <v>221</v>
      </c>
      <c r="I4" s="6" t="s">
        <v>256</v>
      </c>
      <c r="J4" s="6" t="s">
        <v>257</v>
      </c>
    </row>
    <row r="5" spans="2:10" ht="16.5" thickTop="1" x14ac:dyDescent="0.25">
      <c r="B5" s="1" t="s">
        <v>224</v>
      </c>
      <c r="C5" s="53">
        <v>1200</v>
      </c>
      <c r="D5" s="6" t="s">
        <v>5</v>
      </c>
      <c r="E5" s="53">
        <v>767</v>
      </c>
      <c r="F5" s="54" t="s">
        <v>6</v>
      </c>
      <c r="H5" s="65" t="s">
        <v>219</v>
      </c>
      <c r="I5" s="68"/>
      <c r="J5" s="61"/>
    </row>
    <row r="6" spans="2:10" ht="16.5" thickBot="1" x14ac:dyDescent="0.3">
      <c r="B6" s="1" t="s">
        <v>225</v>
      </c>
      <c r="C6" s="53">
        <v>1450</v>
      </c>
      <c r="D6" s="6" t="s">
        <v>7</v>
      </c>
      <c r="E6" s="53">
        <v>987</v>
      </c>
      <c r="F6" s="54" t="s">
        <v>6</v>
      </c>
      <c r="H6" s="66" t="s">
        <v>221</v>
      </c>
      <c r="I6" s="68"/>
      <c r="J6" s="61"/>
    </row>
    <row r="7" spans="2:10" ht="17.25" thickTop="1" thickBot="1" x14ac:dyDescent="0.3">
      <c r="B7" s="1" t="s">
        <v>226</v>
      </c>
      <c r="C7" s="53">
        <v>500</v>
      </c>
      <c r="D7" s="6" t="s">
        <v>5</v>
      </c>
      <c r="E7" s="53">
        <v>245</v>
      </c>
      <c r="F7" s="54" t="s">
        <v>227</v>
      </c>
      <c r="H7" s="67" t="s">
        <v>218</v>
      </c>
      <c r="I7" s="69"/>
      <c r="J7" s="61"/>
    </row>
    <row r="8" spans="2:10" ht="17.25" thickTop="1" thickBot="1" x14ac:dyDescent="0.3">
      <c r="B8" s="1" t="s">
        <v>228</v>
      </c>
      <c r="C8" s="53">
        <v>654</v>
      </c>
      <c r="D8" s="6" t="s">
        <v>7</v>
      </c>
      <c r="E8" s="53">
        <v>343</v>
      </c>
      <c r="F8" s="54" t="s">
        <v>6</v>
      </c>
      <c r="H8" s="67" t="s">
        <v>4</v>
      </c>
      <c r="I8" s="69"/>
      <c r="J8" s="61"/>
    </row>
    <row r="9" spans="2:10" ht="16.5" thickTop="1" x14ac:dyDescent="0.25">
      <c r="B9" s="1" t="s">
        <v>229</v>
      </c>
      <c r="C9" s="53">
        <v>1488</v>
      </c>
      <c r="D9" s="6" t="s">
        <v>218</v>
      </c>
      <c r="E9" s="53">
        <v>889</v>
      </c>
      <c r="F9" s="54" t="s">
        <v>227</v>
      </c>
      <c r="I9" s="3"/>
    </row>
    <row r="10" spans="2:10" ht="15.75" x14ac:dyDescent="0.25">
      <c r="B10" s="1" t="s">
        <v>230</v>
      </c>
      <c r="C10" s="53">
        <v>1450</v>
      </c>
      <c r="D10" s="6" t="s">
        <v>4</v>
      </c>
      <c r="E10" s="53">
        <v>690</v>
      </c>
      <c r="F10" s="54" t="s">
        <v>219</v>
      </c>
      <c r="H10" s="2" t="s">
        <v>231</v>
      </c>
      <c r="I10" s="3"/>
    </row>
    <row r="11" spans="2:10" ht="16.5" thickBot="1" x14ac:dyDescent="0.3">
      <c r="B11" s="1" t="s">
        <v>232</v>
      </c>
      <c r="C11" s="53">
        <v>850</v>
      </c>
      <c r="D11" s="6" t="s">
        <v>218</v>
      </c>
      <c r="E11" s="53">
        <v>250</v>
      </c>
      <c r="F11" s="54" t="s">
        <v>219</v>
      </c>
      <c r="I11" s="3"/>
    </row>
    <row r="12" spans="2:10" ht="21.75" thickTop="1" x14ac:dyDescent="0.35">
      <c r="B12" s="1" t="s">
        <v>233</v>
      </c>
      <c r="C12" s="53">
        <v>1950</v>
      </c>
      <c r="D12" s="6" t="s">
        <v>234</v>
      </c>
      <c r="E12" s="53">
        <v>1200</v>
      </c>
      <c r="F12" s="54" t="s">
        <v>227</v>
      </c>
      <c r="H12" s="57" t="s">
        <v>235</v>
      </c>
      <c r="I12" s="58"/>
    </row>
    <row r="13" spans="2:10" ht="21.75" thickBot="1" x14ac:dyDescent="0.4">
      <c r="B13" s="1" t="s">
        <v>236</v>
      </c>
      <c r="C13" s="53">
        <v>950</v>
      </c>
      <c r="D13" s="6" t="s">
        <v>7</v>
      </c>
      <c r="E13" s="53">
        <v>265</v>
      </c>
      <c r="F13" s="54" t="s">
        <v>219</v>
      </c>
      <c r="H13" s="55" t="s">
        <v>237</v>
      </c>
      <c r="I13" s="59"/>
    </row>
    <row r="14" spans="2:10" ht="15.75" thickTop="1" x14ac:dyDescent="0.25">
      <c r="B14" s="1" t="s">
        <v>238</v>
      </c>
      <c r="C14" s="53">
        <v>650</v>
      </c>
      <c r="D14" s="6" t="s">
        <v>7</v>
      </c>
      <c r="E14" s="53">
        <v>95</v>
      </c>
      <c r="F14" s="54" t="s">
        <v>6</v>
      </c>
    </row>
    <row r="15" spans="2:10" ht="15.75" x14ac:dyDescent="0.25">
      <c r="B15" s="1" t="s">
        <v>239</v>
      </c>
      <c r="C15" s="53">
        <v>875</v>
      </c>
      <c r="D15" s="6" t="s">
        <v>218</v>
      </c>
      <c r="E15" s="53">
        <v>125</v>
      </c>
      <c r="F15" s="54" t="s">
        <v>6</v>
      </c>
      <c r="H15" s="2" t="s">
        <v>240</v>
      </c>
      <c r="I15" s="3"/>
    </row>
    <row r="16" spans="2:10" ht="16.5" thickBot="1" x14ac:dyDescent="0.3">
      <c r="B16" s="1" t="s">
        <v>241</v>
      </c>
      <c r="C16" s="53">
        <v>1100</v>
      </c>
      <c r="D16" s="6" t="s">
        <v>4</v>
      </c>
      <c r="E16" s="53">
        <v>220</v>
      </c>
      <c r="F16" s="54" t="s">
        <v>227</v>
      </c>
      <c r="I16" s="3"/>
    </row>
    <row r="17" spans="2:9" ht="16.5" thickTop="1" x14ac:dyDescent="0.25">
      <c r="B17" s="1" t="s">
        <v>242</v>
      </c>
      <c r="C17" s="53">
        <v>555</v>
      </c>
      <c r="D17" s="6" t="s">
        <v>218</v>
      </c>
      <c r="E17" s="53">
        <v>80</v>
      </c>
      <c r="F17" s="54" t="s">
        <v>219</v>
      </c>
      <c r="H17" s="57" t="s">
        <v>243</v>
      </c>
      <c r="I17" s="60"/>
    </row>
    <row r="18" spans="2:9" ht="16.5" thickBot="1" x14ac:dyDescent="0.3">
      <c r="B18" s="1" t="s">
        <v>244</v>
      </c>
      <c r="C18" s="53">
        <v>685</v>
      </c>
      <c r="D18" s="6" t="s">
        <v>7</v>
      </c>
      <c r="E18" s="53">
        <v>95</v>
      </c>
      <c r="F18" s="54" t="s">
        <v>221</v>
      </c>
      <c r="H18" s="55" t="s">
        <v>245</v>
      </c>
      <c r="I18" s="56"/>
    </row>
    <row r="19" spans="2:9" ht="15.75" thickTop="1" x14ac:dyDescent="0.25">
      <c r="B19" s="1" t="s">
        <v>246</v>
      </c>
      <c r="C19" s="53">
        <v>1200</v>
      </c>
      <c r="D19" s="6" t="s">
        <v>7</v>
      </c>
      <c r="E19" s="53">
        <v>450</v>
      </c>
      <c r="F19" s="54" t="s">
        <v>221</v>
      </c>
    </row>
    <row r="20" spans="2:9" x14ac:dyDescent="0.25">
      <c r="B20" s="1" t="s">
        <v>247</v>
      </c>
      <c r="C20" s="53">
        <v>850</v>
      </c>
      <c r="D20" s="6" t="s">
        <v>218</v>
      </c>
      <c r="E20" s="53">
        <v>120</v>
      </c>
      <c r="F20" s="54" t="s">
        <v>6</v>
      </c>
    </row>
    <row r="21" spans="2:9" x14ac:dyDescent="0.25">
      <c r="B21" s="1" t="s">
        <v>248</v>
      </c>
      <c r="C21" s="53">
        <v>650</v>
      </c>
      <c r="D21" s="6" t="s">
        <v>218</v>
      </c>
      <c r="E21" s="53">
        <v>65</v>
      </c>
      <c r="F21" s="54" t="s">
        <v>219</v>
      </c>
    </row>
    <row r="22" spans="2:9" x14ac:dyDescent="0.25">
      <c r="B22" s="1" t="s">
        <v>249</v>
      </c>
      <c r="C22" s="53">
        <v>1450</v>
      </c>
      <c r="D22" s="6" t="s">
        <v>218</v>
      </c>
      <c r="E22" s="53">
        <v>450</v>
      </c>
      <c r="F22" s="54" t="s">
        <v>221</v>
      </c>
    </row>
    <row r="23" spans="2:9" x14ac:dyDescent="0.25">
      <c r="B23" s="1" t="s">
        <v>250</v>
      </c>
      <c r="C23" s="53">
        <v>900</v>
      </c>
      <c r="D23" s="6" t="s">
        <v>218</v>
      </c>
      <c r="E23" s="61">
        <v>400</v>
      </c>
      <c r="F23" s="62" t="s">
        <v>221</v>
      </c>
    </row>
    <row r="24" spans="2:9" x14ac:dyDescent="0.25">
      <c r="B24" s="1" t="s">
        <v>251</v>
      </c>
      <c r="C24" s="53">
        <v>790</v>
      </c>
      <c r="D24" s="6" t="s">
        <v>218</v>
      </c>
      <c r="E24" s="53">
        <v>350</v>
      </c>
      <c r="F24" s="54" t="s">
        <v>6</v>
      </c>
    </row>
    <row r="25" spans="2:9" x14ac:dyDescent="0.25">
      <c r="B25" s="1" t="s">
        <v>252</v>
      </c>
      <c r="C25" s="53">
        <v>1300</v>
      </c>
      <c r="D25" s="6" t="s">
        <v>5</v>
      </c>
      <c r="E25" s="53">
        <v>400</v>
      </c>
      <c r="F25" s="54" t="s">
        <v>219</v>
      </c>
    </row>
    <row r="26" spans="2:9" x14ac:dyDescent="0.25">
      <c r="B26" s="1" t="s">
        <v>253</v>
      </c>
      <c r="C26" s="53">
        <v>1450</v>
      </c>
      <c r="D26" s="6" t="s">
        <v>218</v>
      </c>
      <c r="E26" s="53">
        <v>810</v>
      </c>
      <c r="F26" s="54" t="s">
        <v>6</v>
      </c>
    </row>
    <row r="27" spans="2:9" x14ac:dyDescent="0.25">
      <c r="B27" s="1" t="s">
        <v>254</v>
      </c>
      <c r="C27" s="61">
        <v>1000</v>
      </c>
      <c r="D27" s="6" t="s">
        <v>4</v>
      </c>
      <c r="E27" s="61">
        <v>270</v>
      </c>
      <c r="F27" s="62" t="s">
        <v>221</v>
      </c>
    </row>
    <row r="28" spans="2:9" x14ac:dyDescent="0.25">
      <c r="B28" s="1" t="s">
        <v>255</v>
      </c>
      <c r="C28" s="61">
        <v>800</v>
      </c>
      <c r="D28" s="1" t="s">
        <v>218</v>
      </c>
      <c r="E28" s="61">
        <v>350</v>
      </c>
      <c r="F28" s="62" t="s">
        <v>6</v>
      </c>
    </row>
    <row r="29" spans="2:9" x14ac:dyDescent="0.25">
      <c r="B29" s="63" t="s">
        <v>258</v>
      </c>
      <c r="C29" s="75">
        <v>1500</v>
      </c>
      <c r="D29" s="76" t="s">
        <v>218</v>
      </c>
      <c r="E29" s="75">
        <v>200</v>
      </c>
      <c r="F29" s="77" t="s">
        <v>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12BD-6391-4785-966D-449C44B06B20}">
  <dimension ref="A1:P275"/>
  <sheetViews>
    <sheetView workbookViewId="0">
      <selection activeCell="C22" sqref="C22"/>
    </sheetView>
  </sheetViews>
  <sheetFormatPr defaultRowHeight="15" x14ac:dyDescent="0.25"/>
  <cols>
    <col min="1" max="1" width="11.140625" style="40" customWidth="1"/>
    <col min="2" max="2" width="15.85546875" style="40" customWidth="1"/>
    <col min="3" max="3" width="45.85546875" style="40" customWidth="1"/>
    <col min="4" max="4" width="9.7109375" style="40" customWidth="1"/>
    <col min="5" max="5" width="12.5703125" style="40" bestFit="1" customWidth="1"/>
    <col min="6" max="6" width="7.5703125" style="40" bestFit="1" customWidth="1"/>
    <col min="7" max="7" width="7.7109375" style="40" bestFit="1" customWidth="1"/>
    <col min="8" max="8" width="10" style="40" customWidth="1"/>
    <col min="9" max="9" width="11.85546875" style="40" customWidth="1"/>
    <col min="10" max="10" width="3.85546875" customWidth="1"/>
    <col min="11" max="11" width="12.7109375" customWidth="1"/>
    <col min="12" max="12" width="14.7109375" bestFit="1" customWidth="1"/>
    <col min="13" max="13" width="4" customWidth="1"/>
    <col min="14" max="14" width="30.42578125" customWidth="1"/>
    <col min="15" max="15" width="23.5703125" customWidth="1"/>
  </cols>
  <sheetData>
    <row r="1" spans="1:16" ht="15.75" x14ac:dyDescent="0.25">
      <c r="A1" s="41" t="s">
        <v>0</v>
      </c>
      <c r="B1" s="41" t="s">
        <v>133</v>
      </c>
      <c r="C1" s="41" t="s">
        <v>2</v>
      </c>
      <c r="D1" s="41" t="s">
        <v>134</v>
      </c>
      <c r="E1" s="41" t="s">
        <v>135</v>
      </c>
      <c r="F1" s="41" t="s">
        <v>109</v>
      </c>
      <c r="G1" s="41" t="s">
        <v>136</v>
      </c>
      <c r="H1" s="41" t="s">
        <v>137</v>
      </c>
      <c r="I1" s="41" t="s">
        <v>138</v>
      </c>
      <c r="J1" s="33"/>
      <c r="K1" s="70"/>
      <c r="L1" s="33"/>
      <c r="M1" s="33"/>
      <c r="N1" s="33"/>
      <c r="O1" s="33"/>
      <c r="P1" s="33"/>
    </row>
    <row r="2" spans="1:16" x14ac:dyDescent="0.25">
      <c r="A2" s="42">
        <v>45296</v>
      </c>
      <c r="B2" s="43" t="s">
        <v>139</v>
      </c>
      <c r="C2" s="43" t="s">
        <v>140</v>
      </c>
      <c r="D2" s="43" t="s">
        <v>141</v>
      </c>
      <c r="E2" s="44">
        <v>1208</v>
      </c>
      <c r="F2" s="45" t="s">
        <v>130</v>
      </c>
      <c r="G2" s="34">
        <v>0.02</v>
      </c>
      <c r="H2" s="44">
        <v>24.16</v>
      </c>
    </row>
    <row r="3" spans="1:16" ht="15.75" x14ac:dyDescent="0.25">
      <c r="A3" s="42">
        <v>44935</v>
      </c>
      <c r="B3" s="43" t="s">
        <v>139</v>
      </c>
      <c r="C3" s="43" t="s">
        <v>142</v>
      </c>
      <c r="D3" s="43" t="s">
        <v>141</v>
      </c>
      <c r="E3" s="44">
        <v>1881</v>
      </c>
      <c r="F3" s="45" t="s">
        <v>124</v>
      </c>
      <c r="G3" s="34">
        <v>0.02</v>
      </c>
      <c r="H3" s="44">
        <v>37.619999999999997</v>
      </c>
      <c r="N3" s="3"/>
    </row>
    <row r="4" spans="1:16" ht="15.75" x14ac:dyDescent="0.25">
      <c r="A4" s="42">
        <v>45308</v>
      </c>
      <c r="B4" s="43" t="s">
        <v>139</v>
      </c>
      <c r="C4" s="43" t="s">
        <v>143</v>
      </c>
      <c r="D4" s="43" t="s">
        <v>144</v>
      </c>
      <c r="E4" s="44">
        <v>2506</v>
      </c>
      <c r="F4" s="45" t="s">
        <v>130</v>
      </c>
      <c r="G4" s="34">
        <v>0.02</v>
      </c>
      <c r="H4" s="44">
        <v>50.120000000000005</v>
      </c>
      <c r="N4" s="3"/>
    </row>
    <row r="5" spans="1:16" ht="18.75" x14ac:dyDescent="0.3">
      <c r="A5" s="42">
        <v>45316</v>
      </c>
      <c r="B5" s="43" t="s">
        <v>139</v>
      </c>
      <c r="C5" s="43" t="s">
        <v>145</v>
      </c>
      <c r="D5" s="43" t="s">
        <v>146</v>
      </c>
      <c r="E5" s="44">
        <v>6072</v>
      </c>
      <c r="F5" s="45" t="s">
        <v>114</v>
      </c>
      <c r="G5" s="34">
        <v>0.05</v>
      </c>
      <c r="H5" s="44">
        <v>303.60000000000002</v>
      </c>
      <c r="K5" s="129" t="s">
        <v>147</v>
      </c>
      <c r="L5" s="129"/>
      <c r="M5" s="129"/>
      <c r="N5" s="129"/>
      <c r="O5" s="129"/>
    </row>
    <row r="6" spans="1:16" ht="15.75" thickBot="1" x14ac:dyDescent="0.3">
      <c r="A6" s="42">
        <v>45332</v>
      </c>
      <c r="B6" s="43" t="s">
        <v>139</v>
      </c>
      <c r="C6" s="43" t="s">
        <v>148</v>
      </c>
      <c r="D6" s="43" t="s">
        <v>144</v>
      </c>
      <c r="E6" s="44">
        <v>7422</v>
      </c>
      <c r="F6" s="45" t="s">
        <v>124</v>
      </c>
      <c r="G6" s="34">
        <v>0.05</v>
      </c>
      <c r="H6" s="44">
        <v>371.1</v>
      </c>
    </row>
    <row r="7" spans="1:16" ht="16.5" thickBot="1" x14ac:dyDescent="0.3">
      <c r="A7" s="42">
        <v>45344</v>
      </c>
      <c r="B7" s="43" t="s">
        <v>139</v>
      </c>
      <c r="C7" s="43" t="s">
        <v>149</v>
      </c>
      <c r="D7" s="43" t="s">
        <v>146</v>
      </c>
      <c r="E7" s="44">
        <v>3201</v>
      </c>
      <c r="F7" s="45" t="s">
        <v>124</v>
      </c>
      <c r="G7" s="34">
        <v>0.02</v>
      </c>
      <c r="H7" s="44">
        <v>64.02</v>
      </c>
      <c r="K7" s="125" t="s">
        <v>150</v>
      </c>
      <c r="L7" s="126"/>
      <c r="N7" s="125" t="s">
        <v>151</v>
      </c>
      <c r="O7" s="126"/>
    </row>
    <row r="8" spans="1:16" ht="15.75" x14ac:dyDescent="0.25">
      <c r="A8" s="42">
        <v>45348</v>
      </c>
      <c r="B8" s="43" t="s">
        <v>139</v>
      </c>
      <c r="C8" s="43" t="s">
        <v>152</v>
      </c>
      <c r="D8" s="43" t="s">
        <v>144</v>
      </c>
      <c r="E8" s="44">
        <v>16380</v>
      </c>
      <c r="F8" s="45" t="s">
        <v>124</v>
      </c>
      <c r="G8" s="34">
        <v>0.1</v>
      </c>
      <c r="H8" s="44">
        <v>1638</v>
      </c>
      <c r="K8" s="78" t="s">
        <v>153</v>
      </c>
      <c r="L8" s="35"/>
      <c r="N8" s="7" t="s">
        <v>154</v>
      </c>
      <c r="O8" s="36"/>
    </row>
    <row r="9" spans="1:16" ht="15.75" x14ac:dyDescent="0.25">
      <c r="A9" s="42">
        <v>45377</v>
      </c>
      <c r="B9" s="43" t="s">
        <v>139</v>
      </c>
      <c r="C9" s="43" t="s">
        <v>149</v>
      </c>
      <c r="D9" s="43" t="s">
        <v>144</v>
      </c>
      <c r="E9" s="44">
        <v>8952</v>
      </c>
      <c r="F9" s="45" t="s">
        <v>114</v>
      </c>
      <c r="G9" s="34">
        <v>7.0000000000000007E-2</v>
      </c>
      <c r="H9" s="44">
        <v>626.6400000000001</v>
      </c>
      <c r="K9" s="78" t="s">
        <v>155</v>
      </c>
      <c r="L9" s="35"/>
      <c r="N9" s="8" t="s">
        <v>156</v>
      </c>
      <c r="O9" s="35"/>
    </row>
    <row r="10" spans="1:16" ht="16.5" thickBot="1" x14ac:dyDescent="0.3">
      <c r="A10" s="42">
        <v>45385</v>
      </c>
      <c r="B10" s="43" t="s">
        <v>139</v>
      </c>
      <c r="C10" s="43" t="s">
        <v>157</v>
      </c>
      <c r="D10" s="43" t="s">
        <v>144</v>
      </c>
      <c r="E10" s="44">
        <v>13956</v>
      </c>
      <c r="F10" s="45" t="s">
        <v>130</v>
      </c>
      <c r="G10" s="34">
        <v>0.1</v>
      </c>
      <c r="H10" s="44">
        <v>1395.6000000000001</v>
      </c>
      <c r="K10" s="37" t="s">
        <v>139</v>
      </c>
      <c r="L10" s="38"/>
      <c r="N10" s="37" t="s">
        <v>158</v>
      </c>
      <c r="O10" s="38"/>
    </row>
    <row r="11" spans="1:16" ht="15.75" thickBot="1" x14ac:dyDescent="0.3">
      <c r="A11" s="42">
        <v>45401</v>
      </c>
      <c r="B11" s="43" t="s">
        <v>139</v>
      </c>
      <c r="C11" s="43" t="s">
        <v>159</v>
      </c>
      <c r="D11" s="43" t="s">
        <v>146</v>
      </c>
      <c r="E11" s="44">
        <v>5245</v>
      </c>
      <c r="F11" s="45" t="s">
        <v>130</v>
      </c>
      <c r="G11" s="34">
        <v>0.05</v>
      </c>
      <c r="H11" s="44">
        <v>262.25</v>
      </c>
    </row>
    <row r="12" spans="1:16" ht="16.5" thickBot="1" x14ac:dyDescent="0.3">
      <c r="A12" s="42">
        <v>45405</v>
      </c>
      <c r="B12" s="43" t="s">
        <v>139</v>
      </c>
      <c r="C12" s="43" t="s">
        <v>160</v>
      </c>
      <c r="D12" s="43" t="s">
        <v>141</v>
      </c>
      <c r="E12" s="44">
        <v>26555</v>
      </c>
      <c r="F12" s="45" t="s">
        <v>124</v>
      </c>
      <c r="G12" s="34">
        <v>0.1</v>
      </c>
      <c r="H12" s="44">
        <v>2655.5</v>
      </c>
      <c r="K12" s="123" t="s">
        <v>161</v>
      </c>
      <c r="L12" s="124"/>
      <c r="N12" s="127" t="s">
        <v>205</v>
      </c>
      <c r="O12" s="128"/>
    </row>
    <row r="13" spans="1:16" ht="18.75" x14ac:dyDescent="0.3">
      <c r="A13" s="42">
        <v>45409</v>
      </c>
      <c r="B13" s="43" t="s">
        <v>139</v>
      </c>
      <c r="C13" s="43" t="s">
        <v>163</v>
      </c>
      <c r="D13" s="43" t="s">
        <v>141</v>
      </c>
      <c r="E13" s="44">
        <v>5466</v>
      </c>
      <c r="F13" s="45" t="s">
        <v>124</v>
      </c>
      <c r="G13" s="34">
        <v>0.05</v>
      </c>
      <c r="H13" s="44">
        <v>273.3</v>
      </c>
      <c r="K13" s="7" t="s">
        <v>141</v>
      </c>
      <c r="L13" s="79"/>
      <c r="N13" s="7" t="s">
        <v>168</v>
      </c>
      <c r="O13" s="47"/>
    </row>
    <row r="14" spans="1:16" ht="18.75" x14ac:dyDescent="0.3">
      <c r="A14" s="42">
        <v>45413</v>
      </c>
      <c r="B14" s="43" t="s">
        <v>139</v>
      </c>
      <c r="C14" s="43" t="s">
        <v>148</v>
      </c>
      <c r="D14" s="43" t="s">
        <v>146</v>
      </c>
      <c r="E14" s="44">
        <v>27385</v>
      </c>
      <c r="F14" s="45" t="s">
        <v>114</v>
      </c>
      <c r="G14" s="34">
        <v>0.1</v>
      </c>
      <c r="H14" s="44">
        <v>2738.5</v>
      </c>
      <c r="K14" s="8" t="s">
        <v>146</v>
      </c>
      <c r="L14" s="79"/>
      <c r="N14" s="8" t="s">
        <v>170</v>
      </c>
      <c r="O14" s="39"/>
    </row>
    <row r="15" spans="1:16" ht="19.5" thickBot="1" x14ac:dyDescent="0.35">
      <c r="A15" s="42">
        <v>45417</v>
      </c>
      <c r="B15" s="43" t="s">
        <v>139</v>
      </c>
      <c r="C15" s="43" t="s">
        <v>164</v>
      </c>
      <c r="D15" s="43" t="s">
        <v>146</v>
      </c>
      <c r="E15" s="44">
        <v>29975</v>
      </c>
      <c r="F15" s="45" t="s">
        <v>124</v>
      </c>
      <c r="G15" s="34">
        <v>0.1</v>
      </c>
      <c r="H15" s="44">
        <v>2997.5</v>
      </c>
      <c r="K15" s="9" t="s">
        <v>144</v>
      </c>
      <c r="L15" s="80"/>
      <c r="N15" s="9" t="s">
        <v>172</v>
      </c>
      <c r="O15" s="46"/>
    </row>
    <row r="16" spans="1:16" ht="15.75" thickBot="1" x14ac:dyDescent="0.3">
      <c r="A16" s="42">
        <v>45421</v>
      </c>
      <c r="B16" s="43" t="s">
        <v>139</v>
      </c>
      <c r="C16" s="43" t="s">
        <v>165</v>
      </c>
      <c r="D16" s="43" t="s">
        <v>141</v>
      </c>
      <c r="E16" s="44">
        <v>12122</v>
      </c>
      <c r="F16" s="45" t="s">
        <v>130</v>
      </c>
      <c r="G16" s="34">
        <v>0.1</v>
      </c>
      <c r="H16" s="44">
        <v>1212.2</v>
      </c>
    </row>
    <row r="17" spans="1:15" ht="16.5" thickBot="1" x14ac:dyDescent="0.3">
      <c r="A17" s="42">
        <v>45422</v>
      </c>
      <c r="B17" s="43" t="s">
        <v>139</v>
      </c>
      <c r="C17" s="43" t="s">
        <v>166</v>
      </c>
      <c r="D17" s="43" t="s">
        <v>146</v>
      </c>
      <c r="E17" s="44">
        <v>6511</v>
      </c>
      <c r="F17" s="45" t="s">
        <v>114</v>
      </c>
      <c r="G17" s="34">
        <v>0.05</v>
      </c>
      <c r="H17" s="44">
        <v>325.55</v>
      </c>
      <c r="K17" s="123" t="s">
        <v>175</v>
      </c>
      <c r="L17" s="124"/>
      <c r="N17" s="125" t="s">
        <v>162</v>
      </c>
      <c r="O17" s="126"/>
    </row>
    <row r="18" spans="1:15" ht="21" x14ac:dyDescent="0.35">
      <c r="A18" s="42">
        <v>45433</v>
      </c>
      <c r="B18" s="43" t="s">
        <v>139</v>
      </c>
      <c r="C18" s="43" t="s">
        <v>167</v>
      </c>
      <c r="D18" s="43" t="s">
        <v>141</v>
      </c>
      <c r="E18" s="44">
        <v>21582</v>
      </c>
      <c r="F18" s="45" t="s">
        <v>130</v>
      </c>
      <c r="G18" s="34">
        <v>0.1</v>
      </c>
      <c r="H18" s="44">
        <v>2158.2000000000003</v>
      </c>
      <c r="K18" s="81">
        <v>2024</v>
      </c>
      <c r="L18" s="79"/>
      <c r="N18" s="7" t="s">
        <v>260</v>
      </c>
      <c r="O18" s="71"/>
    </row>
    <row r="19" spans="1:15" ht="21" x14ac:dyDescent="0.35">
      <c r="A19" s="42">
        <v>45437</v>
      </c>
      <c r="B19" s="43" t="s">
        <v>139</v>
      </c>
      <c r="C19" s="43" t="s">
        <v>169</v>
      </c>
      <c r="D19" s="43" t="s">
        <v>146</v>
      </c>
      <c r="E19" s="44">
        <v>14450</v>
      </c>
      <c r="F19" s="45" t="s">
        <v>124</v>
      </c>
      <c r="G19" s="34">
        <v>0.1</v>
      </c>
      <c r="H19" s="44">
        <v>1445</v>
      </c>
      <c r="K19" s="82">
        <v>2023</v>
      </c>
      <c r="L19" s="79"/>
      <c r="N19" s="8" t="s">
        <v>262</v>
      </c>
      <c r="O19" s="72"/>
    </row>
    <row r="20" spans="1:15" ht="21.75" thickBot="1" x14ac:dyDescent="0.4">
      <c r="A20" s="42">
        <v>45449</v>
      </c>
      <c r="B20" s="43" t="s">
        <v>139</v>
      </c>
      <c r="C20" s="43" t="s">
        <v>171</v>
      </c>
      <c r="D20" s="43" t="s">
        <v>146</v>
      </c>
      <c r="E20" s="44">
        <v>22932</v>
      </c>
      <c r="F20" s="45" t="s">
        <v>130</v>
      </c>
      <c r="G20" s="34">
        <v>0.1</v>
      </c>
      <c r="H20" s="44">
        <v>2293.2000000000003</v>
      </c>
      <c r="K20" s="83">
        <v>2022</v>
      </c>
      <c r="L20" s="80"/>
      <c r="N20" s="8" t="s">
        <v>261</v>
      </c>
      <c r="O20" s="72"/>
    </row>
    <row r="21" spans="1:15" ht="15.75" thickBot="1" x14ac:dyDescent="0.3">
      <c r="A21" s="42">
        <v>45473</v>
      </c>
      <c r="B21" s="43" t="s">
        <v>139</v>
      </c>
      <c r="C21" s="43" t="s">
        <v>173</v>
      </c>
      <c r="D21" s="43" t="s">
        <v>144</v>
      </c>
      <c r="E21" s="44">
        <v>41085</v>
      </c>
      <c r="F21" s="45" t="s">
        <v>130</v>
      </c>
      <c r="G21" s="34">
        <v>0.1</v>
      </c>
      <c r="H21" s="44">
        <v>4108.5</v>
      </c>
    </row>
    <row r="22" spans="1:15" ht="16.5" thickBot="1" x14ac:dyDescent="0.3">
      <c r="A22" s="42">
        <v>45485</v>
      </c>
      <c r="B22" s="43" t="s">
        <v>139</v>
      </c>
      <c r="C22" s="43" t="s">
        <v>174</v>
      </c>
      <c r="D22" s="43" t="s">
        <v>144</v>
      </c>
      <c r="E22" s="44">
        <v>33132</v>
      </c>
      <c r="F22" s="45" t="s">
        <v>130</v>
      </c>
      <c r="G22" s="34">
        <v>0.1</v>
      </c>
      <c r="H22" s="44">
        <v>3313.2000000000003</v>
      </c>
      <c r="K22" s="123" t="s">
        <v>205</v>
      </c>
      <c r="L22" s="124"/>
      <c r="N22" s="125" t="s">
        <v>205</v>
      </c>
      <c r="O22" s="126"/>
    </row>
    <row r="23" spans="1:15" x14ac:dyDescent="0.25">
      <c r="A23" s="42">
        <v>45489</v>
      </c>
      <c r="B23" s="43" t="s">
        <v>139</v>
      </c>
      <c r="C23" s="43" t="s">
        <v>176</v>
      </c>
      <c r="D23" s="43" t="s">
        <v>144</v>
      </c>
      <c r="E23" s="44">
        <v>25275</v>
      </c>
      <c r="F23" s="45" t="s">
        <v>130</v>
      </c>
      <c r="G23" s="34">
        <v>0.1</v>
      </c>
      <c r="H23" s="44">
        <v>2527.5</v>
      </c>
      <c r="K23" s="7" t="s">
        <v>206</v>
      </c>
      <c r="L23" s="84"/>
      <c r="N23" s="48" t="s">
        <v>259</v>
      </c>
      <c r="O23" s="73"/>
    </row>
    <row r="24" spans="1:15" ht="15.75" thickBot="1" x14ac:dyDescent="0.3">
      <c r="A24" s="42">
        <v>45505</v>
      </c>
      <c r="B24" s="43" t="s">
        <v>139</v>
      </c>
      <c r="C24" s="43" t="s">
        <v>173</v>
      </c>
      <c r="D24" s="43" t="s">
        <v>141</v>
      </c>
      <c r="E24" s="44">
        <v>43170</v>
      </c>
      <c r="F24" s="45" t="s">
        <v>114</v>
      </c>
      <c r="G24" s="34">
        <v>0.1</v>
      </c>
      <c r="H24" s="44">
        <v>4317</v>
      </c>
      <c r="K24" s="9" t="s">
        <v>180</v>
      </c>
      <c r="L24" s="85"/>
      <c r="N24" s="9" t="s">
        <v>263</v>
      </c>
      <c r="O24" s="85"/>
    </row>
    <row r="25" spans="1:15" x14ac:dyDescent="0.25">
      <c r="A25" s="42">
        <v>45529</v>
      </c>
      <c r="B25" s="43" t="s">
        <v>139</v>
      </c>
      <c r="C25" s="43" t="s">
        <v>177</v>
      </c>
      <c r="D25" s="43" t="s">
        <v>144</v>
      </c>
      <c r="E25" s="44">
        <v>17972</v>
      </c>
      <c r="F25" s="45" t="s">
        <v>114</v>
      </c>
      <c r="G25" s="34">
        <v>0.1</v>
      </c>
      <c r="H25" s="44">
        <v>1797.2</v>
      </c>
    </row>
    <row r="26" spans="1:15" x14ac:dyDescent="0.25">
      <c r="A26" s="42">
        <v>45533</v>
      </c>
      <c r="B26" s="43" t="s">
        <v>139</v>
      </c>
      <c r="C26" s="43" t="s">
        <v>178</v>
      </c>
      <c r="D26" s="43" t="s">
        <v>146</v>
      </c>
      <c r="E26" s="44">
        <v>35948</v>
      </c>
      <c r="F26" s="45" t="s">
        <v>114</v>
      </c>
      <c r="G26" s="34">
        <v>0.1</v>
      </c>
      <c r="H26" s="44">
        <v>3594.8</v>
      </c>
    </row>
    <row r="27" spans="1:15" x14ac:dyDescent="0.25">
      <c r="A27" s="42">
        <v>45537</v>
      </c>
      <c r="B27" s="43" t="s">
        <v>139</v>
      </c>
      <c r="C27" s="43" t="s">
        <v>179</v>
      </c>
      <c r="D27" s="43" t="s">
        <v>146</v>
      </c>
      <c r="E27" s="44">
        <v>9284</v>
      </c>
      <c r="F27" s="45" t="s">
        <v>124</v>
      </c>
      <c r="G27" s="34">
        <v>7.0000000000000007E-2</v>
      </c>
      <c r="H27" s="44">
        <v>649.88000000000011</v>
      </c>
    </row>
    <row r="28" spans="1:15" x14ac:dyDescent="0.25">
      <c r="A28" s="42">
        <v>45541</v>
      </c>
      <c r="B28" s="43" t="s">
        <v>139</v>
      </c>
      <c r="C28" s="43" t="s">
        <v>179</v>
      </c>
      <c r="D28" s="43" t="s">
        <v>144</v>
      </c>
      <c r="E28" s="44">
        <v>9337</v>
      </c>
      <c r="F28" s="45" t="s">
        <v>124</v>
      </c>
      <c r="G28" s="34">
        <v>7.0000000000000007E-2</v>
      </c>
      <c r="H28" s="44">
        <v>653.59</v>
      </c>
    </row>
    <row r="29" spans="1:15" x14ac:dyDescent="0.25">
      <c r="A29" s="42">
        <v>45553</v>
      </c>
      <c r="B29" s="43" t="s">
        <v>139</v>
      </c>
      <c r="C29" s="43" t="s">
        <v>143</v>
      </c>
      <c r="D29" s="43" t="s">
        <v>141</v>
      </c>
      <c r="E29" s="44">
        <v>18874</v>
      </c>
      <c r="F29" s="45" t="s">
        <v>114</v>
      </c>
      <c r="G29" s="34">
        <v>0.1</v>
      </c>
      <c r="H29" s="44">
        <v>1887.4</v>
      </c>
    </row>
    <row r="30" spans="1:15" x14ac:dyDescent="0.25">
      <c r="A30" s="42">
        <v>45561</v>
      </c>
      <c r="B30" s="43" t="s">
        <v>139</v>
      </c>
      <c r="C30" s="43" t="s">
        <v>181</v>
      </c>
      <c r="D30" s="43" t="s">
        <v>141</v>
      </c>
      <c r="E30" s="44">
        <v>28935</v>
      </c>
      <c r="F30" s="45" t="s">
        <v>124</v>
      </c>
      <c r="G30" s="34">
        <v>0.1</v>
      </c>
      <c r="H30" s="44">
        <v>2893.5</v>
      </c>
    </row>
    <row r="31" spans="1:15" x14ac:dyDescent="0.25">
      <c r="A31" s="42">
        <v>45577</v>
      </c>
      <c r="B31" s="43" t="s">
        <v>139</v>
      </c>
      <c r="C31" s="43" t="s">
        <v>182</v>
      </c>
      <c r="D31" s="43" t="s">
        <v>144</v>
      </c>
      <c r="E31" s="44">
        <v>39944</v>
      </c>
      <c r="F31" s="45" t="s">
        <v>114</v>
      </c>
      <c r="G31" s="34">
        <v>0.1</v>
      </c>
      <c r="H31" s="44">
        <v>3994.4</v>
      </c>
      <c r="L31" s="32"/>
    </row>
    <row r="32" spans="1:15" x14ac:dyDescent="0.25">
      <c r="A32" s="42">
        <v>45581</v>
      </c>
      <c r="B32" s="43" t="s">
        <v>139</v>
      </c>
      <c r="C32" s="43" t="s">
        <v>183</v>
      </c>
      <c r="D32" s="43" t="s">
        <v>141</v>
      </c>
      <c r="E32" s="44">
        <v>20246</v>
      </c>
      <c r="F32" s="45" t="s">
        <v>130</v>
      </c>
      <c r="G32" s="34">
        <v>0.1</v>
      </c>
      <c r="H32" s="44">
        <v>2024.6</v>
      </c>
      <c r="L32" s="32"/>
    </row>
    <row r="33" spans="1:8" x14ac:dyDescent="0.25">
      <c r="A33" s="42">
        <v>45597</v>
      </c>
      <c r="B33" s="43" t="s">
        <v>139</v>
      </c>
      <c r="C33" s="43" t="s">
        <v>164</v>
      </c>
      <c r="D33" s="43" t="s">
        <v>141</v>
      </c>
      <c r="E33" s="44">
        <v>30555</v>
      </c>
      <c r="F33" s="45" t="s">
        <v>130</v>
      </c>
      <c r="G33" s="34">
        <v>0.1</v>
      </c>
      <c r="H33" s="44">
        <v>3055.5</v>
      </c>
    </row>
    <row r="34" spans="1:8" x14ac:dyDescent="0.25">
      <c r="A34" s="42">
        <v>45613</v>
      </c>
      <c r="B34" s="43" t="s">
        <v>139</v>
      </c>
      <c r="C34" s="43" t="s">
        <v>184</v>
      </c>
      <c r="D34" s="43" t="s">
        <v>144</v>
      </c>
      <c r="E34" s="44">
        <v>42148</v>
      </c>
      <c r="F34" s="45" t="s">
        <v>124</v>
      </c>
      <c r="G34" s="34">
        <v>0.1</v>
      </c>
      <c r="H34" s="44">
        <v>4214.8</v>
      </c>
    </row>
    <row r="35" spans="1:8" x14ac:dyDescent="0.25">
      <c r="A35" s="42">
        <v>45621</v>
      </c>
      <c r="B35" s="43" t="s">
        <v>139</v>
      </c>
      <c r="C35" s="43" t="s">
        <v>149</v>
      </c>
      <c r="D35" s="43" t="s">
        <v>144</v>
      </c>
      <c r="E35" s="44">
        <v>10736</v>
      </c>
      <c r="F35" s="45" t="s">
        <v>124</v>
      </c>
      <c r="G35" s="34">
        <v>0.1</v>
      </c>
      <c r="H35" s="44">
        <v>1073.6000000000001</v>
      </c>
    </row>
    <row r="36" spans="1:8" x14ac:dyDescent="0.25">
      <c r="A36" s="42">
        <v>45629</v>
      </c>
      <c r="B36" s="43" t="s">
        <v>139</v>
      </c>
      <c r="C36" s="43" t="s">
        <v>185</v>
      </c>
      <c r="D36" s="43" t="s">
        <v>146</v>
      </c>
      <c r="E36" s="44">
        <v>32967</v>
      </c>
      <c r="F36" s="45" t="s">
        <v>114</v>
      </c>
      <c r="G36" s="34">
        <v>0.1</v>
      </c>
      <c r="H36" s="44">
        <v>3296.7000000000003</v>
      </c>
    </row>
    <row r="37" spans="1:8" x14ac:dyDescent="0.25">
      <c r="A37" s="42">
        <v>45653</v>
      </c>
      <c r="B37" s="43" t="s">
        <v>139</v>
      </c>
      <c r="C37" s="43" t="s">
        <v>169</v>
      </c>
      <c r="D37" s="43" t="s">
        <v>146</v>
      </c>
      <c r="E37" s="44">
        <v>44744</v>
      </c>
      <c r="F37" s="45" t="s">
        <v>124</v>
      </c>
      <c r="G37" s="34">
        <v>0.1</v>
      </c>
      <c r="H37" s="44">
        <v>4474.4000000000005</v>
      </c>
    </row>
    <row r="38" spans="1:8" x14ac:dyDescent="0.25">
      <c r="A38" s="42">
        <v>45657</v>
      </c>
      <c r="B38" s="43" t="s">
        <v>139</v>
      </c>
      <c r="C38" s="43" t="s">
        <v>186</v>
      </c>
      <c r="D38" s="43" t="s">
        <v>144</v>
      </c>
      <c r="E38" s="44">
        <v>34317</v>
      </c>
      <c r="F38" s="45" t="s">
        <v>114</v>
      </c>
      <c r="G38" s="34">
        <v>0.1</v>
      </c>
      <c r="H38" s="44">
        <v>3431.7000000000003</v>
      </c>
    </row>
    <row r="39" spans="1:8" x14ac:dyDescent="0.25">
      <c r="A39" s="42">
        <v>44938</v>
      </c>
      <c r="B39" s="43" t="s">
        <v>139</v>
      </c>
      <c r="C39" s="43" t="s">
        <v>187</v>
      </c>
      <c r="D39" s="43" t="s">
        <v>144</v>
      </c>
      <c r="E39" s="44">
        <v>9989</v>
      </c>
      <c r="F39" s="45" t="s">
        <v>114</v>
      </c>
      <c r="G39" s="34">
        <v>7.0000000000000007E-2</v>
      </c>
      <c r="H39" s="44">
        <v>699.23</v>
      </c>
    </row>
    <row r="40" spans="1:8" x14ac:dyDescent="0.25">
      <c r="A40" s="42">
        <v>44942</v>
      </c>
      <c r="B40" s="43" t="s">
        <v>139</v>
      </c>
      <c r="C40" s="43" t="s">
        <v>184</v>
      </c>
      <c r="D40" s="43" t="s">
        <v>141</v>
      </c>
      <c r="E40" s="44">
        <v>50280</v>
      </c>
      <c r="F40" s="45" t="s">
        <v>130</v>
      </c>
      <c r="G40" s="34">
        <v>0.1</v>
      </c>
      <c r="H40" s="44">
        <v>5028</v>
      </c>
    </row>
    <row r="41" spans="1:8" x14ac:dyDescent="0.25">
      <c r="A41" s="42">
        <v>44958</v>
      </c>
      <c r="B41" s="43" t="s">
        <v>139</v>
      </c>
      <c r="C41" s="43" t="s">
        <v>188</v>
      </c>
      <c r="D41" s="43" t="s">
        <v>141</v>
      </c>
      <c r="E41" s="44">
        <v>20376</v>
      </c>
      <c r="F41" s="45" t="s">
        <v>130</v>
      </c>
      <c r="G41" s="34">
        <v>0.1</v>
      </c>
      <c r="H41" s="44">
        <v>2037.6000000000001</v>
      </c>
    </row>
    <row r="42" spans="1:8" x14ac:dyDescent="0.25">
      <c r="A42" s="42">
        <v>44974</v>
      </c>
      <c r="B42" s="43" t="s">
        <v>139</v>
      </c>
      <c r="C42" s="43" t="s">
        <v>173</v>
      </c>
      <c r="D42" s="43" t="s">
        <v>144</v>
      </c>
      <c r="E42" s="44">
        <v>31620</v>
      </c>
      <c r="F42" s="45" t="s">
        <v>124</v>
      </c>
      <c r="G42" s="34">
        <v>0.1</v>
      </c>
      <c r="H42" s="44">
        <v>3162</v>
      </c>
    </row>
    <row r="43" spans="1:8" x14ac:dyDescent="0.25">
      <c r="A43" s="42">
        <v>44982</v>
      </c>
      <c r="B43" s="43" t="s">
        <v>139</v>
      </c>
      <c r="C43" s="43" t="s">
        <v>142</v>
      </c>
      <c r="D43" s="43" t="s">
        <v>141</v>
      </c>
      <c r="E43" s="44">
        <v>2416</v>
      </c>
      <c r="F43" s="45" t="s">
        <v>130</v>
      </c>
      <c r="G43" s="34">
        <v>0.02</v>
      </c>
      <c r="H43" s="44">
        <v>48.32</v>
      </c>
    </row>
    <row r="44" spans="1:8" x14ac:dyDescent="0.25">
      <c r="A44" s="42">
        <v>44986</v>
      </c>
      <c r="B44" s="43" t="s">
        <v>139</v>
      </c>
      <c r="C44" s="43" t="s">
        <v>159</v>
      </c>
      <c r="D44" s="43" t="s">
        <v>141</v>
      </c>
      <c r="E44" s="44">
        <v>1881</v>
      </c>
      <c r="F44" s="45" t="s">
        <v>124</v>
      </c>
      <c r="G44" s="34">
        <v>0.02</v>
      </c>
      <c r="H44" s="44">
        <v>37.619999999999997</v>
      </c>
    </row>
    <row r="45" spans="1:8" x14ac:dyDescent="0.25">
      <c r="A45" s="42">
        <v>44994</v>
      </c>
      <c r="B45" s="43" t="s">
        <v>139</v>
      </c>
      <c r="C45" s="43" t="s">
        <v>188</v>
      </c>
      <c r="D45" s="43" t="s">
        <v>144</v>
      </c>
      <c r="E45" s="44">
        <v>5012</v>
      </c>
      <c r="F45" s="45" t="s">
        <v>130</v>
      </c>
      <c r="G45" s="34">
        <v>0.05</v>
      </c>
      <c r="H45" s="44">
        <v>250.60000000000002</v>
      </c>
    </row>
    <row r="46" spans="1:8" x14ac:dyDescent="0.25">
      <c r="A46" s="42">
        <v>45002</v>
      </c>
      <c r="B46" s="43" t="s">
        <v>139</v>
      </c>
      <c r="C46" s="43" t="s">
        <v>148</v>
      </c>
      <c r="D46" s="43" t="s">
        <v>146</v>
      </c>
      <c r="E46" s="44">
        <v>8096</v>
      </c>
      <c r="F46" s="45" t="s">
        <v>114</v>
      </c>
      <c r="G46" s="34">
        <v>7.0000000000000007E-2</v>
      </c>
      <c r="H46" s="44">
        <v>566.72</v>
      </c>
    </row>
    <row r="47" spans="1:8" x14ac:dyDescent="0.25">
      <c r="A47" s="42">
        <v>45018</v>
      </c>
      <c r="B47" s="43" t="s">
        <v>139</v>
      </c>
      <c r="C47" s="43" t="s">
        <v>189</v>
      </c>
      <c r="D47" s="43" t="s">
        <v>141</v>
      </c>
      <c r="E47" s="44">
        <v>2424</v>
      </c>
      <c r="F47" s="45" t="s">
        <v>124</v>
      </c>
      <c r="G47" s="34">
        <v>0.02</v>
      </c>
      <c r="H47" s="44">
        <v>48.480000000000004</v>
      </c>
    </row>
    <row r="48" spans="1:8" x14ac:dyDescent="0.25">
      <c r="A48" s="42">
        <v>45030</v>
      </c>
      <c r="B48" s="43" t="s">
        <v>139</v>
      </c>
      <c r="C48" s="43" t="s">
        <v>149</v>
      </c>
      <c r="D48" s="43" t="s">
        <v>141</v>
      </c>
      <c r="E48" s="44">
        <v>3151</v>
      </c>
      <c r="F48" s="45" t="s">
        <v>124</v>
      </c>
      <c r="G48" s="34">
        <v>0.02</v>
      </c>
      <c r="H48" s="44">
        <v>63.02</v>
      </c>
    </row>
    <row r="49" spans="1:8" x14ac:dyDescent="0.25">
      <c r="A49" s="42">
        <v>45034</v>
      </c>
      <c r="B49" s="43" t="s">
        <v>139</v>
      </c>
      <c r="C49" s="43" t="s">
        <v>152</v>
      </c>
      <c r="D49" s="43" t="s">
        <v>141</v>
      </c>
      <c r="E49" s="44">
        <v>6452</v>
      </c>
      <c r="F49" s="45" t="s">
        <v>124</v>
      </c>
      <c r="G49" s="34">
        <v>0.05</v>
      </c>
      <c r="H49" s="44">
        <v>322.60000000000002</v>
      </c>
    </row>
    <row r="50" spans="1:8" x14ac:dyDescent="0.25">
      <c r="A50" s="42">
        <v>45062</v>
      </c>
      <c r="B50" s="43" t="s">
        <v>139</v>
      </c>
      <c r="C50" s="43" t="s">
        <v>149</v>
      </c>
      <c r="D50" s="43" t="s">
        <v>144</v>
      </c>
      <c r="E50" s="44">
        <v>13278</v>
      </c>
      <c r="F50" s="45" t="s">
        <v>114</v>
      </c>
      <c r="G50" s="34">
        <v>0.1</v>
      </c>
      <c r="H50" s="44">
        <v>1327.8000000000002</v>
      </c>
    </row>
    <row r="51" spans="1:8" x14ac:dyDescent="0.25">
      <c r="A51" s="42">
        <v>45070</v>
      </c>
      <c r="B51" s="43" t="s">
        <v>139</v>
      </c>
      <c r="C51" s="43" t="s">
        <v>157</v>
      </c>
      <c r="D51" s="43" t="s">
        <v>144</v>
      </c>
      <c r="E51" s="44">
        <v>23010</v>
      </c>
      <c r="F51" s="45" t="s">
        <v>130</v>
      </c>
      <c r="G51" s="34">
        <v>0.1</v>
      </c>
      <c r="H51" s="44">
        <v>2301</v>
      </c>
    </row>
    <row r="52" spans="1:8" x14ac:dyDescent="0.25">
      <c r="A52" s="42">
        <v>45086</v>
      </c>
      <c r="B52" s="43" t="s">
        <v>139</v>
      </c>
      <c r="C52" s="43" t="s">
        <v>159</v>
      </c>
      <c r="D52" s="43" t="s">
        <v>146</v>
      </c>
      <c r="E52" s="44">
        <v>25975</v>
      </c>
      <c r="F52" s="45" t="s">
        <v>130</v>
      </c>
      <c r="G52" s="34">
        <v>0.1</v>
      </c>
      <c r="H52" s="44">
        <v>2597.5</v>
      </c>
    </row>
    <row r="53" spans="1:8" x14ac:dyDescent="0.25">
      <c r="A53" s="42">
        <v>45090</v>
      </c>
      <c r="B53" s="43" t="s">
        <v>139</v>
      </c>
      <c r="C53" s="43" t="s">
        <v>160</v>
      </c>
      <c r="D53" s="43" t="s">
        <v>146</v>
      </c>
      <c r="E53" s="44">
        <v>10522</v>
      </c>
      <c r="F53" s="45" t="s">
        <v>124</v>
      </c>
      <c r="G53" s="34">
        <v>0.1</v>
      </c>
      <c r="H53" s="44">
        <v>1052.2</v>
      </c>
    </row>
    <row r="54" spans="1:8" x14ac:dyDescent="0.25">
      <c r="A54" s="42">
        <v>45094</v>
      </c>
      <c r="B54" s="43" t="s">
        <v>139</v>
      </c>
      <c r="C54" s="43" t="s">
        <v>163</v>
      </c>
      <c r="D54" s="43" t="s">
        <v>146</v>
      </c>
      <c r="E54" s="44">
        <v>27080</v>
      </c>
      <c r="F54" s="45" t="s">
        <v>124</v>
      </c>
      <c r="G54" s="34">
        <v>0.1</v>
      </c>
      <c r="H54" s="44">
        <v>2708</v>
      </c>
    </row>
    <row r="55" spans="1:8" x14ac:dyDescent="0.25">
      <c r="A55" s="42">
        <v>45098</v>
      </c>
      <c r="B55" s="43" t="s">
        <v>139</v>
      </c>
      <c r="C55" s="43" t="s">
        <v>148</v>
      </c>
      <c r="D55" s="43" t="s">
        <v>146</v>
      </c>
      <c r="E55" s="44">
        <v>21708</v>
      </c>
      <c r="F55" s="45" t="s">
        <v>114</v>
      </c>
      <c r="G55" s="34">
        <v>0.1</v>
      </c>
      <c r="H55" s="44">
        <v>2170.8000000000002</v>
      </c>
    </row>
    <row r="56" spans="1:8" x14ac:dyDescent="0.25">
      <c r="A56" s="42">
        <v>45102</v>
      </c>
      <c r="B56" s="43" t="s">
        <v>139</v>
      </c>
      <c r="C56" s="43" t="s">
        <v>164</v>
      </c>
      <c r="D56" s="43" t="s">
        <v>146</v>
      </c>
      <c r="E56" s="44">
        <v>17835</v>
      </c>
      <c r="F56" s="45" t="s">
        <v>124</v>
      </c>
      <c r="G56" s="34">
        <v>0.1</v>
      </c>
      <c r="H56" s="44">
        <v>1783.5</v>
      </c>
    </row>
    <row r="57" spans="1:8" x14ac:dyDescent="0.25">
      <c r="A57" s="42">
        <v>45106</v>
      </c>
      <c r="B57" s="43" t="s">
        <v>139</v>
      </c>
      <c r="C57" s="43" t="s">
        <v>165</v>
      </c>
      <c r="D57" s="43" t="s">
        <v>146</v>
      </c>
      <c r="E57" s="44">
        <v>30055</v>
      </c>
      <c r="F57" s="45" t="s">
        <v>130</v>
      </c>
      <c r="G57" s="34">
        <v>0.1</v>
      </c>
      <c r="H57" s="44">
        <v>3005.5</v>
      </c>
    </row>
    <row r="58" spans="1:8" x14ac:dyDescent="0.25">
      <c r="A58" s="42">
        <v>45114</v>
      </c>
      <c r="B58" s="43" t="s">
        <v>139</v>
      </c>
      <c r="C58" s="43" t="s">
        <v>166</v>
      </c>
      <c r="D58" s="43" t="s">
        <v>146</v>
      </c>
      <c r="E58" s="44">
        <v>25844</v>
      </c>
      <c r="F58" s="45" t="s">
        <v>114</v>
      </c>
      <c r="G58" s="34">
        <v>0.1</v>
      </c>
      <c r="H58" s="44">
        <v>2584.4</v>
      </c>
    </row>
    <row r="59" spans="1:8" x14ac:dyDescent="0.25">
      <c r="A59" s="42">
        <v>45118</v>
      </c>
      <c r="B59" s="43" t="s">
        <v>139</v>
      </c>
      <c r="C59" s="43" t="s">
        <v>167</v>
      </c>
      <c r="D59" s="43" t="s">
        <v>146</v>
      </c>
      <c r="E59" s="44">
        <v>35720</v>
      </c>
      <c r="F59" s="45" t="s">
        <v>130</v>
      </c>
      <c r="G59" s="34">
        <v>0.1</v>
      </c>
      <c r="H59" s="44">
        <v>3572</v>
      </c>
    </row>
    <row r="60" spans="1:8" x14ac:dyDescent="0.25">
      <c r="A60" s="42">
        <v>45122</v>
      </c>
      <c r="B60" s="43" t="s">
        <v>139</v>
      </c>
      <c r="C60" s="43" t="s">
        <v>169</v>
      </c>
      <c r="D60" s="43" t="s">
        <v>146</v>
      </c>
      <c r="E60" s="44">
        <v>14350</v>
      </c>
      <c r="F60" s="45" t="s">
        <v>124</v>
      </c>
      <c r="G60" s="34">
        <v>0.1</v>
      </c>
      <c r="H60" s="44">
        <v>1435</v>
      </c>
    </row>
    <row r="61" spans="1:8" x14ac:dyDescent="0.25">
      <c r="A61" s="42">
        <v>45134</v>
      </c>
      <c r="B61" s="43" t="s">
        <v>139</v>
      </c>
      <c r="C61" s="43" t="s">
        <v>171</v>
      </c>
      <c r="D61" s="43" t="s">
        <v>146</v>
      </c>
      <c r="E61" s="44">
        <v>15188</v>
      </c>
      <c r="F61" s="45" t="s">
        <v>130</v>
      </c>
      <c r="G61" s="34">
        <v>0.1</v>
      </c>
      <c r="H61" s="44">
        <v>1518.8000000000002</v>
      </c>
    </row>
    <row r="62" spans="1:8" x14ac:dyDescent="0.25">
      <c r="A62" s="42">
        <v>45214</v>
      </c>
      <c r="B62" s="43" t="s">
        <v>139</v>
      </c>
      <c r="C62" s="43" t="s">
        <v>143</v>
      </c>
      <c r="D62" s="43" t="s">
        <v>144</v>
      </c>
      <c r="E62" s="44">
        <v>35744</v>
      </c>
      <c r="F62" s="45" t="s">
        <v>124</v>
      </c>
      <c r="G62" s="34">
        <v>0.1</v>
      </c>
      <c r="H62" s="44">
        <v>3574.4</v>
      </c>
    </row>
    <row r="63" spans="1:8" x14ac:dyDescent="0.25">
      <c r="A63" s="42">
        <v>45218</v>
      </c>
      <c r="B63" s="43" t="s">
        <v>139</v>
      </c>
      <c r="C63" s="43" t="s">
        <v>190</v>
      </c>
      <c r="D63" s="43" t="s">
        <v>146</v>
      </c>
      <c r="E63" s="44">
        <v>17874</v>
      </c>
      <c r="F63" s="45" t="s">
        <v>124</v>
      </c>
      <c r="G63" s="34">
        <v>0.1</v>
      </c>
      <c r="H63" s="44">
        <v>1787.4</v>
      </c>
    </row>
    <row r="64" spans="1:8" x14ac:dyDescent="0.25">
      <c r="A64" s="42">
        <v>45222</v>
      </c>
      <c r="B64" s="43" t="s">
        <v>139</v>
      </c>
      <c r="C64" s="43" t="s">
        <v>181</v>
      </c>
      <c r="D64" s="43" t="s">
        <v>146</v>
      </c>
      <c r="E64" s="44">
        <v>27702</v>
      </c>
      <c r="F64" s="45" t="s">
        <v>130</v>
      </c>
      <c r="G64" s="34">
        <v>0.1</v>
      </c>
      <c r="H64" s="44">
        <v>2770.2000000000003</v>
      </c>
    </row>
    <row r="65" spans="1:8" x14ac:dyDescent="0.25">
      <c r="A65" s="42">
        <v>45226</v>
      </c>
      <c r="B65" s="43" t="s">
        <v>139</v>
      </c>
      <c r="C65" s="43" t="s">
        <v>176</v>
      </c>
      <c r="D65" s="43" t="s">
        <v>144</v>
      </c>
      <c r="E65" s="44">
        <v>46435</v>
      </c>
      <c r="F65" s="45" t="s">
        <v>130</v>
      </c>
      <c r="G65" s="34">
        <v>0.1</v>
      </c>
      <c r="H65" s="44">
        <v>4643.5</v>
      </c>
    </row>
    <row r="66" spans="1:8" x14ac:dyDescent="0.25">
      <c r="A66" s="42">
        <v>45230</v>
      </c>
      <c r="B66" s="43" t="s">
        <v>139</v>
      </c>
      <c r="C66" s="43" t="s">
        <v>191</v>
      </c>
      <c r="D66" s="43" t="s">
        <v>141</v>
      </c>
      <c r="E66" s="44">
        <v>9342</v>
      </c>
      <c r="F66" s="45" t="s">
        <v>130</v>
      </c>
      <c r="G66" s="34">
        <v>7.0000000000000007E-2</v>
      </c>
      <c r="H66" s="44">
        <v>653.94000000000005</v>
      </c>
    </row>
    <row r="67" spans="1:8" x14ac:dyDescent="0.25">
      <c r="A67" s="42">
        <v>45234</v>
      </c>
      <c r="B67" s="43" t="s">
        <v>139</v>
      </c>
      <c r="C67" s="43" t="s">
        <v>140</v>
      </c>
      <c r="D67" s="43" t="s">
        <v>146</v>
      </c>
      <c r="E67" s="44">
        <v>37372</v>
      </c>
      <c r="F67" s="45" t="s">
        <v>114</v>
      </c>
      <c r="G67" s="34">
        <v>0.1</v>
      </c>
      <c r="H67" s="44">
        <v>3737.2000000000003</v>
      </c>
    </row>
    <row r="68" spans="1:8" x14ac:dyDescent="0.25">
      <c r="A68" s="42">
        <v>45238</v>
      </c>
      <c r="B68" s="43" t="s">
        <v>139</v>
      </c>
      <c r="C68" s="43" t="s">
        <v>148</v>
      </c>
      <c r="D68" s="43" t="s">
        <v>141</v>
      </c>
      <c r="E68" s="44">
        <v>28161</v>
      </c>
      <c r="F68" s="45" t="s">
        <v>114</v>
      </c>
      <c r="G68" s="34">
        <v>0.1</v>
      </c>
      <c r="H68" s="44">
        <v>2816.1000000000004</v>
      </c>
    </row>
    <row r="69" spans="1:8" x14ac:dyDescent="0.25">
      <c r="A69" s="42">
        <v>45242</v>
      </c>
      <c r="B69" s="43" t="s">
        <v>139</v>
      </c>
      <c r="C69" s="43" t="s">
        <v>192</v>
      </c>
      <c r="D69" s="43" t="s">
        <v>144</v>
      </c>
      <c r="E69" s="44">
        <v>19106</v>
      </c>
      <c r="F69" s="45" t="s">
        <v>114</v>
      </c>
      <c r="G69" s="34">
        <v>0.1</v>
      </c>
      <c r="H69" s="44">
        <v>1910.6000000000001</v>
      </c>
    </row>
    <row r="70" spans="1:8" x14ac:dyDescent="0.25">
      <c r="A70" s="42">
        <v>45246</v>
      </c>
      <c r="B70" s="43" t="s">
        <v>139</v>
      </c>
      <c r="C70" s="43" t="s">
        <v>174</v>
      </c>
      <c r="D70" s="43" t="s">
        <v>141</v>
      </c>
      <c r="E70" s="44">
        <v>28785</v>
      </c>
      <c r="F70" s="45" t="s">
        <v>124</v>
      </c>
      <c r="G70" s="34">
        <v>0.1</v>
      </c>
      <c r="H70" s="44">
        <v>2878.5</v>
      </c>
    </row>
    <row r="71" spans="1:8" x14ac:dyDescent="0.25">
      <c r="A71" s="42">
        <v>45250</v>
      </c>
      <c r="B71" s="43" t="s">
        <v>139</v>
      </c>
      <c r="C71" s="43" t="s">
        <v>193</v>
      </c>
      <c r="D71" s="43" t="s">
        <v>144</v>
      </c>
      <c r="E71" s="44">
        <v>9684</v>
      </c>
      <c r="F71" s="45" t="s">
        <v>124</v>
      </c>
      <c r="G71" s="34">
        <v>7.0000000000000007E-2</v>
      </c>
      <c r="H71" s="44">
        <v>677.88000000000011</v>
      </c>
    </row>
    <row r="72" spans="1:8" x14ac:dyDescent="0.25">
      <c r="A72" s="42">
        <v>45262</v>
      </c>
      <c r="B72" s="43" t="s">
        <v>139</v>
      </c>
      <c r="C72" s="43" t="s">
        <v>169</v>
      </c>
      <c r="D72" s="43" t="s">
        <v>146</v>
      </c>
      <c r="E72" s="44">
        <v>16812</v>
      </c>
      <c r="F72" s="45" t="s">
        <v>114</v>
      </c>
      <c r="G72" s="34">
        <v>0.1</v>
      </c>
      <c r="H72" s="44">
        <v>1681.2</v>
      </c>
    </row>
    <row r="73" spans="1:8" x14ac:dyDescent="0.25">
      <c r="A73" s="42">
        <v>45266</v>
      </c>
      <c r="B73" s="43" t="s">
        <v>139</v>
      </c>
      <c r="C73" s="43" t="s">
        <v>167</v>
      </c>
      <c r="D73" s="43" t="s">
        <v>146</v>
      </c>
      <c r="E73" s="44">
        <v>5627</v>
      </c>
      <c r="F73" s="45" t="s">
        <v>124</v>
      </c>
      <c r="G73" s="34">
        <v>0.05</v>
      </c>
      <c r="H73" s="44">
        <v>281.35000000000002</v>
      </c>
    </row>
    <row r="74" spans="1:8" x14ac:dyDescent="0.25">
      <c r="A74" s="42">
        <v>45274</v>
      </c>
      <c r="B74" s="43" t="s">
        <v>139</v>
      </c>
      <c r="C74" s="43" t="s">
        <v>166</v>
      </c>
      <c r="D74" s="43" t="s">
        <v>146</v>
      </c>
      <c r="E74" s="44">
        <v>12506</v>
      </c>
      <c r="F74" s="45" t="s">
        <v>124</v>
      </c>
      <c r="G74" s="34">
        <v>0.1</v>
      </c>
      <c r="H74" s="44">
        <v>1250.6000000000001</v>
      </c>
    </row>
    <row r="75" spans="1:8" x14ac:dyDescent="0.25">
      <c r="A75" s="42">
        <v>45286</v>
      </c>
      <c r="B75" s="43" t="s">
        <v>139</v>
      </c>
      <c r="C75" s="43" t="s">
        <v>165</v>
      </c>
      <c r="D75" s="43" t="s">
        <v>146</v>
      </c>
      <c r="E75" s="44">
        <v>7024</v>
      </c>
      <c r="F75" s="45" t="s">
        <v>124</v>
      </c>
      <c r="G75" s="34">
        <v>0.05</v>
      </c>
      <c r="H75" s="44">
        <v>351.20000000000005</v>
      </c>
    </row>
    <row r="76" spans="1:8" x14ac:dyDescent="0.25">
      <c r="A76" s="42">
        <v>44572</v>
      </c>
      <c r="B76" s="43" t="s">
        <v>139</v>
      </c>
      <c r="C76" s="43" t="s">
        <v>164</v>
      </c>
      <c r="D76" s="43" t="s">
        <v>146</v>
      </c>
      <c r="E76" s="44">
        <v>29696</v>
      </c>
      <c r="F76" s="45" t="s">
        <v>124</v>
      </c>
      <c r="G76" s="34">
        <v>0.1</v>
      </c>
      <c r="H76" s="44">
        <v>2969.6000000000004</v>
      </c>
    </row>
    <row r="77" spans="1:8" x14ac:dyDescent="0.25">
      <c r="A77" s="42">
        <v>44580</v>
      </c>
      <c r="B77" s="43" t="s">
        <v>139</v>
      </c>
      <c r="C77" s="43" t="s">
        <v>148</v>
      </c>
      <c r="D77" s="43" t="s">
        <v>146</v>
      </c>
      <c r="E77" s="44">
        <v>32604</v>
      </c>
      <c r="F77" s="45" t="s">
        <v>124</v>
      </c>
      <c r="G77" s="34">
        <v>0.1</v>
      </c>
      <c r="H77" s="44">
        <v>3260.4</v>
      </c>
    </row>
    <row r="78" spans="1:8" x14ac:dyDescent="0.25">
      <c r="A78" s="42">
        <v>44584</v>
      </c>
      <c r="B78" s="43" t="s">
        <v>139</v>
      </c>
      <c r="C78" s="43" t="s">
        <v>163</v>
      </c>
      <c r="D78" s="43" t="s">
        <v>146</v>
      </c>
      <c r="E78" s="44">
        <v>41130</v>
      </c>
      <c r="F78" s="45" t="s">
        <v>124</v>
      </c>
      <c r="G78" s="34">
        <v>0.1</v>
      </c>
      <c r="H78" s="44">
        <v>4113</v>
      </c>
    </row>
    <row r="79" spans="1:8" x14ac:dyDescent="0.25">
      <c r="A79" s="42">
        <v>44596</v>
      </c>
      <c r="B79" s="43" t="s">
        <v>139</v>
      </c>
      <c r="C79" s="43" t="s">
        <v>160</v>
      </c>
      <c r="D79" s="43" t="s">
        <v>146</v>
      </c>
      <c r="E79" s="44">
        <v>34404</v>
      </c>
      <c r="F79" s="45" t="s">
        <v>124</v>
      </c>
      <c r="G79" s="34">
        <v>0.1</v>
      </c>
      <c r="H79" s="44">
        <v>3440.4</v>
      </c>
    </row>
    <row r="80" spans="1:8" x14ac:dyDescent="0.25">
      <c r="A80" s="42">
        <v>44600</v>
      </c>
      <c r="B80" s="43" t="s">
        <v>139</v>
      </c>
      <c r="C80" s="43" t="s">
        <v>159</v>
      </c>
      <c r="D80" s="43" t="s">
        <v>146</v>
      </c>
      <c r="E80" s="44">
        <v>35904</v>
      </c>
      <c r="F80" s="45" t="s">
        <v>124</v>
      </c>
      <c r="G80" s="34">
        <v>0.1</v>
      </c>
      <c r="H80" s="44">
        <v>3590.4</v>
      </c>
    </row>
    <row r="81" spans="1:8" x14ac:dyDescent="0.25">
      <c r="A81" s="42">
        <v>44604</v>
      </c>
      <c r="B81" s="43" t="s">
        <v>139</v>
      </c>
      <c r="C81" s="43" t="s">
        <v>157</v>
      </c>
      <c r="D81" s="43" t="s">
        <v>144</v>
      </c>
      <c r="E81" s="44">
        <v>18304</v>
      </c>
      <c r="F81" s="45" t="s">
        <v>124</v>
      </c>
      <c r="G81" s="34">
        <v>0.1</v>
      </c>
      <c r="H81" s="44">
        <v>1830.4</v>
      </c>
    </row>
    <row r="82" spans="1:8" x14ac:dyDescent="0.25">
      <c r="A82" s="42">
        <v>44608</v>
      </c>
      <c r="B82" s="43" t="s">
        <v>139</v>
      </c>
      <c r="C82" s="43" t="s">
        <v>149</v>
      </c>
      <c r="D82" s="43" t="s">
        <v>144</v>
      </c>
      <c r="E82" s="44">
        <v>27681</v>
      </c>
      <c r="F82" s="45" t="s">
        <v>124</v>
      </c>
      <c r="G82" s="34">
        <v>0.1</v>
      </c>
      <c r="H82" s="44">
        <v>2768.1000000000004</v>
      </c>
    </row>
    <row r="83" spans="1:8" x14ac:dyDescent="0.25">
      <c r="A83" s="42">
        <v>44612</v>
      </c>
      <c r="B83" s="43" t="s">
        <v>139</v>
      </c>
      <c r="C83" s="43" t="s">
        <v>152</v>
      </c>
      <c r="D83" s="43" t="s">
        <v>141</v>
      </c>
      <c r="E83" s="44">
        <v>28278</v>
      </c>
      <c r="F83" s="45" t="s">
        <v>124</v>
      </c>
      <c r="G83" s="34">
        <v>0.1</v>
      </c>
      <c r="H83" s="44">
        <v>2827.8</v>
      </c>
    </row>
    <row r="84" spans="1:8" x14ac:dyDescent="0.25">
      <c r="A84" s="42">
        <v>44620</v>
      </c>
      <c r="B84" s="43" t="s">
        <v>139</v>
      </c>
      <c r="C84" s="43" t="s">
        <v>149</v>
      </c>
      <c r="D84" s="43" t="s">
        <v>141</v>
      </c>
      <c r="E84" s="44">
        <v>48010</v>
      </c>
      <c r="F84" s="45" t="s">
        <v>124</v>
      </c>
      <c r="G84" s="34">
        <v>0.1</v>
      </c>
      <c r="H84" s="44">
        <v>4801</v>
      </c>
    </row>
    <row r="85" spans="1:8" x14ac:dyDescent="0.25">
      <c r="A85" s="42">
        <v>44635</v>
      </c>
      <c r="B85" s="43" t="s">
        <v>139</v>
      </c>
      <c r="C85" s="43" t="s">
        <v>189</v>
      </c>
      <c r="D85" s="43" t="s">
        <v>141</v>
      </c>
      <c r="E85" s="44">
        <v>40780</v>
      </c>
      <c r="F85" s="45" t="s">
        <v>124</v>
      </c>
      <c r="G85" s="34">
        <v>0.1</v>
      </c>
      <c r="H85" s="44">
        <v>4078</v>
      </c>
    </row>
    <row r="86" spans="1:8" x14ac:dyDescent="0.25">
      <c r="A86" s="42">
        <v>44639</v>
      </c>
      <c r="B86" s="43" t="s">
        <v>139</v>
      </c>
      <c r="C86" s="43" t="s">
        <v>148</v>
      </c>
      <c r="D86" s="43" t="s">
        <v>146</v>
      </c>
      <c r="E86" s="44">
        <v>41044</v>
      </c>
      <c r="F86" s="45" t="s">
        <v>124</v>
      </c>
      <c r="G86" s="34">
        <v>0.1</v>
      </c>
      <c r="H86" s="44">
        <v>4104.4000000000005</v>
      </c>
    </row>
    <row r="87" spans="1:8" x14ac:dyDescent="0.25">
      <c r="A87" s="42">
        <v>44643</v>
      </c>
      <c r="B87" s="43" t="s">
        <v>139</v>
      </c>
      <c r="C87" s="43" t="s">
        <v>188</v>
      </c>
      <c r="D87" s="43" t="s">
        <v>144</v>
      </c>
      <c r="E87" s="44">
        <v>20832</v>
      </c>
      <c r="F87" s="45" t="s">
        <v>124</v>
      </c>
      <c r="G87" s="34">
        <v>0.1</v>
      </c>
      <c r="H87" s="44">
        <v>2083.2000000000003</v>
      </c>
    </row>
    <row r="88" spans="1:8" x14ac:dyDescent="0.25">
      <c r="A88" s="42">
        <v>44647</v>
      </c>
      <c r="B88" s="43" t="s">
        <v>139</v>
      </c>
      <c r="C88" s="43" t="s">
        <v>159</v>
      </c>
      <c r="D88" s="43" t="s">
        <v>141</v>
      </c>
      <c r="E88" s="44">
        <v>20854</v>
      </c>
      <c r="F88" s="45" t="s">
        <v>124</v>
      </c>
      <c r="G88" s="34">
        <v>0.1</v>
      </c>
      <c r="H88" s="44">
        <v>2085.4</v>
      </c>
    </row>
    <row r="89" spans="1:8" x14ac:dyDescent="0.25">
      <c r="A89" s="42">
        <v>44651</v>
      </c>
      <c r="B89" s="43" t="s">
        <v>139</v>
      </c>
      <c r="C89" s="43" t="s">
        <v>142</v>
      </c>
      <c r="D89" s="43" t="s">
        <v>141</v>
      </c>
      <c r="E89" s="44">
        <v>10945</v>
      </c>
      <c r="F89" s="45" t="s">
        <v>124</v>
      </c>
      <c r="G89" s="34">
        <v>0.1</v>
      </c>
      <c r="H89" s="44">
        <v>1094.5</v>
      </c>
    </row>
    <row r="90" spans="1:8" x14ac:dyDescent="0.25">
      <c r="A90" s="42">
        <v>44655</v>
      </c>
      <c r="B90" s="43" t="s">
        <v>139</v>
      </c>
      <c r="C90" s="43" t="s">
        <v>173</v>
      </c>
      <c r="D90" s="43" t="s">
        <v>144</v>
      </c>
      <c r="E90" s="44">
        <v>5055</v>
      </c>
      <c r="F90" s="45" t="s">
        <v>124</v>
      </c>
      <c r="G90" s="34">
        <v>0.05</v>
      </c>
      <c r="H90" s="44">
        <v>252.75</v>
      </c>
    </row>
    <row r="91" spans="1:8" x14ac:dyDescent="0.25">
      <c r="A91" s="42">
        <v>44659</v>
      </c>
      <c r="B91" s="43" t="s">
        <v>139</v>
      </c>
      <c r="C91" s="43" t="s">
        <v>188</v>
      </c>
      <c r="D91" s="43" t="s">
        <v>141</v>
      </c>
      <c r="E91" s="44">
        <v>1395</v>
      </c>
      <c r="F91" s="45" t="s">
        <v>124</v>
      </c>
      <c r="G91" s="34">
        <v>0.02</v>
      </c>
      <c r="H91" s="44">
        <v>27.900000000000002</v>
      </c>
    </row>
    <row r="92" spans="1:8" x14ac:dyDescent="0.25">
      <c r="A92" s="42">
        <v>44663</v>
      </c>
      <c r="B92" s="43" t="s">
        <v>139</v>
      </c>
      <c r="C92" s="43" t="s">
        <v>184</v>
      </c>
      <c r="D92" s="43" t="s">
        <v>141</v>
      </c>
      <c r="E92" s="44">
        <v>2922</v>
      </c>
      <c r="F92" s="45" t="s">
        <v>124</v>
      </c>
      <c r="G92" s="34">
        <v>0.02</v>
      </c>
      <c r="H92" s="44">
        <v>58.44</v>
      </c>
    </row>
    <row r="93" spans="1:8" x14ac:dyDescent="0.25">
      <c r="A93" s="42">
        <v>44667</v>
      </c>
      <c r="B93" s="43" t="s">
        <v>139</v>
      </c>
      <c r="C93" s="43" t="s">
        <v>187</v>
      </c>
      <c r="D93" s="43" t="s">
        <v>144</v>
      </c>
      <c r="E93" s="44">
        <v>4288</v>
      </c>
      <c r="F93" s="45" t="s">
        <v>124</v>
      </c>
      <c r="G93" s="34">
        <v>0.02</v>
      </c>
      <c r="H93" s="44">
        <v>85.76</v>
      </c>
    </row>
    <row r="94" spans="1:8" x14ac:dyDescent="0.25">
      <c r="A94" s="42">
        <v>44671</v>
      </c>
      <c r="B94" s="43" t="s">
        <v>139</v>
      </c>
      <c r="C94" s="43" t="s">
        <v>186</v>
      </c>
      <c r="D94" s="43" t="s">
        <v>144</v>
      </c>
      <c r="E94" s="44">
        <v>8700</v>
      </c>
      <c r="F94" s="45" t="s">
        <v>124</v>
      </c>
      <c r="G94" s="34">
        <v>7.0000000000000007E-2</v>
      </c>
      <c r="H94" s="44">
        <v>609.00000000000011</v>
      </c>
    </row>
    <row r="95" spans="1:8" x14ac:dyDescent="0.25">
      <c r="A95" s="42">
        <v>44679</v>
      </c>
      <c r="B95" s="43" t="s">
        <v>139</v>
      </c>
      <c r="C95" s="43" t="s">
        <v>169</v>
      </c>
      <c r="D95" s="43" t="s">
        <v>146</v>
      </c>
      <c r="E95" s="44">
        <v>4966</v>
      </c>
      <c r="F95" s="45" t="s">
        <v>124</v>
      </c>
      <c r="G95" s="34">
        <v>0.02</v>
      </c>
      <c r="H95" s="44">
        <v>99.320000000000007</v>
      </c>
    </row>
    <row r="96" spans="1:8" x14ac:dyDescent="0.25">
      <c r="A96" s="42">
        <v>44683</v>
      </c>
      <c r="B96" s="43" t="s">
        <v>139</v>
      </c>
      <c r="C96" s="43" t="s">
        <v>171</v>
      </c>
      <c r="D96" s="43" t="s">
        <v>146</v>
      </c>
      <c r="E96" s="44">
        <v>2594</v>
      </c>
      <c r="F96" s="45" t="s">
        <v>114</v>
      </c>
      <c r="G96" s="34">
        <v>0.02</v>
      </c>
      <c r="H96" s="44">
        <v>51.88</v>
      </c>
    </row>
    <row r="97" spans="1:8" x14ac:dyDescent="0.25">
      <c r="A97" s="42">
        <v>44691</v>
      </c>
      <c r="B97" s="43" t="s">
        <v>139</v>
      </c>
      <c r="C97" s="43" t="s">
        <v>185</v>
      </c>
      <c r="D97" s="43" t="s">
        <v>146</v>
      </c>
      <c r="E97" s="44">
        <v>11700</v>
      </c>
      <c r="F97" s="45" t="s">
        <v>130</v>
      </c>
      <c r="G97" s="34">
        <v>0.1</v>
      </c>
      <c r="H97" s="44">
        <v>1170</v>
      </c>
    </row>
    <row r="98" spans="1:8" x14ac:dyDescent="0.25">
      <c r="A98" s="42">
        <v>44695</v>
      </c>
      <c r="B98" s="43" t="s">
        <v>139</v>
      </c>
      <c r="C98" s="43" t="s">
        <v>149</v>
      </c>
      <c r="D98" s="43" t="s">
        <v>144</v>
      </c>
      <c r="E98" s="44">
        <v>15010</v>
      </c>
      <c r="F98" s="45" t="s">
        <v>130</v>
      </c>
      <c r="G98" s="34">
        <v>0.1</v>
      </c>
      <c r="H98" s="44">
        <v>1501</v>
      </c>
    </row>
    <row r="99" spans="1:8" x14ac:dyDescent="0.25">
      <c r="A99" s="42">
        <v>44747</v>
      </c>
      <c r="B99" s="43" t="s">
        <v>139</v>
      </c>
      <c r="C99" s="43" t="s">
        <v>184</v>
      </c>
      <c r="D99" s="43" t="s">
        <v>144</v>
      </c>
      <c r="E99" s="44">
        <v>7366</v>
      </c>
      <c r="F99" s="45" t="s">
        <v>130</v>
      </c>
      <c r="G99" s="34">
        <v>0.05</v>
      </c>
      <c r="H99" s="44">
        <v>368.3</v>
      </c>
    </row>
    <row r="100" spans="1:8" x14ac:dyDescent="0.25">
      <c r="A100" s="42">
        <v>44763</v>
      </c>
      <c r="B100" s="43" t="s">
        <v>139</v>
      </c>
      <c r="C100" s="43" t="s">
        <v>143</v>
      </c>
      <c r="D100" s="43" t="s">
        <v>144</v>
      </c>
      <c r="E100" s="44">
        <v>19680</v>
      </c>
      <c r="F100" s="45" t="s">
        <v>114</v>
      </c>
      <c r="G100" s="34">
        <v>0.1</v>
      </c>
      <c r="H100" s="44">
        <v>1968</v>
      </c>
    </row>
    <row r="101" spans="1:8" x14ac:dyDescent="0.25">
      <c r="A101" s="42">
        <v>44767</v>
      </c>
      <c r="B101" s="43" t="s">
        <v>139</v>
      </c>
      <c r="C101" s="43" t="s">
        <v>190</v>
      </c>
      <c r="D101" s="43" t="s">
        <v>146</v>
      </c>
      <c r="E101" s="44">
        <v>19685</v>
      </c>
      <c r="F101" s="45" t="s">
        <v>114</v>
      </c>
      <c r="G101" s="34">
        <v>0.1</v>
      </c>
      <c r="H101" s="44">
        <v>1968.5</v>
      </c>
    </row>
    <row r="102" spans="1:8" x14ac:dyDescent="0.25">
      <c r="A102" s="42">
        <v>44771</v>
      </c>
      <c r="B102" s="43" t="s">
        <v>139</v>
      </c>
      <c r="C102" s="43" t="s">
        <v>181</v>
      </c>
      <c r="D102" s="43" t="s">
        <v>146</v>
      </c>
      <c r="E102" s="44">
        <v>8468</v>
      </c>
      <c r="F102" s="45" t="s">
        <v>114</v>
      </c>
      <c r="G102" s="34">
        <v>7.0000000000000007E-2</v>
      </c>
      <c r="H102" s="44">
        <v>592.7600000000001</v>
      </c>
    </row>
    <row r="103" spans="1:8" x14ac:dyDescent="0.25">
      <c r="A103" s="42">
        <v>44775</v>
      </c>
      <c r="B103" s="43" t="s">
        <v>139</v>
      </c>
      <c r="C103" s="43" t="s">
        <v>176</v>
      </c>
      <c r="D103" s="43" t="s">
        <v>144</v>
      </c>
      <c r="E103" s="44">
        <v>17148</v>
      </c>
      <c r="F103" s="45" t="s">
        <v>114</v>
      </c>
      <c r="G103" s="34">
        <v>0.1</v>
      </c>
      <c r="H103" s="44">
        <v>1714.8000000000002</v>
      </c>
    </row>
    <row r="104" spans="1:8" x14ac:dyDescent="0.25">
      <c r="A104" s="42">
        <v>44779</v>
      </c>
      <c r="B104" s="43" t="s">
        <v>139</v>
      </c>
      <c r="C104" s="43" t="s">
        <v>191</v>
      </c>
      <c r="D104" s="43" t="s">
        <v>141</v>
      </c>
      <c r="E104" s="44">
        <v>21710</v>
      </c>
      <c r="F104" s="45" t="s">
        <v>114</v>
      </c>
      <c r="G104" s="34">
        <v>0.1</v>
      </c>
      <c r="H104" s="44">
        <v>2171</v>
      </c>
    </row>
    <row r="105" spans="1:8" x14ac:dyDescent="0.25">
      <c r="A105" s="42">
        <v>44783</v>
      </c>
      <c r="B105" s="43" t="s">
        <v>139</v>
      </c>
      <c r="C105" s="43" t="s">
        <v>140</v>
      </c>
      <c r="D105" s="43" t="s">
        <v>146</v>
      </c>
      <c r="E105" s="44">
        <v>4343</v>
      </c>
      <c r="F105" s="45" t="s">
        <v>114</v>
      </c>
      <c r="G105" s="34">
        <v>0.02</v>
      </c>
      <c r="H105" s="44">
        <v>86.86</v>
      </c>
    </row>
    <row r="106" spans="1:8" x14ac:dyDescent="0.25">
      <c r="A106" s="42">
        <v>44787</v>
      </c>
      <c r="B106" s="43" t="s">
        <v>139</v>
      </c>
      <c r="C106" s="43" t="s">
        <v>148</v>
      </c>
      <c r="D106" s="43" t="s">
        <v>141</v>
      </c>
      <c r="E106" s="44">
        <v>17548</v>
      </c>
      <c r="F106" s="45" t="s">
        <v>114</v>
      </c>
      <c r="G106" s="34">
        <v>0.1</v>
      </c>
      <c r="H106" s="44">
        <v>1754.8000000000002</v>
      </c>
    </row>
    <row r="107" spans="1:8" x14ac:dyDescent="0.25">
      <c r="A107" s="42">
        <v>44791</v>
      </c>
      <c r="B107" s="43" t="s">
        <v>139</v>
      </c>
      <c r="C107" s="43" t="s">
        <v>192</v>
      </c>
      <c r="D107" s="43" t="s">
        <v>144</v>
      </c>
      <c r="E107" s="44">
        <v>22765</v>
      </c>
      <c r="F107" s="45" t="s">
        <v>114</v>
      </c>
      <c r="G107" s="34">
        <v>0.1</v>
      </c>
      <c r="H107" s="44">
        <v>2276.5</v>
      </c>
    </row>
    <row r="108" spans="1:8" x14ac:dyDescent="0.25">
      <c r="A108" s="42">
        <v>44795</v>
      </c>
      <c r="B108" s="43" t="s">
        <v>139</v>
      </c>
      <c r="C108" s="43" t="s">
        <v>174</v>
      </c>
      <c r="D108" s="43" t="s">
        <v>141</v>
      </c>
      <c r="E108" s="44">
        <v>13785</v>
      </c>
      <c r="F108" s="45" t="s">
        <v>114</v>
      </c>
      <c r="G108" s="34">
        <v>0.1</v>
      </c>
      <c r="H108" s="44">
        <v>1378.5</v>
      </c>
    </row>
    <row r="109" spans="1:8" x14ac:dyDescent="0.25">
      <c r="A109" s="42">
        <v>44799</v>
      </c>
      <c r="B109" s="43" t="s">
        <v>139</v>
      </c>
      <c r="C109" s="43" t="s">
        <v>193</v>
      </c>
      <c r="D109" s="43" t="s">
        <v>144</v>
      </c>
      <c r="E109" s="44">
        <v>18736</v>
      </c>
      <c r="F109" s="45" t="s">
        <v>114</v>
      </c>
      <c r="G109" s="34">
        <v>0.1</v>
      </c>
      <c r="H109" s="44">
        <v>1873.6000000000001</v>
      </c>
    </row>
    <row r="110" spans="1:8" x14ac:dyDescent="0.25">
      <c r="A110" s="42">
        <v>44907</v>
      </c>
      <c r="B110" s="43" t="s">
        <v>139</v>
      </c>
      <c r="C110" s="43" t="s">
        <v>157</v>
      </c>
      <c r="D110" s="43" t="s">
        <v>144</v>
      </c>
      <c r="E110" s="44">
        <v>9368</v>
      </c>
      <c r="F110" s="45" t="s">
        <v>124</v>
      </c>
      <c r="G110" s="34">
        <v>7.0000000000000007E-2</v>
      </c>
      <c r="H110" s="44">
        <v>655.7600000000001</v>
      </c>
    </row>
    <row r="111" spans="1:8" x14ac:dyDescent="0.25">
      <c r="A111" s="42">
        <v>44911</v>
      </c>
      <c r="B111" s="43" t="s">
        <v>139</v>
      </c>
      <c r="C111" s="43" t="s">
        <v>176</v>
      </c>
      <c r="D111" s="43" t="s">
        <v>141</v>
      </c>
      <c r="E111" s="44">
        <v>26172</v>
      </c>
      <c r="F111" s="45" t="s">
        <v>124</v>
      </c>
      <c r="G111" s="34">
        <v>0.1</v>
      </c>
      <c r="H111" s="44">
        <v>2617.2000000000003</v>
      </c>
    </row>
    <row r="112" spans="1:8" x14ac:dyDescent="0.25">
      <c r="A112" s="42">
        <v>45336</v>
      </c>
      <c r="B112" s="43" t="s">
        <v>194</v>
      </c>
      <c r="C112" s="43" t="s">
        <v>157</v>
      </c>
      <c r="D112" s="43" t="s">
        <v>146</v>
      </c>
      <c r="E112" s="44">
        <v>4948</v>
      </c>
      <c r="F112" s="45" t="s">
        <v>114</v>
      </c>
      <c r="G112" s="34">
        <v>0.02</v>
      </c>
      <c r="H112" s="44">
        <v>98.960000000000008</v>
      </c>
    </row>
    <row r="113" spans="1:8" x14ac:dyDescent="0.25">
      <c r="A113" s="42">
        <v>45353</v>
      </c>
      <c r="B113" s="43" t="s">
        <v>194</v>
      </c>
      <c r="C113" s="43" t="s">
        <v>195</v>
      </c>
      <c r="D113" s="43" t="s">
        <v>141</v>
      </c>
      <c r="E113" s="44">
        <v>3431</v>
      </c>
      <c r="F113" s="45" t="s">
        <v>114</v>
      </c>
      <c r="G113" s="34">
        <v>0.02</v>
      </c>
      <c r="H113" s="44">
        <v>68.62</v>
      </c>
    </row>
    <row r="114" spans="1:8" x14ac:dyDescent="0.25">
      <c r="A114" s="42">
        <v>45441</v>
      </c>
      <c r="B114" s="43" t="s">
        <v>194</v>
      </c>
      <c r="C114" s="43" t="s">
        <v>149</v>
      </c>
      <c r="D114" s="43" t="s">
        <v>144</v>
      </c>
      <c r="E114" s="44">
        <v>37170</v>
      </c>
      <c r="F114" s="45" t="s">
        <v>124</v>
      </c>
      <c r="G114" s="34">
        <v>0.1</v>
      </c>
      <c r="H114" s="44">
        <v>3717</v>
      </c>
    </row>
    <row r="115" spans="1:8" x14ac:dyDescent="0.25">
      <c r="A115" s="42">
        <v>45465</v>
      </c>
      <c r="B115" s="43" t="s">
        <v>194</v>
      </c>
      <c r="C115" s="43" t="s">
        <v>196</v>
      </c>
      <c r="D115" s="43" t="s">
        <v>141</v>
      </c>
      <c r="E115" s="44">
        <v>16368</v>
      </c>
      <c r="F115" s="45" t="s">
        <v>124</v>
      </c>
      <c r="G115" s="34">
        <v>0.1</v>
      </c>
      <c r="H115" s="44">
        <v>1636.8000000000002</v>
      </c>
    </row>
    <row r="116" spans="1:8" x14ac:dyDescent="0.25">
      <c r="A116" s="42">
        <v>45493</v>
      </c>
      <c r="B116" s="43" t="s">
        <v>194</v>
      </c>
      <c r="C116" s="43" t="s">
        <v>183</v>
      </c>
      <c r="D116" s="43" t="s">
        <v>144</v>
      </c>
      <c r="E116" s="44">
        <v>8502</v>
      </c>
      <c r="F116" s="45" t="s">
        <v>124</v>
      </c>
      <c r="G116" s="34">
        <v>7.0000000000000007E-2</v>
      </c>
      <c r="H116" s="44">
        <v>595.1400000000001</v>
      </c>
    </row>
    <row r="117" spans="1:8" x14ac:dyDescent="0.25">
      <c r="A117" s="42">
        <v>45501</v>
      </c>
      <c r="B117" s="43" t="s">
        <v>194</v>
      </c>
      <c r="C117" s="43" t="s">
        <v>169</v>
      </c>
      <c r="D117" s="43" t="s">
        <v>146</v>
      </c>
      <c r="E117" s="44">
        <v>8536</v>
      </c>
      <c r="F117" s="45" t="s">
        <v>124</v>
      </c>
      <c r="G117" s="34">
        <v>7.0000000000000007E-2</v>
      </c>
      <c r="H117" s="44">
        <v>597.5200000000001</v>
      </c>
    </row>
    <row r="118" spans="1:8" x14ac:dyDescent="0.25">
      <c r="A118" s="42">
        <v>45525</v>
      </c>
      <c r="B118" s="43" t="s">
        <v>194</v>
      </c>
      <c r="C118" s="43" t="s">
        <v>197</v>
      </c>
      <c r="D118" s="43" t="s">
        <v>146</v>
      </c>
      <c r="E118" s="44">
        <v>17970</v>
      </c>
      <c r="F118" s="45" t="s">
        <v>124</v>
      </c>
      <c r="G118" s="34">
        <v>0.1</v>
      </c>
      <c r="H118" s="44">
        <v>1797</v>
      </c>
    </row>
    <row r="119" spans="1:8" x14ac:dyDescent="0.25">
      <c r="A119" s="42">
        <v>45557</v>
      </c>
      <c r="B119" s="43" t="s">
        <v>194</v>
      </c>
      <c r="C119" s="43" t="s">
        <v>173</v>
      </c>
      <c r="D119" s="43" t="s">
        <v>144</v>
      </c>
      <c r="E119" s="44">
        <v>38412</v>
      </c>
      <c r="F119" s="45" t="s">
        <v>114</v>
      </c>
      <c r="G119" s="34">
        <v>0.1</v>
      </c>
      <c r="H119" s="44">
        <v>3841.2000000000003</v>
      </c>
    </row>
    <row r="120" spans="1:8" x14ac:dyDescent="0.25">
      <c r="A120" s="42">
        <v>45569</v>
      </c>
      <c r="B120" s="43" t="s">
        <v>194</v>
      </c>
      <c r="C120" s="43" t="s">
        <v>169</v>
      </c>
      <c r="D120" s="43" t="s">
        <v>146</v>
      </c>
      <c r="E120" s="44">
        <v>19470</v>
      </c>
      <c r="F120" s="45" t="s">
        <v>130</v>
      </c>
      <c r="G120" s="34">
        <v>0.1</v>
      </c>
      <c r="H120" s="44">
        <v>1947</v>
      </c>
    </row>
    <row r="121" spans="1:8" x14ac:dyDescent="0.25">
      <c r="A121" s="42">
        <v>45601</v>
      </c>
      <c r="B121" s="43" t="s">
        <v>194</v>
      </c>
      <c r="C121" s="43" t="s">
        <v>188</v>
      </c>
      <c r="D121" s="43" t="s">
        <v>144</v>
      </c>
      <c r="E121" s="44">
        <v>20634</v>
      </c>
      <c r="F121" s="45" t="s">
        <v>124</v>
      </c>
      <c r="G121" s="34">
        <v>0.1</v>
      </c>
      <c r="H121" s="44">
        <v>2063.4</v>
      </c>
    </row>
    <row r="122" spans="1:8" x14ac:dyDescent="0.25">
      <c r="A122" s="42">
        <v>44930</v>
      </c>
      <c r="B122" s="43" t="s">
        <v>194</v>
      </c>
      <c r="C122" s="43" t="s">
        <v>160</v>
      </c>
      <c r="D122" s="43" t="s">
        <v>146</v>
      </c>
      <c r="E122" s="44">
        <v>19476</v>
      </c>
      <c r="F122" s="45" t="s">
        <v>130</v>
      </c>
      <c r="G122" s="34">
        <v>0.1</v>
      </c>
      <c r="H122" s="44">
        <v>1947.6000000000001</v>
      </c>
    </row>
    <row r="123" spans="1:8" x14ac:dyDescent="0.25">
      <c r="A123" s="42">
        <v>44962</v>
      </c>
      <c r="B123" s="43" t="s">
        <v>194</v>
      </c>
      <c r="C123" s="43" t="s">
        <v>182</v>
      </c>
      <c r="D123" s="43" t="s">
        <v>144</v>
      </c>
      <c r="E123" s="44">
        <v>10320</v>
      </c>
      <c r="F123" s="45" t="s">
        <v>124</v>
      </c>
      <c r="G123" s="34">
        <v>0.1</v>
      </c>
      <c r="H123" s="44">
        <v>1032</v>
      </c>
    </row>
    <row r="124" spans="1:8" x14ac:dyDescent="0.25">
      <c r="A124" s="42">
        <v>45022</v>
      </c>
      <c r="B124" s="43" t="s">
        <v>194</v>
      </c>
      <c r="C124" s="43" t="s">
        <v>157</v>
      </c>
      <c r="D124" s="43" t="s">
        <v>141</v>
      </c>
      <c r="E124" s="44">
        <v>2424</v>
      </c>
      <c r="F124" s="45" t="s">
        <v>114</v>
      </c>
      <c r="G124" s="34">
        <v>0.02</v>
      </c>
      <c r="H124" s="44">
        <v>48.480000000000004</v>
      </c>
    </row>
    <row r="125" spans="1:8" x14ac:dyDescent="0.25">
      <c r="A125" s="42">
        <v>45038</v>
      </c>
      <c r="B125" s="43" t="s">
        <v>194</v>
      </c>
      <c r="C125" s="43" t="s">
        <v>195</v>
      </c>
      <c r="D125" s="43" t="s">
        <v>141</v>
      </c>
      <c r="E125" s="44">
        <v>16905</v>
      </c>
      <c r="F125" s="45" t="s">
        <v>114</v>
      </c>
      <c r="G125" s="34">
        <v>0.1</v>
      </c>
      <c r="H125" s="44">
        <v>1690.5</v>
      </c>
    </row>
    <row r="126" spans="1:8" x14ac:dyDescent="0.25">
      <c r="A126" s="42">
        <v>45126</v>
      </c>
      <c r="B126" s="43" t="s">
        <v>194</v>
      </c>
      <c r="C126" s="43" t="s">
        <v>149</v>
      </c>
      <c r="D126" s="43" t="s">
        <v>146</v>
      </c>
      <c r="E126" s="44">
        <v>36920</v>
      </c>
      <c r="F126" s="45" t="s">
        <v>124</v>
      </c>
      <c r="G126" s="34">
        <v>0.1</v>
      </c>
      <c r="H126" s="44">
        <v>3692</v>
      </c>
    </row>
    <row r="127" spans="1:8" x14ac:dyDescent="0.25">
      <c r="A127" s="42">
        <v>45150</v>
      </c>
      <c r="B127" s="43" t="s">
        <v>194</v>
      </c>
      <c r="C127" s="43" t="s">
        <v>173</v>
      </c>
      <c r="D127" s="43" t="s">
        <v>141</v>
      </c>
      <c r="E127" s="44">
        <v>8134</v>
      </c>
      <c r="F127" s="45" t="s">
        <v>124</v>
      </c>
      <c r="G127" s="34">
        <v>7.0000000000000007E-2</v>
      </c>
      <c r="H127" s="44">
        <v>569.38000000000011</v>
      </c>
    </row>
    <row r="128" spans="1:8" x14ac:dyDescent="0.25">
      <c r="A128" s="42">
        <v>45154</v>
      </c>
      <c r="B128" s="43" t="s">
        <v>194</v>
      </c>
      <c r="C128" s="43" t="s">
        <v>173</v>
      </c>
      <c r="D128" s="43" t="s">
        <v>144</v>
      </c>
      <c r="E128" s="44">
        <v>8143</v>
      </c>
      <c r="F128" s="45" t="s">
        <v>130</v>
      </c>
      <c r="G128" s="34">
        <v>7.0000000000000007E-2</v>
      </c>
      <c r="H128" s="44">
        <v>570.0100000000001</v>
      </c>
    </row>
    <row r="129" spans="1:8" x14ac:dyDescent="0.25">
      <c r="A129" s="42">
        <v>45158</v>
      </c>
      <c r="B129" s="43" t="s">
        <v>194</v>
      </c>
      <c r="C129" s="43" t="s">
        <v>179</v>
      </c>
      <c r="D129" s="43" t="s">
        <v>144</v>
      </c>
      <c r="E129" s="44">
        <v>40835</v>
      </c>
      <c r="F129" s="45" t="s">
        <v>130</v>
      </c>
      <c r="G129" s="34">
        <v>0.1</v>
      </c>
      <c r="H129" s="44">
        <v>4083.5</v>
      </c>
    </row>
    <row r="130" spans="1:8" x14ac:dyDescent="0.25">
      <c r="A130" s="42">
        <v>45162</v>
      </c>
      <c r="B130" s="43" t="s">
        <v>194</v>
      </c>
      <c r="C130" s="43" t="s">
        <v>179</v>
      </c>
      <c r="D130" s="43" t="s">
        <v>146</v>
      </c>
      <c r="E130" s="44">
        <v>24501</v>
      </c>
      <c r="F130" s="45" t="s">
        <v>114</v>
      </c>
      <c r="G130" s="34">
        <v>0.1</v>
      </c>
      <c r="H130" s="44">
        <v>2450.1</v>
      </c>
    </row>
    <row r="131" spans="1:8" x14ac:dyDescent="0.25">
      <c r="A131" s="42">
        <v>45166</v>
      </c>
      <c r="B131" s="43" t="s">
        <v>194</v>
      </c>
      <c r="C131" s="43" t="s">
        <v>169</v>
      </c>
      <c r="D131" s="43" t="s">
        <v>144</v>
      </c>
      <c r="E131" s="44">
        <v>32748</v>
      </c>
      <c r="F131" s="45" t="s">
        <v>114</v>
      </c>
      <c r="G131" s="34">
        <v>0.1</v>
      </c>
      <c r="H131" s="44">
        <v>3274.8</v>
      </c>
    </row>
    <row r="132" spans="1:8" x14ac:dyDescent="0.25">
      <c r="A132" s="42">
        <v>45254</v>
      </c>
      <c r="B132" s="43" t="s">
        <v>194</v>
      </c>
      <c r="C132" s="43" t="s">
        <v>160</v>
      </c>
      <c r="D132" s="43" t="s">
        <v>146</v>
      </c>
      <c r="E132" s="44">
        <v>29055</v>
      </c>
      <c r="F132" s="45" t="s">
        <v>130</v>
      </c>
      <c r="G132" s="34">
        <v>0.1</v>
      </c>
      <c r="H132" s="44">
        <v>2905.5</v>
      </c>
    </row>
    <row r="133" spans="1:8" x14ac:dyDescent="0.25">
      <c r="A133" s="42">
        <v>44568</v>
      </c>
      <c r="B133" s="43" t="s">
        <v>194</v>
      </c>
      <c r="C133" s="43" t="s">
        <v>173</v>
      </c>
      <c r="D133" s="43" t="s">
        <v>141</v>
      </c>
      <c r="E133" s="44">
        <v>37120</v>
      </c>
      <c r="F133" s="45" t="s">
        <v>114</v>
      </c>
      <c r="G133" s="34">
        <v>0.1</v>
      </c>
      <c r="H133" s="44">
        <v>3712</v>
      </c>
    </row>
    <row r="134" spans="1:8" x14ac:dyDescent="0.25">
      <c r="A134" s="42">
        <v>44588</v>
      </c>
      <c r="B134" s="43" t="s">
        <v>194</v>
      </c>
      <c r="C134" s="43" t="s">
        <v>179</v>
      </c>
      <c r="D134" s="43" t="s">
        <v>141</v>
      </c>
      <c r="E134" s="44">
        <v>16762</v>
      </c>
      <c r="F134" s="45" t="s">
        <v>114</v>
      </c>
      <c r="G134" s="34">
        <v>0.1</v>
      </c>
      <c r="H134" s="44">
        <v>1676.2</v>
      </c>
    </row>
    <row r="135" spans="1:8" x14ac:dyDescent="0.25">
      <c r="A135" s="42">
        <v>44675</v>
      </c>
      <c r="B135" s="43" t="s">
        <v>194</v>
      </c>
      <c r="C135" s="43" t="s">
        <v>179</v>
      </c>
      <c r="D135" s="43" t="s">
        <v>146</v>
      </c>
      <c r="E135" s="44">
        <v>7152</v>
      </c>
      <c r="F135" s="45" t="s">
        <v>124</v>
      </c>
      <c r="G135" s="34">
        <v>0.05</v>
      </c>
      <c r="H135" s="44">
        <v>357.6</v>
      </c>
    </row>
    <row r="136" spans="1:8" x14ac:dyDescent="0.25">
      <c r="A136" s="42">
        <v>44699</v>
      </c>
      <c r="B136" s="43" t="s">
        <v>194</v>
      </c>
      <c r="C136" s="43" t="s">
        <v>169</v>
      </c>
      <c r="D136" s="43" t="s">
        <v>141</v>
      </c>
      <c r="E136" s="44">
        <v>12536</v>
      </c>
      <c r="F136" s="45" t="s">
        <v>124</v>
      </c>
      <c r="G136" s="34">
        <v>0.1</v>
      </c>
      <c r="H136" s="44">
        <v>1253.6000000000001</v>
      </c>
    </row>
    <row r="137" spans="1:8" x14ac:dyDescent="0.25">
      <c r="A137" s="42">
        <v>44703</v>
      </c>
      <c r="B137" s="43" t="s">
        <v>194</v>
      </c>
      <c r="C137" s="43" t="s">
        <v>169</v>
      </c>
      <c r="D137" s="43" t="s">
        <v>144</v>
      </c>
      <c r="E137" s="44">
        <v>12572</v>
      </c>
      <c r="F137" s="45" t="s">
        <v>130</v>
      </c>
      <c r="G137" s="34">
        <v>0.1</v>
      </c>
      <c r="H137" s="44">
        <v>1257.2</v>
      </c>
    </row>
    <row r="138" spans="1:8" x14ac:dyDescent="0.25">
      <c r="A138" s="42">
        <v>44707</v>
      </c>
      <c r="B138" s="43" t="s">
        <v>194</v>
      </c>
      <c r="C138" s="43" t="s">
        <v>169</v>
      </c>
      <c r="D138" s="43" t="s">
        <v>144</v>
      </c>
      <c r="E138" s="44">
        <v>9501</v>
      </c>
      <c r="F138" s="45" t="s">
        <v>130</v>
      </c>
      <c r="G138" s="34">
        <v>7.0000000000000007E-2</v>
      </c>
      <c r="H138" s="44">
        <v>665.07</v>
      </c>
    </row>
    <row r="139" spans="1:8" x14ac:dyDescent="0.25">
      <c r="A139" s="42">
        <v>44711</v>
      </c>
      <c r="B139" s="43" t="s">
        <v>194</v>
      </c>
      <c r="C139" s="43" t="s">
        <v>169</v>
      </c>
      <c r="D139" s="43" t="s">
        <v>146</v>
      </c>
      <c r="E139" s="44">
        <v>9501</v>
      </c>
      <c r="F139" s="45" t="s">
        <v>114</v>
      </c>
      <c r="G139" s="34">
        <v>7.0000000000000007E-2</v>
      </c>
      <c r="H139" s="44">
        <v>665.07</v>
      </c>
    </row>
    <row r="140" spans="1:8" x14ac:dyDescent="0.25">
      <c r="A140" s="42">
        <v>44715</v>
      </c>
      <c r="B140" s="43" t="s">
        <v>194</v>
      </c>
      <c r="C140" s="43" t="s">
        <v>196</v>
      </c>
      <c r="D140" s="43" t="s">
        <v>144</v>
      </c>
      <c r="E140" s="44">
        <v>9561</v>
      </c>
      <c r="F140" s="45" t="s">
        <v>114</v>
      </c>
      <c r="G140" s="34">
        <v>7.0000000000000007E-2</v>
      </c>
      <c r="H140" s="44">
        <v>669.2700000000001</v>
      </c>
    </row>
    <row r="141" spans="1:8" x14ac:dyDescent="0.25">
      <c r="A141" s="42">
        <v>44803</v>
      </c>
      <c r="B141" s="43" t="s">
        <v>194</v>
      </c>
      <c r="C141" s="43" t="s">
        <v>183</v>
      </c>
      <c r="D141" s="43" t="s">
        <v>146</v>
      </c>
      <c r="E141" s="44">
        <v>18740</v>
      </c>
      <c r="F141" s="45" t="s">
        <v>130</v>
      </c>
      <c r="G141" s="34">
        <v>0.1</v>
      </c>
      <c r="H141" s="44">
        <v>1874</v>
      </c>
    </row>
    <row r="142" spans="1:8" x14ac:dyDescent="0.25">
      <c r="A142" s="42">
        <v>44807</v>
      </c>
      <c r="B142" s="43" t="s">
        <v>194</v>
      </c>
      <c r="C142" s="43" t="s">
        <v>152</v>
      </c>
      <c r="D142" s="43" t="s">
        <v>146</v>
      </c>
      <c r="E142" s="44">
        <v>23690</v>
      </c>
      <c r="F142" s="45" t="s">
        <v>130</v>
      </c>
      <c r="G142" s="34">
        <v>0.1</v>
      </c>
      <c r="H142" s="44">
        <v>2369</v>
      </c>
    </row>
    <row r="143" spans="1:8" x14ac:dyDescent="0.25">
      <c r="A143" s="42">
        <v>44839</v>
      </c>
      <c r="B143" s="43" t="s">
        <v>194</v>
      </c>
      <c r="C143" s="43" t="s">
        <v>173</v>
      </c>
      <c r="D143" s="43" t="s">
        <v>144</v>
      </c>
      <c r="E143" s="44">
        <v>10640</v>
      </c>
      <c r="F143" s="45" t="s">
        <v>124</v>
      </c>
      <c r="G143" s="34">
        <v>0.1</v>
      </c>
      <c r="H143" s="44">
        <v>1064</v>
      </c>
    </row>
    <row r="144" spans="1:8" x14ac:dyDescent="0.25">
      <c r="A144" s="42">
        <v>44915</v>
      </c>
      <c r="B144" s="43" t="s">
        <v>194</v>
      </c>
      <c r="C144" s="43" t="s">
        <v>140</v>
      </c>
      <c r="D144" s="43" t="s">
        <v>141</v>
      </c>
      <c r="E144" s="44">
        <v>10345</v>
      </c>
      <c r="F144" s="45" t="s">
        <v>130</v>
      </c>
      <c r="G144" s="34">
        <v>0.1</v>
      </c>
      <c r="H144" s="44">
        <v>1034.5</v>
      </c>
    </row>
    <row r="145" spans="1:8" x14ac:dyDescent="0.25">
      <c r="A145" s="42">
        <v>44919</v>
      </c>
      <c r="B145" s="43" t="s">
        <v>194</v>
      </c>
      <c r="C145" s="43" t="s">
        <v>174</v>
      </c>
      <c r="D145" s="43" t="s">
        <v>146</v>
      </c>
      <c r="E145" s="44">
        <v>6532</v>
      </c>
      <c r="F145" s="45" t="s">
        <v>130</v>
      </c>
      <c r="G145" s="34">
        <v>0.05</v>
      </c>
      <c r="H145" s="44">
        <v>326.60000000000002</v>
      </c>
    </row>
    <row r="146" spans="1:8" x14ac:dyDescent="0.25">
      <c r="A146" s="42">
        <v>45292</v>
      </c>
      <c r="B146" s="43" t="s">
        <v>153</v>
      </c>
      <c r="C146" s="43" t="s">
        <v>145</v>
      </c>
      <c r="D146" s="43" t="s">
        <v>141</v>
      </c>
      <c r="E146" s="44">
        <v>308</v>
      </c>
      <c r="F146" s="45" t="s">
        <v>124</v>
      </c>
      <c r="G146" s="34">
        <v>0</v>
      </c>
      <c r="H146" s="44">
        <v>0</v>
      </c>
    </row>
    <row r="147" spans="1:8" x14ac:dyDescent="0.25">
      <c r="A147" s="42">
        <v>45320</v>
      </c>
      <c r="B147" s="43" t="s">
        <v>153</v>
      </c>
      <c r="C147" s="43" t="s">
        <v>193</v>
      </c>
      <c r="D147" s="43" t="s">
        <v>141</v>
      </c>
      <c r="E147" s="44">
        <v>8224</v>
      </c>
      <c r="F147" s="45" t="s">
        <v>114</v>
      </c>
      <c r="G147" s="34">
        <v>7.0000000000000007E-2</v>
      </c>
      <c r="H147" s="44">
        <v>575.68000000000006</v>
      </c>
    </row>
    <row r="148" spans="1:8" x14ac:dyDescent="0.25">
      <c r="A148" s="42">
        <v>45324</v>
      </c>
      <c r="B148" s="43" t="s">
        <v>153</v>
      </c>
      <c r="C148" s="43" t="s">
        <v>189</v>
      </c>
      <c r="D148" s="43" t="s">
        <v>141</v>
      </c>
      <c r="E148" s="44">
        <v>2354</v>
      </c>
      <c r="F148" s="45" t="s">
        <v>114</v>
      </c>
      <c r="G148" s="34">
        <v>0.02</v>
      </c>
      <c r="H148" s="44">
        <v>47.08</v>
      </c>
    </row>
    <row r="149" spans="1:8" x14ac:dyDescent="0.25">
      <c r="A149" s="42">
        <v>45328</v>
      </c>
      <c r="B149" s="43" t="s">
        <v>153</v>
      </c>
      <c r="C149" s="43" t="s">
        <v>183</v>
      </c>
      <c r="D149" s="43" t="s">
        <v>146</v>
      </c>
      <c r="E149" s="44">
        <v>12255</v>
      </c>
      <c r="F149" s="45" t="s">
        <v>130</v>
      </c>
      <c r="G149" s="34">
        <v>0.1</v>
      </c>
      <c r="H149" s="44">
        <v>1225.5</v>
      </c>
    </row>
    <row r="150" spans="1:8" x14ac:dyDescent="0.25">
      <c r="A150" s="42">
        <v>45357</v>
      </c>
      <c r="B150" s="43" t="s">
        <v>153</v>
      </c>
      <c r="C150" s="43" t="s">
        <v>198</v>
      </c>
      <c r="D150" s="43" t="s">
        <v>144</v>
      </c>
      <c r="E150" s="44">
        <v>17260</v>
      </c>
      <c r="F150" s="45" t="s">
        <v>124</v>
      </c>
      <c r="G150" s="34">
        <v>0.1</v>
      </c>
      <c r="H150" s="44">
        <v>1726</v>
      </c>
    </row>
    <row r="151" spans="1:8" x14ac:dyDescent="0.25">
      <c r="A151" s="42">
        <v>45381</v>
      </c>
      <c r="B151" s="43" t="s">
        <v>153</v>
      </c>
      <c r="C151" s="43" t="s">
        <v>159</v>
      </c>
      <c r="D151" s="43" t="s">
        <v>146</v>
      </c>
      <c r="E151" s="44">
        <v>18480</v>
      </c>
      <c r="F151" s="45" t="s">
        <v>130</v>
      </c>
      <c r="G151" s="34">
        <v>0.1</v>
      </c>
      <c r="H151" s="44">
        <v>1848</v>
      </c>
    </row>
    <row r="152" spans="1:8" x14ac:dyDescent="0.25">
      <c r="A152" s="42">
        <v>45389</v>
      </c>
      <c r="B152" s="43" t="s">
        <v>153</v>
      </c>
      <c r="C152" s="43" t="s">
        <v>148</v>
      </c>
      <c r="D152" s="43" t="s">
        <v>146</v>
      </c>
      <c r="E152" s="44">
        <v>25080</v>
      </c>
      <c r="F152" s="45" t="s">
        <v>124</v>
      </c>
      <c r="G152" s="34">
        <v>0.1</v>
      </c>
      <c r="H152" s="44">
        <v>2508</v>
      </c>
    </row>
    <row r="153" spans="1:8" x14ac:dyDescent="0.25">
      <c r="A153" s="42">
        <v>45393</v>
      </c>
      <c r="B153" s="43" t="s">
        <v>153</v>
      </c>
      <c r="C153" s="43" t="s">
        <v>183</v>
      </c>
      <c r="D153" s="43" t="s">
        <v>146</v>
      </c>
      <c r="E153" s="44">
        <v>20248</v>
      </c>
      <c r="F153" s="45" t="s">
        <v>130</v>
      </c>
      <c r="G153" s="34">
        <v>0.1</v>
      </c>
      <c r="H153" s="44">
        <v>2024.8</v>
      </c>
    </row>
    <row r="154" spans="1:8" x14ac:dyDescent="0.25">
      <c r="A154" s="42">
        <v>45397</v>
      </c>
      <c r="B154" s="43" t="s">
        <v>153</v>
      </c>
      <c r="C154" s="43" t="s">
        <v>199</v>
      </c>
      <c r="D154" s="43" t="s">
        <v>141</v>
      </c>
      <c r="E154" s="44">
        <v>5070</v>
      </c>
      <c r="F154" s="45" t="s">
        <v>130</v>
      </c>
      <c r="G154" s="34">
        <v>0.05</v>
      </c>
      <c r="H154" s="44">
        <v>253.5</v>
      </c>
    </row>
    <row r="155" spans="1:8" x14ac:dyDescent="0.25">
      <c r="A155" s="42">
        <v>45453</v>
      </c>
      <c r="B155" s="43" t="s">
        <v>153</v>
      </c>
      <c r="C155" s="43" t="s">
        <v>152</v>
      </c>
      <c r="D155" s="43" t="s">
        <v>146</v>
      </c>
      <c r="E155" s="44">
        <v>31144</v>
      </c>
      <c r="F155" s="45" t="s">
        <v>130</v>
      </c>
      <c r="G155" s="34">
        <v>0.1</v>
      </c>
      <c r="H155" s="44">
        <v>3114.4</v>
      </c>
    </row>
    <row r="156" spans="1:8" x14ac:dyDescent="0.25">
      <c r="A156" s="42">
        <v>45469</v>
      </c>
      <c r="B156" s="43" t="s">
        <v>153</v>
      </c>
      <c r="C156" s="43" t="s">
        <v>140</v>
      </c>
      <c r="D156" s="43" t="s">
        <v>144</v>
      </c>
      <c r="E156" s="44">
        <v>16386</v>
      </c>
      <c r="F156" s="45" t="s">
        <v>130</v>
      </c>
      <c r="G156" s="34">
        <v>0.1</v>
      </c>
      <c r="H156" s="44">
        <v>1638.6000000000001</v>
      </c>
    </row>
    <row r="157" spans="1:8" x14ac:dyDescent="0.25">
      <c r="A157" s="42">
        <v>45477</v>
      </c>
      <c r="B157" s="43" t="s">
        <v>153</v>
      </c>
      <c r="C157" s="43" t="s">
        <v>143</v>
      </c>
      <c r="D157" s="43" t="s">
        <v>146</v>
      </c>
      <c r="E157" s="44">
        <v>8217</v>
      </c>
      <c r="F157" s="45" t="s">
        <v>114</v>
      </c>
      <c r="G157" s="34">
        <v>7.0000000000000007E-2</v>
      </c>
      <c r="H157" s="44">
        <v>575.19000000000005</v>
      </c>
    </row>
    <row r="158" spans="1:8" x14ac:dyDescent="0.25">
      <c r="A158" s="42">
        <v>45497</v>
      </c>
      <c r="B158" s="43" t="s">
        <v>153</v>
      </c>
      <c r="C158" s="43" t="s">
        <v>190</v>
      </c>
      <c r="D158" s="43" t="s">
        <v>141</v>
      </c>
      <c r="E158" s="44">
        <v>8534</v>
      </c>
      <c r="F158" s="45" t="s">
        <v>114</v>
      </c>
      <c r="G158" s="34">
        <v>7.0000000000000007E-2</v>
      </c>
      <c r="H158" s="44">
        <v>597.38000000000011</v>
      </c>
    </row>
    <row r="159" spans="1:8" x14ac:dyDescent="0.25">
      <c r="A159" s="42">
        <v>45517</v>
      </c>
      <c r="B159" s="43" t="s">
        <v>153</v>
      </c>
      <c r="C159" s="43" t="s">
        <v>200</v>
      </c>
      <c r="D159" s="43" t="s">
        <v>141</v>
      </c>
      <c r="E159" s="44">
        <v>17706</v>
      </c>
      <c r="F159" s="45" t="s">
        <v>114</v>
      </c>
      <c r="G159" s="34">
        <v>0.1</v>
      </c>
      <c r="H159" s="44">
        <v>1770.6000000000001</v>
      </c>
    </row>
    <row r="160" spans="1:8" x14ac:dyDescent="0.25">
      <c r="A160" s="42">
        <v>45521</v>
      </c>
      <c r="B160" s="43" t="s">
        <v>153</v>
      </c>
      <c r="C160" s="43" t="s">
        <v>193</v>
      </c>
      <c r="D160" s="43" t="s">
        <v>144</v>
      </c>
      <c r="E160" s="44">
        <v>8943</v>
      </c>
      <c r="F160" s="45" t="s">
        <v>124</v>
      </c>
      <c r="G160" s="34">
        <v>7.0000000000000007E-2</v>
      </c>
      <c r="H160" s="44">
        <v>626.0100000000001</v>
      </c>
    </row>
    <row r="161" spans="1:8" x14ac:dyDescent="0.25">
      <c r="A161" s="42">
        <v>45545</v>
      </c>
      <c r="B161" s="43" t="s">
        <v>153</v>
      </c>
      <c r="C161" s="43" t="s">
        <v>142</v>
      </c>
      <c r="D161" s="43" t="s">
        <v>141</v>
      </c>
      <c r="E161" s="44">
        <v>9392</v>
      </c>
      <c r="F161" s="45" t="s">
        <v>130</v>
      </c>
      <c r="G161" s="34">
        <v>7.0000000000000007E-2</v>
      </c>
      <c r="H161" s="44">
        <v>657.44</v>
      </c>
    </row>
    <row r="162" spans="1:8" x14ac:dyDescent="0.25">
      <c r="A162" s="42">
        <v>45549</v>
      </c>
      <c r="B162" s="43" t="s">
        <v>153</v>
      </c>
      <c r="C162" s="43" t="s">
        <v>192</v>
      </c>
      <c r="D162" s="43" t="s">
        <v>146</v>
      </c>
      <c r="E162" s="44">
        <v>28179</v>
      </c>
      <c r="F162" s="45" t="s">
        <v>114</v>
      </c>
      <c r="G162" s="34">
        <v>0.1</v>
      </c>
      <c r="H162" s="44">
        <v>2817.9</v>
      </c>
    </row>
    <row r="163" spans="1:8" x14ac:dyDescent="0.25">
      <c r="A163" s="42">
        <v>45573</v>
      </c>
      <c r="B163" s="43" t="s">
        <v>153</v>
      </c>
      <c r="C163" s="43" t="s">
        <v>160</v>
      </c>
      <c r="D163" s="43" t="s">
        <v>144</v>
      </c>
      <c r="E163" s="44">
        <v>49335</v>
      </c>
      <c r="F163" s="45" t="s">
        <v>124</v>
      </c>
      <c r="G163" s="34">
        <v>0.1</v>
      </c>
      <c r="H163" s="44">
        <v>4933.5</v>
      </c>
    </row>
    <row r="164" spans="1:8" x14ac:dyDescent="0.25">
      <c r="A164" s="42">
        <v>45585</v>
      </c>
      <c r="B164" s="43" t="s">
        <v>153</v>
      </c>
      <c r="C164" s="43" t="s">
        <v>173</v>
      </c>
      <c r="D164" s="43" t="s">
        <v>141</v>
      </c>
      <c r="E164" s="44">
        <v>10087</v>
      </c>
      <c r="F164" s="45" t="s">
        <v>114</v>
      </c>
      <c r="G164" s="34">
        <v>0.1</v>
      </c>
      <c r="H164" s="44">
        <v>1008.7</v>
      </c>
    </row>
    <row r="165" spans="1:8" x14ac:dyDescent="0.25">
      <c r="A165" s="42">
        <v>45589</v>
      </c>
      <c r="B165" s="43" t="s">
        <v>153</v>
      </c>
      <c r="C165" s="43" t="s">
        <v>187</v>
      </c>
      <c r="D165" s="43" t="s">
        <v>141</v>
      </c>
      <c r="E165" s="44">
        <v>40348</v>
      </c>
      <c r="F165" s="45" t="s">
        <v>124</v>
      </c>
      <c r="G165" s="34">
        <v>0.1</v>
      </c>
      <c r="H165" s="44">
        <v>4034.8</v>
      </c>
    </row>
    <row r="166" spans="1:8" x14ac:dyDescent="0.25">
      <c r="A166" s="42">
        <v>45593</v>
      </c>
      <c r="B166" s="43" t="s">
        <v>153</v>
      </c>
      <c r="C166" s="43" t="s">
        <v>176</v>
      </c>
      <c r="D166" s="43" t="s">
        <v>141</v>
      </c>
      <c r="E166" s="44">
        <v>30426</v>
      </c>
      <c r="F166" s="45" t="s">
        <v>114</v>
      </c>
      <c r="G166" s="34">
        <v>0.1</v>
      </c>
      <c r="H166" s="44">
        <v>3042.6000000000004</v>
      </c>
    </row>
    <row r="167" spans="1:8" x14ac:dyDescent="0.25">
      <c r="A167" s="42">
        <v>45609</v>
      </c>
      <c r="B167" s="43" t="s">
        <v>153</v>
      </c>
      <c r="C167" s="43" t="s">
        <v>171</v>
      </c>
      <c r="D167" s="43" t="s">
        <v>141</v>
      </c>
      <c r="E167" s="44">
        <v>52685</v>
      </c>
      <c r="F167" s="45" t="s">
        <v>124</v>
      </c>
      <c r="G167" s="34">
        <v>0.1</v>
      </c>
      <c r="H167" s="44">
        <v>5268.5</v>
      </c>
    </row>
    <row r="168" spans="1:8" x14ac:dyDescent="0.25">
      <c r="A168" s="42">
        <v>45617</v>
      </c>
      <c r="B168" s="43" t="s">
        <v>153</v>
      </c>
      <c r="C168" s="43" t="s">
        <v>196</v>
      </c>
      <c r="D168" s="43" t="s">
        <v>141</v>
      </c>
      <c r="E168" s="44">
        <v>31776</v>
      </c>
      <c r="F168" s="45" t="s">
        <v>124</v>
      </c>
      <c r="G168" s="34">
        <v>0.1</v>
      </c>
      <c r="H168" s="44">
        <v>3177.6000000000004</v>
      </c>
    </row>
    <row r="169" spans="1:8" x14ac:dyDescent="0.25">
      <c r="A169" s="42">
        <v>45625</v>
      </c>
      <c r="B169" s="43" t="s">
        <v>153</v>
      </c>
      <c r="C169" s="43" t="s">
        <v>198</v>
      </c>
      <c r="D169" s="43" t="s">
        <v>144</v>
      </c>
      <c r="E169" s="44">
        <v>21690</v>
      </c>
      <c r="F169" s="45" t="s">
        <v>124</v>
      </c>
      <c r="G169" s="34">
        <v>0.1</v>
      </c>
      <c r="H169" s="44">
        <v>2169</v>
      </c>
    </row>
    <row r="170" spans="1:8" x14ac:dyDescent="0.25">
      <c r="A170" s="42">
        <v>45633</v>
      </c>
      <c r="B170" s="43" t="s">
        <v>153</v>
      </c>
      <c r="C170" s="43" t="s">
        <v>169</v>
      </c>
      <c r="D170" s="43" t="s">
        <v>146</v>
      </c>
      <c r="E170" s="44">
        <v>33558</v>
      </c>
      <c r="F170" s="45" t="s">
        <v>124</v>
      </c>
      <c r="G170" s="34">
        <v>0.1</v>
      </c>
      <c r="H170" s="44">
        <v>3355.8</v>
      </c>
    </row>
    <row r="171" spans="1:8" x14ac:dyDescent="0.25">
      <c r="A171" s="42">
        <v>45637</v>
      </c>
      <c r="B171" s="43" t="s">
        <v>153</v>
      </c>
      <c r="C171" s="43" t="s">
        <v>186</v>
      </c>
      <c r="D171" s="43" t="s">
        <v>144</v>
      </c>
      <c r="E171" s="44">
        <v>11439</v>
      </c>
      <c r="F171" s="45" t="s">
        <v>114</v>
      </c>
      <c r="G171" s="34">
        <v>0.1</v>
      </c>
      <c r="H171" s="44">
        <v>1143.9000000000001</v>
      </c>
    </row>
    <row r="172" spans="1:8" x14ac:dyDescent="0.25">
      <c r="A172" s="42">
        <v>45641</v>
      </c>
      <c r="B172" s="43" t="s">
        <v>153</v>
      </c>
      <c r="C172" s="43" t="s">
        <v>149</v>
      </c>
      <c r="D172" s="43" t="s">
        <v>144</v>
      </c>
      <c r="E172" s="44">
        <v>42944</v>
      </c>
      <c r="F172" s="45" t="s">
        <v>124</v>
      </c>
      <c r="G172" s="34">
        <v>0.1</v>
      </c>
      <c r="H172" s="44">
        <v>4294.4000000000005</v>
      </c>
    </row>
    <row r="173" spans="1:8" x14ac:dyDescent="0.25">
      <c r="A173" s="42">
        <v>45645</v>
      </c>
      <c r="B173" s="43" t="s">
        <v>153</v>
      </c>
      <c r="C173" s="43" t="s">
        <v>185</v>
      </c>
      <c r="D173" s="43" t="s">
        <v>144</v>
      </c>
      <c r="E173" s="44">
        <v>54225</v>
      </c>
      <c r="F173" s="45" t="s">
        <v>124</v>
      </c>
      <c r="G173" s="34">
        <v>0.1</v>
      </c>
      <c r="H173" s="44">
        <v>5422.5</v>
      </c>
    </row>
    <row r="174" spans="1:8" x14ac:dyDescent="0.25">
      <c r="A174" s="42">
        <v>45649</v>
      </c>
      <c r="B174" s="43" t="s">
        <v>153</v>
      </c>
      <c r="C174" s="43" t="s">
        <v>198</v>
      </c>
      <c r="D174" s="43" t="s">
        <v>146</v>
      </c>
      <c r="E174" s="44">
        <v>43956</v>
      </c>
      <c r="F174" s="45" t="s">
        <v>114</v>
      </c>
      <c r="G174" s="34">
        <v>0.1</v>
      </c>
      <c r="H174" s="44">
        <v>4395.6000000000004</v>
      </c>
    </row>
    <row r="175" spans="1:8" x14ac:dyDescent="0.25">
      <c r="A175" s="42">
        <v>44934</v>
      </c>
      <c r="B175" s="43" t="s">
        <v>153</v>
      </c>
      <c r="C175" s="43" t="s">
        <v>164</v>
      </c>
      <c r="D175" s="43" t="s">
        <v>144</v>
      </c>
      <c r="E175" s="44">
        <v>19740</v>
      </c>
      <c r="F175" s="45" t="s">
        <v>124</v>
      </c>
      <c r="G175" s="34">
        <v>0.1</v>
      </c>
      <c r="H175" s="44">
        <v>1974</v>
      </c>
    </row>
    <row r="176" spans="1:8" x14ac:dyDescent="0.25">
      <c r="A176" s="42">
        <v>44946</v>
      </c>
      <c r="B176" s="43" t="s">
        <v>153</v>
      </c>
      <c r="C176" s="43" t="s">
        <v>171</v>
      </c>
      <c r="D176" s="43" t="s">
        <v>141</v>
      </c>
      <c r="E176" s="44">
        <v>10090</v>
      </c>
      <c r="F176" s="45" t="s">
        <v>114</v>
      </c>
      <c r="G176" s="34">
        <v>0.1</v>
      </c>
      <c r="H176" s="44">
        <v>1009</v>
      </c>
    </row>
    <row r="177" spans="1:8" x14ac:dyDescent="0.25">
      <c r="A177" s="42">
        <v>44950</v>
      </c>
      <c r="B177" s="43" t="s">
        <v>153</v>
      </c>
      <c r="C177" s="43" t="s">
        <v>176</v>
      </c>
      <c r="D177" s="43" t="s">
        <v>141</v>
      </c>
      <c r="E177" s="44">
        <v>10090</v>
      </c>
      <c r="F177" s="45" t="s">
        <v>124</v>
      </c>
      <c r="G177" s="34">
        <v>0.1</v>
      </c>
      <c r="H177" s="44">
        <v>1009</v>
      </c>
    </row>
    <row r="178" spans="1:8" x14ac:dyDescent="0.25">
      <c r="A178" s="42">
        <v>44954</v>
      </c>
      <c r="B178" s="43" t="s">
        <v>153</v>
      </c>
      <c r="C178" s="43" t="s">
        <v>201</v>
      </c>
      <c r="D178" s="43" t="s">
        <v>141</v>
      </c>
      <c r="E178" s="44">
        <v>20290</v>
      </c>
      <c r="F178" s="45" t="s">
        <v>114</v>
      </c>
      <c r="G178" s="34">
        <v>0.1</v>
      </c>
      <c r="H178" s="44">
        <v>2029</v>
      </c>
    </row>
    <row r="179" spans="1:8" x14ac:dyDescent="0.25">
      <c r="A179" s="42">
        <v>44970</v>
      </c>
      <c r="B179" s="43" t="s">
        <v>153</v>
      </c>
      <c r="C179" s="43" t="s">
        <v>169</v>
      </c>
      <c r="D179" s="43" t="s">
        <v>141</v>
      </c>
      <c r="E179" s="44">
        <v>21080</v>
      </c>
      <c r="F179" s="45" t="s">
        <v>124</v>
      </c>
      <c r="G179" s="34">
        <v>0.1</v>
      </c>
      <c r="H179" s="44">
        <v>2108</v>
      </c>
    </row>
    <row r="180" spans="1:8" x14ac:dyDescent="0.25">
      <c r="A180" s="42">
        <v>44978</v>
      </c>
      <c r="B180" s="43" t="s">
        <v>153</v>
      </c>
      <c r="C180" s="43" t="s">
        <v>183</v>
      </c>
      <c r="D180" s="43" t="s">
        <v>141</v>
      </c>
      <c r="E180" s="44">
        <v>308</v>
      </c>
      <c r="F180" s="45" t="s">
        <v>124</v>
      </c>
      <c r="G180" s="34">
        <v>0</v>
      </c>
      <c r="H180" s="44">
        <v>0</v>
      </c>
    </row>
    <row r="181" spans="1:8" x14ac:dyDescent="0.25">
      <c r="A181" s="42">
        <v>45006</v>
      </c>
      <c r="B181" s="43" t="s">
        <v>153</v>
      </c>
      <c r="C181" s="43" t="s">
        <v>145</v>
      </c>
      <c r="D181" s="43" t="s">
        <v>141</v>
      </c>
      <c r="E181" s="44">
        <v>10030</v>
      </c>
      <c r="F181" s="45" t="s">
        <v>114</v>
      </c>
      <c r="G181" s="34">
        <v>0.1</v>
      </c>
      <c r="H181" s="44">
        <v>1003</v>
      </c>
    </row>
    <row r="182" spans="1:8" x14ac:dyDescent="0.25">
      <c r="A182" s="42">
        <v>45010</v>
      </c>
      <c r="B182" s="43" t="s">
        <v>153</v>
      </c>
      <c r="C182" s="43" t="s">
        <v>145</v>
      </c>
      <c r="D182" s="43" t="s">
        <v>141</v>
      </c>
      <c r="E182" s="44">
        <v>6912</v>
      </c>
      <c r="F182" s="45" t="s">
        <v>114</v>
      </c>
      <c r="G182" s="34">
        <v>0.05</v>
      </c>
      <c r="H182" s="44">
        <v>345.6</v>
      </c>
    </row>
    <row r="183" spans="1:8" x14ac:dyDescent="0.25">
      <c r="A183" s="42">
        <v>45014</v>
      </c>
      <c r="B183" s="43" t="s">
        <v>153</v>
      </c>
      <c r="C183" s="43" t="s">
        <v>193</v>
      </c>
      <c r="D183" s="43" t="s">
        <v>141</v>
      </c>
      <c r="E183" s="44">
        <v>2401</v>
      </c>
      <c r="F183" s="45" t="s">
        <v>130</v>
      </c>
      <c r="G183" s="34">
        <v>0.02</v>
      </c>
      <c r="H183" s="44">
        <v>48.02</v>
      </c>
    </row>
    <row r="184" spans="1:8" x14ac:dyDescent="0.25">
      <c r="A184" s="42">
        <v>45042</v>
      </c>
      <c r="B184" s="43" t="s">
        <v>153</v>
      </c>
      <c r="C184" s="43" t="s">
        <v>198</v>
      </c>
      <c r="D184" s="43" t="s">
        <v>141</v>
      </c>
      <c r="E184" s="44">
        <v>6804</v>
      </c>
      <c r="F184" s="45" t="s">
        <v>124</v>
      </c>
      <c r="G184" s="34">
        <v>0.05</v>
      </c>
      <c r="H184" s="44">
        <v>340.20000000000005</v>
      </c>
    </row>
    <row r="185" spans="1:8" x14ac:dyDescent="0.25">
      <c r="A185" s="42">
        <v>45066</v>
      </c>
      <c r="B185" s="43" t="s">
        <v>153</v>
      </c>
      <c r="C185" s="43" t="s">
        <v>159</v>
      </c>
      <c r="D185" s="43" t="s">
        <v>144</v>
      </c>
      <c r="E185" s="44">
        <v>9140</v>
      </c>
      <c r="F185" s="45" t="s">
        <v>130</v>
      </c>
      <c r="G185" s="34">
        <v>7.0000000000000007E-2</v>
      </c>
      <c r="H185" s="44">
        <v>639.80000000000007</v>
      </c>
    </row>
    <row r="186" spans="1:8" x14ac:dyDescent="0.25">
      <c r="A186" s="42">
        <v>45074</v>
      </c>
      <c r="B186" s="43" t="s">
        <v>153</v>
      </c>
      <c r="C186" s="43" t="s">
        <v>148</v>
      </c>
      <c r="D186" s="43" t="s">
        <v>144</v>
      </c>
      <c r="E186" s="44">
        <v>4966</v>
      </c>
      <c r="F186" s="45" t="s">
        <v>124</v>
      </c>
      <c r="G186" s="34">
        <v>0.02</v>
      </c>
      <c r="H186" s="44">
        <v>99.320000000000007</v>
      </c>
    </row>
    <row r="187" spans="1:8" x14ac:dyDescent="0.25">
      <c r="A187" s="42">
        <v>45078</v>
      </c>
      <c r="B187" s="43" t="s">
        <v>153</v>
      </c>
      <c r="C187" s="43" t="s">
        <v>183</v>
      </c>
      <c r="D187" s="43" t="s">
        <v>144</v>
      </c>
      <c r="E187" s="44">
        <v>14931</v>
      </c>
      <c r="F187" s="45" t="s">
        <v>130</v>
      </c>
      <c r="G187" s="34">
        <v>0.1</v>
      </c>
      <c r="H187" s="44">
        <v>1493.1000000000001</v>
      </c>
    </row>
    <row r="188" spans="1:8" x14ac:dyDescent="0.25">
      <c r="A188" s="42">
        <v>45082</v>
      </c>
      <c r="B188" s="43" t="s">
        <v>153</v>
      </c>
      <c r="C188" s="43" t="s">
        <v>199</v>
      </c>
      <c r="D188" s="43" t="s">
        <v>144</v>
      </c>
      <c r="E188" s="44">
        <v>5020</v>
      </c>
      <c r="F188" s="45" t="s">
        <v>130</v>
      </c>
      <c r="G188" s="34">
        <v>0.05</v>
      </c>
      <c r="H188" s="44">
        <v>251</v>
      </c>
    </row>
    <row r="189" spans="1:8" x14ac:dyDescent="0.25">
      <c r="A189" s="42">
        <v>45138</v>
      </c>
      <c r="B189" s="43" t="s">
        <v>153</v>
      </c>
      <c r="C189" s="43" t="s">
        <v>152</v>
      </c>
      <c r="D189" s="43" t="s">
        <v>146</v>
      </c>
      <c r="E189" s="44">
        <v>15472</v>
      </c>
      <c r="F189" s="45" t="s">
        <v>130</v>
      </c>
      <c r="G189" s="34">
        <v>0.1</v>
      </c>
      <c r="H189" s="44">
        <v>1547.2</v>
      </c>
    </row>
    <row r="190" spans="1:8" x14ac:dyDescent="0.25">
      <c r="A190" s="42">
        <v>45170</v>
      </c>
      <c r="B190" s="43" t="s">
        <v>153</v>
      </c>
      <c r="C190" s="43" t="s">
        <v>169</v>
      </c>
      <c r="D190" s="43" t="s">
        <v>144</v>
      </c>
      <c r="E190" s="44">
        <v>32932</v>
      </c>
      <c r="F190" s="45" t="s">
        <v>130</v>
      </c>
      <c r="G190" s="34">
        <v>0.1</v>
      </c>
      <c r="H190" s="44">
        <v>3293.2000000000003</v>
      </c>
    </row>
    <row r="191" spans="1:8" x14ac:dyDescent="0.25">
      <c r="A191" s="42">
        <v>45174</v>
      </c>
      <c r="B191" s="43" t="s">
        <v>153</v>
      </c>
      <c r="C191" s="43" t="s">
        <v>196</v>
      </c>
      <c r="D191" s="43" t="s">
        <v>144</v>
      </c>
      <c r="E191" s="44">
        <v>41875</v>
      </c>
      <c r="F191" s="45" t="s">
        <v>114</v>
      </c>
      <c r="G191" s="34">
        <v>0.1</v>
      </c>
      <c r="H191" s="44">
        <v>4187.5</v>
      </c>
    </row>
    <row r="192" spans="1:8" x14ac:dyDescent="0.25">
      <c r="A192" s="42">
        <v>45178</v>
      </c>
      <c r="B192" s="43" t="s">
        <v>153</v>
      </c>
      <c r="C192" s="43" t="s">
        <v>183</v>
      </c>
      <c r="D192" s="43" t="s">
        <v>144</v>
      </c>
      <c r="E192" s="44">
        <v>25356</v>
      </c>
      <c r="F192" s="45" t="s">
        <v>114</v>
      </c>
      <c r="G192" s="34">
        <v>0.1</v>
      </c>
      <c r="H192" s="44">
        <v>2535.6000000000004</v>
      </c>
    </row>
    <row r="193" spans="1:8" x14ac:dyDescent="0.25">
      <c r="A193" s="42">
        <v>45182</v>
      </c>
      <c r="B193" s="43" t="s">
        <v>153</v>
      </c>
      <c r="C193" s="43" t="s">
        <v>200</v>
      </c>
      <c r="D193" s="43" t="s">
        <v>141</v>
      </c>
      <c r="E193" s="44">
        <v>8484</v>
      </c>
      <c r="F193" s="45" t="s">
        <v>114</v>
      </c>
      <c r="G193" s="34">
        <v>7.0000000000000007E-2</v>
      </c>
      <c r="H193" s="44">
        <v>593.88000000000011</v>
      </c>
    </row>
    <row r="194" spans="1:8" x14ac:dyDescent="0.25">
      <c r="A194" s="42">
        <v>45186</v>
      </c>
      <c r="B194" s="43" t="s">
        <v>153</v>
      </c>
      <c r="C194" s="43" t="s">
        <v>178</v>
      </c>
      <c r="D194" s="43" t="s">
        <v>146</v>
      </c>
      <c r="E194" s="44">
        <v>42430</v>
      </c>
      <c r="F194" s="45" t="s">
        <v>114</v>
      </c>
      <c r="G194" s="34">
        <v>0.1</v>
      </c>
      <c r="H194" s="44">
        <v>4243</v>
      </c>
    </row>
    <row r="195" spans="1:8" x14ac:dyDescent="0.25">
      <c r="A195" s="42">
        <v>45190</v>
      </c>
      <c r="B195" s="43" t="s">
        <v>153</v>
      </c>
      <c r="C195" s="43" t="s">
        <v>142</v>
      </c>
      <c r="D195" s="43" t="s">
        <v>141</v>
      </c>
      <c r="E195" s="44">
        <v>42920</v>
      </c>
      <c r="F195" s="45" t="s">
        <v>114</v>
      </c>
      <c r="G195" s="34">
        <v>0.1</v>
      </c>
      <c r="H195" s="44">
        <v>4292</v>
      </c>
    </row>
    <row r="196" spans="1:8" x14ac:dyDescent="0.25">
      <c r="A196" s="42">
        <v>45194</v>
      </c>
      <c r="B196" s="43" t="s">
        <v>153</v>
      </c>
      <c r="C196" s="43" t="s">
        <v>197</v>
      </c>
      <c r="D196" s="43" t="s">
        <v>146</v>
      </c>
      <c r="E196" s="44">
        <v>25851</v>
      </c>
      <c r="F196" s="45" t="s">
        <v>124</v>
      </c>
      <c r="G196" s="34">
        <v>0.1</v>
      </c>
      <c r="H196" s="44">
        <v>2585.1000000000004</v>
      </c>
    </row>
    <row r="197" spans="1:8" x14ac:dyDescent="0.25">
      <c r="A197" s="42">
        <v>45258</v>
      </c>
      <c r="B197" s="43" t="s">
        <v>153</v>
      </c>
      <c r="C197" s="43" t="s">
        <v>199</v>
      </c>
      <c r="D197" s="43" t="s">
        <v>141</v>
      </c>
      <c r="E197" s="44">
        <v>25770</v>
      </c>
      <c r="F197" s="45" t="s">
        <v>124</v>
      </c>
      <c r="G197" s="34">
        <v>0.1</v>
      </c>
      <c r="H197" s="44">
        <v>2577</v>
      </c>
    </row>
    <row r="198" spans="1:8" x14ac:dyDescent="0.25">
      <c r="A198" s="42">
        <v>45282</v>
      </c>
      <c r="B198" s="43" t="s">
        <v>153</v>
      </c>
      <c r="C198" s="43" t="s">
        <v>148</v>
      </c>
      <c r="D198" s="43" t="s">
        <v>141</v>
      </c>
      <c r="E198" s="44">
        <v>7006</v>
      </c>
      <c r="F198" s="45" t="s">
        <v>114</v>
      </c>
      <c r="G198" s="34">
        <v>0.05</v>
      </c>
      <c r="H198" s="44">
        <v>350.3</v>
      </c>
    </row>
    <row r="199" spans="1:8" x14ac:dyDescent="0.25">
      <c r="A199" s="42">
        <v>45290</v>
      </c>
      <c r="B199" s="43" t="s">
        <v>153</v>
      </c>
      <c r="C199" s="43" t="s">
        <v>198</v>
      </c>
      <c r="D199" s="43" t="s">
        <v>141</v>
      </c>
      <c r="E199" s="44">
        <v>21912</v>
      </c>
      <c r="F199" s="45" t="s">
        <v>114</v>
      </c>
      <c r="G199" s="34">
        <v>0.1</v>
      </c>
      <c r="H199" s="44">
        <v>2191.2000000000003</v>
      </c>
    </row>
    <row r="200" spans="1:8" x14ac:dyDescent="0.25">
      <c r="A200" s="42">
        <v>44564</v>
      </c>
      <c r="B200" s="43" t="s">
        <v>153</v>
      </c>
      <c r="C200" s="43" t="s">
        <v>198</v>
      </c>
      <c r="D200" s="43" t="s">
        <v>141</v>
      </c>
      <c r="E200" s="44">
        <v>29604</v>
      </c>
      <c r="F200" s="45" t="s">
        <v>130</v>
      </c>
      <c r="G200" s="34">
        <v>0.1</v>
      </c>
      <c r="H200" s="44">
        <v>2960.4</v>
      </c>
    </row>
    <row r="201" spans="1:8" x14ac:dyDescent="0.25">
      <c r="A201" s="42">
        <v>44592</v>
      </c>
      <c r="B201" s="43" t="s">
        <v>153</v>
      </c>
      <c r="C201" s="43" t="s">
        <v>198</v>
      </c>
      <c r="D201" s="43" t="s">
        <v>141</v>
      </c>
      <c r="E201" s="44">
        <v>16804</v>
      </c>
      <c r="F201" s="45" t="s">
        <v>124</v>
      </c>
      <c r="G201" s="34">
        <v>0.1</v>
      </c>
      <c r="H201" s="44">
        <v>1680.4</v>
      </c>
    </row>
    <row r="202" spans="1:8" x14ac:dyDescent="0.25">
      <c r="A202" s="42">
        <v>44616</v>
      </c>
      <c r="B202" s="43" t="s">
        <v>153</v>
      </c>
      <c r="C202" s="43" t="s">
        <v>145</v>
      </c>
      <c r="D202" s="43" t="s">
        <v>144</v>
      </c>
      <c r="E202" s="44">
        <v>38280</v>
      </c>
      <c r="F202" s="45" t="s">
        <v>130</v>
      </c>
      <c r="G202" s="34">
        <v>0.1</v>
      </c>
      <c r="H202" s="44">
        <v>3828</v>
      </c>
    </row>
    <row r="203" spans="1:8" x14ac:dyDescent="0.25">
      <c r="A203" s="42">
        <v>44623</v>
      </c>
      <c r="B203" s="43" t="s">
        <v>153</v>
      </c>
      <c r="C203" s="43" t="s">
        <v>145</v>
      </c>
      <c r="D203" s="43" t="s">
        <v>144</v>
      </c>
      <c r="E203" s="44">
        <v>9966</v>
      </c>
      <c r="F203" s="45" t="s">
        <v>124</v>
      </c>
      <c r="G203" s="34">
        <v>7.0000000000000007E-2</v>
      </c>
      <c r="H203" s="44">
        <v>697.62000000000012</v>
      </c>
    </row>
    <row r="204" spans="1:8" x14ac:dyDescent="0.25">
      <c r="A204" s="42">
        <v>44627</v>
      </c>
      <c r="B204" s="43" t="s">
        <v>153</v>
      </c>
      <c r="C204" s="43" t="s">
        <v>193</v>
      </c>
      <c r="D204" s="43" t="s">
        <v>144</v>
      </c>
      <c r="E204" s="44">
        <v>39908</v>
      </c>
      <c r="F204" s="45" t="s">
        <v>130</v>
      </c>
      <c r="G204" s="34">
        <v>0.1</v>
      </c>
      <c r="H204" s="44">
        <v>3990.8</v>
      </c>
    </row>
    <row r="205" spans="1:8" x14ac:dyDescent="0.25">
      <c r="A205" s="42">
        <v>44631</v>
      </c>
      <c r="B205" s="43" t="s">
        <v>153</v>
      </c>
      <c r="C205" s="43" t="s">
        <v>164</v>
      </c>
      <c r="D205" s="43" t="s">
        <v>141</v>
      </c>
      <c r="E205" s="44">
        <v>10020</v>
      </c>
      <c r="F205" s="45" t="s">
        <v>130</v>
      </c>
      <c r="G205" s="34">
        <v>0.1</v>
      </c>
      <c r="H205" s="44">
        <v>1002</v>
      </c>
    </row>
    <row r="206" spans="1:8" x14ac:dyDescent="0.25">
      <c r="A206" s="42">
        <v>44687</v>
      </c>
      <c r="B206" s="43" t="s">
        <v>153</v>
      </c>
      <c r="C206" s="43" t="s">
        <v>160</v>
      </c>
      <c r="D206" s="43" t="s">
        <v>141</v>
      </c>
      <c r="E206" s="44">
        <v>10944</v>
      </c>
      <c r="F206" s="45" t="s">
        <v>130</v>
      </c>
      <c r="G206" s="34">
        <v>0.1</v>
      </c>
      <c r="H206" s="44">
        <v>1094.4000000000001</v>
      </c>
    </row>
    <row r="207" spans="1:8" x14ac:dyDescent="0.25">
      <c r="A207" s="42">
        <v>44719</v>
      </c>
      <c r="B207" s="43" t="s">
        <v>153</v>
      </c>
      <c r="C207" s="43" t="s">
        <v>160</v>
      </c>
      <c r="D207" s="43" t="s">
        <v>141</v>
      </c>
      <c r="E207" s="44">
        <v>3233</v>
      </c>
      <c r="F207" s="45" t="s">
        <v>130</v>
      </c>
      <c r="G207" s="34">
        <v>0.02</v>
      </c>
      <c r="H207" s="44">
        <v>64.66</v>
      </c>
    </row>
    <row r="208" spans="1:8" x14ac:dyDescent="0.25">
      <c r="A208" s="42">
        <v>44723</v>
      </c>
      <c r="B208" s="43" t="s">
        <v>153</v>
      </c>
      <c r="C208" s="43" t="s">
        <v>196</v>
      </c>
      <c r="D208" s="43" t="s">
        <v>141</v>
      </c>
      <c r="E208" s="44">
        <v>6750</v>
      </c>
      <c r="F208" s="45" t="s">
        <v>114</v>
      </c>
      <c r="G208" s="34">
        <v>0.05</v>
      </c>
      <c r="H208" s="44">
        <v>337.5</v>
      </c>
    </row>
    <row r="209" spans="1:8" x14ac:dyDescent="0.25">
      <c r="A209" s="42">
        <v>44727</v>
      </c>
      <c r="B209" s="43" t="s">
        <v>153</v>
      </c>
      <c r="C209" s="43" t="s">
        <v>183</v>
      </c>
      <c r="D209" s="43" t="s">
        <v>141</v>
      </c>
      <c r="E209" s="44">
        <v>6904</v>
      </c>
      <c r="F209" s="45" t="s">
        <v>114</v>
      </c>
      <c r="G209" s="34">
        <v>0.05</v>
      </c>
      <c r="H209" s="44">
        <v>345.20000000000005</v>
      </c>
    </row>
    <row r="210" spans="1:8" x14ac:dyDescent="0.25">
      <c r="A210" s="42">
        <v>44731</v>
      </c>
      <c r="B210" s="43" t="s">
        <v>153</v>
      </c>
      <c r="C210" s="43" t="s">
        <v>200</v>
      </c>
      <c r="D210" s="43" t="s">
        <v>141</v>
      </c>
      <c r="E210" s="44">
        <v>17420</v>
      </c>
      <c r="F210" s="45" t="s">
        <v>114</v>
      </c>
      <c r="G210" s="34">
        <v>0.1</v>
      </c>
      <c r="H210" s="44">
        <v>1742</v>
      </c>
    </row>
    <row r="211" spans="1:8" x14ac:dyDescent="0.25">
      <c r="A211" s="42">
        <v>44735</v>
      </c>
      <c r="B211" s="43" t="s">
        <v>153</v>
      </c>
      <c r="C211" s="43" t="s">
        <v>178</v>
      </c>
      <c r="D211" s="43" t="s">
        <v>141</v>
      </c>
      <c r="E211" s="44">
        <v>6972</v>
      </c>
      <c r="F211" s="45" t="s">
        <v>114</v>
      </c>
      <c r="G211" s="34">
        <v>0.05</v>
      </c>
      <c r="H211" s="44">
        <v>348.6</v>
      </c>
    </row>
    <row r="212" spans="1:8" x14ac:dyDescent="0.25">
      <c r="A212" s="42">
        <v>44739</v>
      </c>
      <c r="B212" s="43" t="s">
        <v>153</v>
      </c>
      <c r="C212" s="43" t="s">
        <v>142</v>
      </c>
      <c r="D212" s="43" t="s">
        <v>141</v>
      </c>
      <c r="E212" s="44">
        <v>17920</v>
      </c>
      <c r="F212" s="45" t="s">
        <v>114</v>
      </c>
      <c r="G212" s="34">
        <v>0.1</v>
      </c>
      <c r="H212" s="44">
        <v>1792</v>
      </c>
    </row>
    <row r="213" spans="1:8" x14ac:dyDescent="0.25">
      <c r="A213" s="42">
        <v>44743</v>
      </c>
      <c r="B213" s="43" t="s">
        <v>153</v>
      </c>
      <c r="C213" s="43" t="s">
        <v>197</v>
      </c>
      <c r="D213" s="43" t="s">
        <v>144</v>
      </c>
      <c r="E213" s="44">
        <v>18085</v>
      </c>
      <c r="F213" s="45" t="s">
        <v>124</v>
      </c>
      <c r="G213" s="34">
        <v>0.1</v>
      </c>
      <c r="H213" s="44">
        <v>1808.5</v>
      </c>
    </row>
    <row r="214" spans="1:8" x14ac:dyDescent="0.25">
      <c r="A214" s="42">
        <v>44811</v>
      </c>
      <c r="B214" s="43" t="s">
        <v>153</v>
      </c>
      <c r="C214" s="43" t="s">
        <v>201</v>
      </c>
      <c r="D214" s="43" t="s">
        <v>144</v>
      </c>
      <c r="E214" s="44">
        <v>4870</v>
      </c>
      <c r="F214" s="45" t="s">
        <v>124</v>
      </c>
      <c r="G214" s="34">
        <v>0.02</v>
      </c>
      <c r="H214" s="44">
        <v>97.4</v>
      </c>
    </row>
    <row r="215" spans="1:8" x14ac:dyDescent="0.25">
      <c r="A215" s="42">
        <v>44823</v>
      </c>
      <c r="B215" s="43" t="s">
        <v>153</v>
      </c>
      <c r="C215" s="43" t="s">
        <v>176</v>
      </c>
      <c r="D215" s="43" t="s">
        <v>141</v>
      </c>
      <c r="E215" s="44">
        <v>20360</v>
      </c>
      <c r="F215" s="45" t="s">
        <v>114</v>
      </c>
      <c r="G215" s="34">
        <v>0.1</v>
      </c>
      <c r="H215" s="44">
        <v>2036</v>
      </c>
    </row>
    <row r="216" spans="1:8" x14ac:dyDescent="0.25">
      <c r="A216" s="42">
        <v>44827</v>
      </c>
      <c r="B216" s="43" t="s">
        <v>153</v>
      </c>
      <c r="C216" s="43" t="s">
        <v>171</v>
      </c>
      <c r="D216" s="43" t="s">
        <v>141</v>
      </c>
      <c r="E216" s="44">
        <v>15270</v>
      </c>
      <c r="F216" s="45" t="s">
        <v>124</v>
      </c>
      <c r="G216" s="34">
        <v>0.1</v>
      </c>
      <c r="H216" s="44">
        <v>1527</v>
      </c>
    </row>
    <row r="217" spans="1:8" x14ac:dyDescent="0.25">
      <c r="A217" s="42">
        <v>44831</v>
      </c>
      <c r="B217" s="43" t="s">
        <v>153</v>
      </c>
      <c r="C217" s="43" t="s">
        <v>171</v>
      </c>
      <c r="D217" s="43" t="s">
        <v>141</v>
      </c>
      <c r="E217" s="44">
        <v>5145</v>
      </c>
      <c r="F217" s="45" t="s">
        <v>114</v>
      </c>
      <c r="G217" s="34">
        <v>0.05</v>
      </c>
      <c r="H217" s="44">
        <v>257.25</v>
      </c>
    </row>
    <row r="218" spans="1:8" x14ac:dyDescent="0.25">
      <c r="A218" s="42">
        <v>44847</v>
      </c>
      <c r="B218" s="43" t="s">
        <v>153</v>
      </c>
      <c r="C218" s="43" t="s">
        <v>183</v>
      </c>
      <c r="D218" s="43" t="s">
        <v>141</v>
      </c>
      <c r="E218" s="44">
        <v>16611</v>
      </c>
      <c r="F218" s="45" t="s">
        <v>124</v>
      </c>
      <c r="G218" s="34">
        <v>0.1</v>
      </c>
      <c r="H218" s="44">
        <v>1661.1000000000001</v>
      </c>
    </row>
    <row r="219" spans="1:8" x14ac:dyDescent="0.25">
      <c r="A219" s="42">
        <v>44855</v>
      </c>
      <c r="B219" s="43" t="s">
        <v>153</v>
      </c>
      <c r="C219" s="43" t="s">
        <v>186</v>
      </c>
      <c r="D219" s="43" t="s">
        <v>141</v>
      </c>
      <c r="E219" s="44">
        <v>16620</v>
      </c>
      <c r="F219" s="45" t="s">
        <v>124</v>
      </c>
      <c r="G219" s="34">
        <v>0.1</v>
      </c>
      <c r="H219" s="44">
        <v>1662</v>
      </c>
    </row>
    <row r="220" spans="1:8" x14ac:dyDescent="0.25">
      <c r="A220" s="42">
        <v>44863</v>
      </c>
      <c r="B220" s="43" t="s">
        <v>153</v>
      </c>
      <c r="C220" s="43" t="s">
        <v>195</v>
      </c>
      <c r="D220" s="43" t="s">
        <v>141</v>
      </c>
      <c r="E220" s="44">
        <v>16776</v>
      </c>
      <c r="F220" s="45" t="s">
        <v>124</v>
      </c>
      <c r="G220" s="34">
        <v>0.1</v>
      </c>
      <c r="H220" s="44">
        <v>1677.6000000000001</v>
      </c>
    </row>
    <row r="221" spans="1:8" x14ac:dyDescent="0.25">
      <c r="A221" s="42">
        <v>44867</v>
      </c>
      <c r="B221" s="43" t="s">
        <v>153</v>
      </c>
      <c r="C221" s="43" t="s">
        <v>185</v>
      </c>
      <c r="D221" s="43" t="s">
        <v>144</v>
      </c>
      <c r="E221" s="44">
        <v>5736</v>
      </c>
      <c r="F221" s="45" t="s">
        <v>124</v>
      </c>
      <c r="G221" s="34">
        <v>0.05</v>
      </c>
      <c r="H221" s="44">
        <v>286.8</v>
      </c>
    </row>
    <row r="222" spans="1:8" x14ac:dyDescent="0.25">
      <c r="A222" s="42">
        <v>44875</v>
      </c>
      <c r="B222" s="43" t="s">
        <v>153</v>
      </c>
      <c r="C222" s="43" t="s">
        <v>182</v>
      </c>
      <c r="D222" s="43" t="s">
        <v>144</v>
      </c>
      <c r="E222" s="44">
        <v>23380</v>
      </c>
      <c r="F222" s="45" t="s">
        <v>124</v>
      </c>
      <c r="G222" s="34">
        <v>0.1</v>
      </c>
      <c r="H222" s="44">
        <v>2338</v>
      </c>
    </row>
    <row r="223" spans="1:8" x14ac:dyDescent="0.25">
      <c r="A223" s="42">
        <v>44879</v>
      </c>
      <c r="B223" s="43" t="s">
        <v>153</v>
      </c>
      <c r="C223" s="43" t="s">
        <v>159</v>
      </c>
      <c r="D223" s="43" t="s">
        <v>144</v>
      </c>
      <c r="E223" s="44">
        <v>23380</v>
      </c>
      <c r="F223" s="45" t="s">
        <v>124</v>
      </c>
      <c r="G223" s="34">
        <v>0.1</v>
      </c>
      <c r="H223" s="44">
        <v>2338</v>
      </c>
    </row>
    <row r="224" spans="1:8" x14ac:dyDescent="0.25">
      <c r="A224" s="42">
        <v>44883</v>
      </c>
      <c r="B224" s="43" t="s">
        <v>153</v>
      </c>
      <c r="C224" s="43" t="s">
        <v>157</v>
      </c>
      <c r="D224" s="43" t="s">
        <v>146</v>
      </c>
      <c r="E224" s="44">
        <v>17967</v>
      </c>
      <c r="F224" s="45" t="s">
        <v>114</v>
      </c>
      <c r="G224" s="34">
        <v>0.1</v>
      </c>
      <c r="H224" s="44">
        <v>1796.7</v>
      </c>
    </row>
    <row r="225" spans="1:8" x14ac:dyDescent="0.25">
      <c r="A225" s="42">
        <v>44891</v>
      </c>
      <c r="B225" s="43" t="s">
        <v>153</v>
      </c>
      <c r="C225" s="43" t="s">
        <v>149</v>
      </c>
      <c r="D225" s="43" t="s">
        <v>146</v>
      </c>
      <c r="E225" s="44">
        <v>30930</v>
      </c>
      <c r="F225" s="45" t="s">
        <v>124</v>
      </c>
      <c r="G225" s="34">
        <v>0.1</v>
      </c>
      <c r="H225" s="44">
        <v>3093</v>
      </c>
    </row>
    <row r="226" spans="1:8" x14ac:dyDescent="0.25">
      <c r="A226" s="42">
        <v>44899</v>
      </c>
      <c r="B226" s="43" t="s">
        <v>153</v>
      </c>
      <c r="C226" s="43" t="s">
        <v>149</v>
      </c>
      <c r="D226" s="43" t="s">
        <v>144</v>
      </c>
      <c r="E226" s="44">
        <v>6439</v>
      </c>
      <c r="F226" s="45" t="s">
        <v>114</v>
      </c>
      <c r="G226" s="34">
        <v>0.05</v>
      </c>
      <c r="H226" s="44">
        <v>321.95000000000005</v>
      </c>
    </row>
    <row r="227" spans="1:8" x14ac:dyDescent="0.25">
      <c r="A227" s="42">
        <v>44923</v>
      </c>
      <c r="B227" s="43" t="s">
        <v>153</v>
      </c>
      <c r="C227" s="43" t="s">
        <v>148</v>
      </c>
      <c r="D227" s="43" t="s">
        <v>144</v>
      </c>
      <c r="E227" s="44">
        <v>3485</v>
      </c>
      <c r="F227" s="45" t="s">
        <v>114</v>
      </c>
      <c r="G227" s="34">
        <v>0.02</v>
      </c>
      <c r="H227" s="44">
        <v>69.7</v>
      </c>
    </row>
    <row r="228" spans="1:8" x14ac:dyDescent="0.25">
      <c r="A228" s="42">
        <v>45304</v>
      </c>
      <c r="B228" s="43" t="s">
        <v>155</v>
      </c>
      <c r="C228" s="43" t="s">
        <v>188</v>
      </c>
      <c r="D228" s="43" t="s">
        <v>146</v>
      </c>
      <c r="E228" s="44">
        <v>2154</v>
      </c>
      <c r="F228" s="45" t="s">
        <v>124</v>
      </c>
      <c r="G228" s="34">
        <v>0.02</v>
      </c>
      <c r="H228" s="44">
        <v>43.08</v>
      </c>
    </row>
    <row r="229" spans="1:8" x14ac:dyDescent="0.25">
      <c r="A229" s="42">
        <v>45312</v>
      </c>
      <c r="B229" s="43" t="s">
        <v>155</v>
      </c>
      <c r="C229" s="43" t="s">
        <v>159</v>
      </c>
      <c r="D229" s="43" t="s">
        <v>141</v>
      </c>
      <c r="E229" s="44">
        <v>1606</v>
      </c>
      <c r="F229" s="45" t="s">
        <v>114</v>
      </c>
      <c r="G229" s="34">
        <v>0.02</v>
      </c>
      <c r="H229" s="44">
        <v>32.119999999999997</v>
      </c>
    </row>
    <row r="230" spans="1:8" x14ac:dyDescent="0.25">
      <c r="A230" s="42">
        <v>45340</v>
      </c>
      <c r="B230" s="43" t="s">
        <v>155</v>
      </c>
      <c r="C230" s="43" t="s">
        <v>198</v>
      </c>
      <c r="D230" s="43" t="s">
        <v>144</v>
      </c>
      <c r="E230" s="44">
        <v>8943</v>
      </c>
      <c r="F230" s="45" t="s">
        <v>114</v>
      </c>
      <c r="G230" s="34">
        <v>7.0000000000000007E-2</v>
      </c>
      <c r="H230" s="44">
        <v>626.0100000000001</v>
      </c>
    </row>
    <row r="231" spans="1:8" x14ac:dyDescent="0.25">
      <c r="A231" s="42">
        <v>45361</v>
      </c>
      <c r="B231" s="43" t="s">
        <v>155</v>
      </c>
      <c r="C231" s="43" t="s">
        <v>189</v>
      </c>
      <c r="D231" s="43" t="s">
        <v>144</v>
      </c>
      <c r="E231" s="44">
        <v>18255</v>
      </c>
      <c r="F231" s="45" t="s">
        <v>124</v>
      </c>
      <c r="G231" s="34">
        <v>0.1</v>
      </c>
      <c r="H231" s="44">
        <v>1825.5</v>
      </c>
    </row>
    <row r="232" spans="1:8" x14ac:dyDescent="0.25">
      <c r="A232" s="42">
        <v>45365</v>
      </c>
      <c r="B232" s="43" t="s">
        <v>155</v>
      </c>
      <c r="C232" s="43" t="s">
        <v>202</v>
      </c>
      <c r="D232" s="43" t="s">
        <v>141</v>
      </c>
      <c r="E232" s="44">
        <v>20240</v>
      </c>
      <c r="F232" s="45" t="s">
        <v>130</v>
      </c>
      <c r="G232" s="34">
        <v>0.1</v>
      </c>
      <c r="H232" s="44">
        <v>2024</v>
      </c>
    </row>
    <row r="233" spans="1:8" x14ac:dyDescent="0.25">
      <c r="A233" s="42">
        <v>45369</v>
      </c>
      <c r="B233" s="43" t="s">
        <v>155</v>
      </c>
      <c r="C233" s="43" t="s">
        <v>203</v>
      </c>
      <c r="D233" s="43" t="s">
        <v>144</v>
      </c>
      <c r="E233" s="44">
        <v>16808</v>
      </c>
      <c r="F233" s="45" t="s">
        <v>130</v>
      </c>
      <c r="G233" s="34">
        <v>0.1</v>
      </c>
      <c r="H233" s="44">
        <v>1680.8000000000002</v>
      </c>
    </row>
    <row r="234" spans="1:8" x14ac:dyDescent="0.25">
      <c r="A234" s="42">
        <v>45373</v>
      </c>
      <c r="B234" s="43" t="s">
        <v>155</v>
      </c>
      <c r="C234" s="43" t="s">
        <v>188</v>
      </c>
      <c r="D234" s="43" t="s">
        <v>146</v>
      </c>
      <c r="E234" s="44">
        <v>21385</v>
      </c>
      <c r="F234" s="45" t="s">
        <v>124</v>
      </c>
      <c r="G234" s="34">
        <v>0.1</v>
      </c>
      <c r="H234" s="44">
        <v>2138.5</v>
      </c>
    </row>
    <row r="235" spans="1:8" x14ac:dyDescent="0.25">
      <c r="A235" s="42">
        <v>45425</v>
      </c>
      <c r="B235" s="43" t="s">
        <v>155</v>
      </c>
      <c r="C235" s="43" t="s">
        <v>145</v>
      </c>
      <c r="D235" s="43" t="s">
        <v>141</v>
      </c>
      <c r="E235" s="44">
        <v>25780</v>
      </c>
      <c r="F235" s="45" t="s">
        <v>114</v>
      </c>
      <c r="G235" s="34">
        <v>0.1</v>
      </c>
      <c r="H235" s="44">
        <v>2578</v>
      </c>
    </row>
    <row r="236" spans="1:8" x14ac:dyDescent="0.25">
      <c r="A236" s="42">
        <v>45445</v>
      </c>
      <c r="B236" s="43" t="s">
        <v>155</v>
      </c>
      <c r="C236" s="43" t="s">
        <v>142</v>
      </c>
      <c r="D236" s="43" t="s">
        <v>141</v>
      </c>
      <c r="E236" s="44">
        <v>30132</v>
      </c>
      <c r="F236" s="45" t="s">
        <v>124</v>
      </c>
      <c r="G236" s="34">
        <v>0.1</v>
      </c>
      <c r="H236" s="44">
        <v>3013.2000000000003</v>
      </c>
    </row>
    <row r="237" spans="1:8" x14ac:dyDescent="0.25">
      <c r="A237" s="42">
        <v>45457</v>
      </c>
      <c r="B237" s="43" t="s">
        <v>155</v>
      </c>
      <c r="C237" s="43" t="s">
        <v>189</v>
      </c>
      <c r="D237" s="43" t="s">
        <v>146</v>
      </c>
      <c r="E237" s="44">
        <v>15950</v>
      </c>
      <c r="F237" s="45" t="s">
        <v>114</v>
      </c>
      <c r="G237" s="34">
        <v>0.1</v>
      </c>
      <c r="H237" s="44">
        <v>1595</v>
      </c>
    </row>
    <row r="238" spans="1:8" x14ac:dyDescent="0.25">
      <c r="A238" s="42">
        <v>45461</v>
      </c>
      <c r="B238" s="43" t="s">
        <v>155</v>
      </c>
      <c r="C238" s="43" t="s">
        <v>202</v>
      </c>
      <c r="D238" s="43" t="s">
        <v>141</v>
      </c>
      <c r="E238" s="44">
        <v>8052</v>
      </c>
      <c r="F238" s="45" t="s">
        <v>124</v>
      </c>
      <c r="G238" s="34">
        <v>7.0000000000000007E-2</v>
      </c>
      <c r="H238" s="44">
        <v>563.6400000000001</v>
      </c>
    </row>
    <row r="239" spans="1:8" x14ac:dyDescent="0.25">
      <c r="A239" s="42">
        <v>45481</v>
      </c>
      <c r="B239" s="43" t="s">
        <v>155</v>
      </c>
      <c r="C239" s="43" t="s">
        <v>148</v>
      </c>
      <c r="D239" s="43" t="s">
        <v>144</v>
      </c>
      <c r="E239" s="44">
        <v>32948</v>
      </c>
      <c r="F239" s="45" t="s">
        <v>114</v>
      </c>
      <c r="G239" s="34">
        <v>0.1</v>
      </c>
      <c r="H239" s="44">
        <v>3294.8</v>
      </c>
    </row>
    <row r="240" spans="1:8" x14ac:dyDescent="0.25">
      <c r="A240" s="42">
        <v>45509</v>
      </c>
      <c r="B240" s="43" t="s">
        <v>155</v>
      </c>
      <c r="C240" s="43" t="s">
        <v>160</v>
      </c>
      <c r="D240" s="43" t="s">
        <v>146</v>
      </c>
      <c r="E240" s="44">
        <v>34668</v>
      </c>
      <c r="F240" s="45" t="s">
        <v>130</v>
      </c>
      <c r="G240" s="34">
        <v>0.1</v>
      </c>
      <c r="H240" s="44">
        <v>3466.8</v>
      </c>
    </row>
    <row r="241" spans="1:8" x14ac:dyDescent="0.25">
      <c r="A241" s="42">
        <v>45513</v>
      </c>
      <c r="B241" s="43" t="s">
        <v>155</v>
      </c>
      <c r="C241" s="43" t="s">
        <v>159</v>
      </c>
      <c r="D241" s="43" t="s">
        <v>146</v>
      </c>
      <c r="E241" s="44">
        <v>26199</v>
      </c>
      <c r="F241" s="45" t="s">
        <v>124</v>
      </c>
      <c r="G241" s="34">
        <v>0.1</v>
      </c>
      <c r="H241" s="44">
        <v>2619.9</v>
      </c>
    </row>
    <row r="242" spans="1:8" x14ac:dyDescent="0.25">
      <c r="A242" s="42">
        <v>45565</v>
      </c>
      <c r="B242" s="43" t="s">
        <v>155</v>
      </c>
      <c r="C242" s="43" t="s">
        <v>191</v>
      </c>
      <c r="D242" s="43" t="s">
        <v>144</v>
      </c>
      <c r="E242" s="44">
        <v>9734</v>
      </c>
      <c r="F242" s="45" t="s">
        <v>124</v>
      </c>
      <c r="G242" s="34">
        <v>7.0000000000000007E-2</v>
      </c>
      <c r="H242" s="44">
        <v>681.38000000000011</v>
      </c>
    </row>
    <row r="243" spans="1:8" x14ac:dyDescent="0.25">
      <c r="A243" s="42">
        <v>45605</v>
      </c>
      <c r="B243" s="43" t="s">
        <v>155</v>
      </c>
      <c r="C243" s="43" t="s">
        <v>201</v>
      </c>
      <c r="D243" s="43" t="s">
        <v>141</v>
      </c>
      <c r="E243" s="44">
        <v>20790</v>
      </c>
      <c r="F243" s="45" t="s">
        <v>114</v>
      </c>
      <c r="G243" s="34">
        <v>0.1</v>
      </c>
      <c r="H243" s="44">
        <v>2079</v>
      </c>
    </row>
    <row r="244" spans="1:8" x14ac:dyDescent="0.25">
      <c r="A244" s="42">
        <v>44966</v>
      </c>
      <c r="B244" s="43" t="s">
        <v>155</v>
      </c>
      <c r="C244" s="43" t="s">
        <v>183</v>
      </c>
      <c r="D244" s="43" t="s">
        <v>141</v>
      </c>
      <c r="E244" s="44">
        <v>20796</v>
      </c>
      <c r="F244" s="45" t="s">
        <v>114</v>
      </c>
      <c r="G244" s="34">
        <v>0.1</v>
      </c>
      <c r="H244" s="44">
        <v>2079.6</v>
      </c>
    </row>
    <row r="245" spans="1:8" x14ac:dyDescent="0.25">
      <c r="A245" s="42">
        <v>44990</v>
      </c>
      <c r="B245" s="43" t="s">
        <v>155</v>
      </c>
      <c r="C245" s="43" t="s">
        <v>143</v>
      </c>
      <c r="D245" s="43" t="s">
        <v>146</v>
      </c>
      <c r="E245" s="44">
        <v>4308</v>
      </c>
      <c r="F245" s="45" t="s">
        <v>124</v>
      </c>
      <c r="G245" s="34">
        <v>0.02</v>
      </c>
      <c r="H245" s="44">
        <v>86.16</v>
      </c>
    </row>
    <row r="246" spans="1:8" x14ac:dyDescent="0.25">
      <c r="A246" s="42">
        <v>44998</v>
      </c>
      <c r="B246" s="43" t="s">
        <v>155</v>
      </c>
      <c r="C246" s="43" t="s">
        <v>140</v>
      </c>
      <c r="D246" s="43" t="s">
        <v>141</v>
      </c>
      <c r="E246" s="44">
        <v>4818</v>
      </c>
      <c r="F246" s="45" t="s">
        <v>114</v>
      </c>
      <c r="G246" s="34">
        <v>0.02</v>
      </c>
      <c r="H246" s="44">
        <v>96.36</v>
      </c>
    </row>
    <row r="247" spans="1:8" x14ac:dyDescent="0.25">
      <c r="A247" s="42">
        <v>45026</v>
      </c>
      <c r="B247" s="43" t="s">
        <v>155</v>
      </c>
      <c r="C247" s="43" t="s">
        <v>198</v>
      </c>
      <c r="D247" s="43" t="s">
        <v>141</v>
      </c>
      <c r="E247" s="44">
        <v>2931</v>
      </c>
      <c r="F247" s="45" t="s">
        <v>114</v>
      </c>
      <c r="G247" s="34">
        <v>0.02</v>
      </c>
      <c r="H247" s="44">
        <v>58.620000000000005</v>
      </c>
    </row>
    <row r="248" spans="1:8" x14ac:dyDescent="0.25">
      <c r="A248" s="42">
        <v>45046</v>
      </c>
      <c r="B248" s="43" t="s">
        <v>155</v>
      </c>
      <c r="C248" s="43" t="s">
        <v>189</v>
      </c>
      <c r="D248" s="43" t="s">
        <v>141</v>
      </c>
      <c r="E248" s="44">
        <v>3601</v>
      </c>
      <c r="F248" s="45" t="s">
        <v>124</v>
      </c>
      <c r="G248" s="34">
        <v>0.02</v>
      </c>
      <c r="H248" s="44">
        <v>72.02</v>
      </c>
    </row>
    <row r="249" spans="1:8" x14ac:dyDescent="0.25">
      <c r="A249" s="42">
        <v>45050</v>
      </c>
      <c r="B249" s="43" t="s">
        <v>155</v>
      </c>
      <c r="C249" s="43" t="s">
        <v>202</v>
      </c>
      <c r="D249" s="43" t="s">
        <v>144</v>
      </c>
      <c r="E249" s="44">
        <v>19880</v>
      </c>
      <c r="F249" s="45" t="s">
        <v>130</v>
      </c>
      <c r="G249" s="34">
        <v>0.1</v>
      </c>
      <c r="H249" s="44">
        <v>1988</v>
      </c>
    </row>
    <row r="250" spans="1:8" x14ac:dyDescent="0.25">
      <c r="A250" s="42">
        <v>45054</v>
      </c>
      <c r="B250" s="43" t="s">
        <v>155</v>
      </c>
      <c r="C250" s="43" t="s">
        <v>203</v>
      </c>
      <c r="D250" s="43" t="s">
        <v>144</v>
      </c>
      <c r="E250" s="44">
        <v>8304</v>
      </c>
      <c r="F250" s="45" t="s">
        <v>130</v>
      </c>
      <c r="G250" s="34">
        <v>7.0000000000000007E-2</v>
      </c>
      <c r="H250" s="44">
        <v>581.28000000000009</v>
      </c>
    </row>
    <row r="251" spans="1:8" x14ac:dyDescent="0.25">
      <c r="A251" s="42">
        <v>45058</v>
      </c>
      <c r="B251" s="43" t="s">
        <v>155</v>
      </c>
      <c r="C251" s="43" t="s">
        <v>188</v>
      </c>
      <c r="D251" s="43" t="s">
        <v>144</v>
      </c>
      <c r="E251" s="44">
        <v>8454</v>
      </c>
      <c r="F251" s="45" t="s">
        <v>124</v>
      </c>
      <c r="G251" s="34">
        <v>7.0000000000000007E-2</v>
      </c>
      <c r="H251" s="44">
        <v>591.78000000000009</v>
      </c>
    </row>
    <row r="252" spans="1:8" x14ac:dyDescent="0.25">
      <c r="A252" s="42">
        <v>45110</v>
      </c>
      <c r="B252" s="43" t="s">
        <v>155</v>
      </c>
      <c r="C252" s="43" t="s">
        <v>145</v>
      </c>
      <c r="D252" s="43" t="s">
        <v>146</v>
      </c>
      <c r="E252" s="44">
        <v>25580</v>
      </c>
      <c r="F252" s="45" t="s">
        <v>114</v>
      </c>
      <c r="G252" s="34">
        <v>0.1</v>
      </c>
      <c r="H252" s="44">
        <v>2558</v>
      </c>
    </row>
    <row r="253" spans="1:8" x14ac:dyDescent="0.25">
      <c r="A253" s="42">
        <v>45130</v>
      </c>
      <c r="B253" s="43" t="s">
        <v>155</v>
      </c>
      <c r="C253" s="43" t="s">
        <v>142</v>
      </c>
      <c r="D253" s="43" t="s">
        <v>146</v>
      </c>
      <c r="E253" s="44">
        <v>29932</v>
      </c>
      <c r="F253" s="45" t="s">
        <v>124</v>
      </c>
      <c r="G253" s="34">
        <v>0.1</v>
      </c>
      <c r="H253" s="44">
        <v>2993.2000000000003</v>
      </c>
    </row>
    <row r="254" spans="1:8" x14ac:dyDescent="0.25">
      <c r="A254" s="42">
        <v>45142</v>
      </c>
      <c r="B254" s="43" t="s">
        <v>155</v>
      </c>
      <c r="C254" s="43" t="s">
        <v>189</v>
      </c>
      <c r="D254" s="43" t="s">
        <v>146</v>
      </c>
      <c r="E254" s="44">
        <v>23775</v>
      </c>
      <c r="F254" s="45" t="s">
        <v>114</v>
      </c>
      <c r="G254" s="34">
        <v>0.1</v>
      </c>
      <c r="H254" s="44">
        <v>2377.5</v>
      </c>
    </row>
    <row r="255" spans="1:8" x14ac:dyDescent="0.25">
      <c r="A255" s="42">
        <v>45146</v>
      </c>
      <c r="B255" s="43" t="s">
        <v>155</v>
      </c>
      <c r="C255" s="43" t="s">
        <v>173</v>
      </c>
      <c r="D255" s="43" t="s">
        <v>141</v>
      </c>
      <c r="E255" s="44">
        <v>8002</v>
      </c>
      <c r="F255" s="45" t="s">
        <v>124</v>
      </c>
      <c r="G255" s="34">
        <v>7.0000000000000007E-2</v>
      </c>
      <c r="H255" s="44">
        <v>560.1400000000001</v>
      </c>
    </row>
    <row r="256" spans="1:8" x14ac:dyDescent="0.25">
      <c r="A256" s="42">
        <v>45198</v>
      </c>
      <c r="B256" s="43" t="s">
        <v>155</v>
      </c>
      <c r="C256" s="43" t="s">
        <v>202</v>
      </c>
      <c r="D256" s="43" t="s">
        <v>146</v>
      </c>
      <c r="E256" s="44">
        <v>17366</v>
      </c>
      <c r="F256" s="45" t="s">
        <v>124</v>
      </c>
      <c r="G256" s="34">
        <v>0.1</v>
      </c>
      <c r="H256" s="44">
        <v>1736.6000000000001</v>
      </c>
    </row>
    <row r="257" spans="1:8" x14ac:dyDescent="0.25">
      <c r="A257" s="42">
        <v>45202</v>
      </c>
      <c r="B257" s="43" t="s">
        <v>155</v>
      </c>
      <c r="C257" s="43" t="s">
        <v>177</v>
      </c>
      <c r="D257" s="43" t="s">
        <v>141</v>
      </c>
      <c r="E257" s="44">
        <v>26409</v>
      </c>
      <c r="F257" s="45" t="s">
        <v>124</v>
      </c>
      <c r="G257" s="34">
        <v>0.1</v>
      </c>
      <c r="H257" s="44">
        <v>2640.9</v>
      </c>
    </row>
    <row r="258" spans="1:8" x14ac:dyDescent="0.25">
      <c r="A258" s="42">
        <v>45206</v>
      </c>
      <c r="B258" s="43" t="s">
        <v>155</v>
      </c>
      <c r="C258" s="43" t="s">
        <v>159</v>
      </c>
      <c r="D258" s="43" t="s">
        <v>144</v>
      </c>
      <c r="E258" s="44">
        <v>8893</v>
      </c>
      <c r="F258" s="45" t="s">
        <v>124</v>
      </c>
      <c r="G258" s="34">
        <v>7.0000000000000007E-2</v>
      </c>
      <c r="H258" s="44">
        <v>622.5100000000001</v>
      </c>
    </row>
    <row r="259" spans="1:8" x14ac:dyDescent="0.25">
      <c r="A259" s="42">
        <v>45210</v>
      </c>
      <c r="B259" s="43" t="s">
        <v>155</v>
      </c>
      <c r="C259" s="43" t="s">
        <v>143</v>
      </c>
      <c r="D259" s="43" t="s">
        <v>146</v>
      </c>
      <c r="E259" s="44">
        <v>8935</v>
      </c>
      <c r="F259" s="45" t="s">
        <v>124</v>
      </c>
      <c r="G259" s="34">
        <v>7.0000000000000007E-2</v>
      </c>
      <c r="H259" s="44">
        <v>625.45000000000005</v>
      </c>
    </row>
    <row r="260" spans="1:8" x14ac:dyDescent="0.25">
      <c r="A260" s="42">
        <v>45270</v>
      </c>
      <c r="B260" s="43" t="s">
        <v>155</v>
      </c>
      <c r="C260" s="43" t="s">
        <v>143</v>
      </c>
      <c r="D260" s="43" t="s">
        <v>144</v>
      </c>
      <c r="E260" s="44">
        <v>30385</v>
      </c>
      <c r="F260" s="45" t="s">
        <v>124</v>
      </c>
      <c r="G260" s="34">
        <v>0.1</v>
      </c>
      <c r="H260" s="44">
        <v>3038.5</v>
      </c>
    </row>
    <row r="261" spans="1:8" x14ac:dyDescent="0.25">
      <c r="A261" s="42">
        <v>45278</v>
      </c>
      <c r="B261" s="43" t="s">
        <v>155</v>
      </c>
      <c r="C261" s="43" t="s">
        <v>140</v>
      </c>
      <c r="D261" s="43" t="s">
        <v>144</v>
      </c>
      <c r="E261" s="44">
        <v>33030</v>
      </c>
      <c r="F261" s="45" t="s">
        <v>114</v>
      </c>
      <c r="G261" s="34">
        <v>0.1</v>
      </c>
      <c r="H261" s="44">
        <v>3303</v>
      </c>
    </row>
    <row r="262" spans="1:8" x14ac:dyDescent="0.25">
      <c r="A262" s="42">
        <v>44576</v>
      </c>
      <c r="B262" s="43" t="s">
        <v>155</v>
      </c>
      <c r="C262" s="43" t="s">
        <v>198</v>
      </c>
      <c r="D262" s="43" t="s">
        <v>144</v>
      </c>
      <c r="E262" s="44">
        <v>23793</v>
      </c>
      <c r="F262" s="45" t="s">
        <v>114</v>
      </c>
      <c r="G262" s="34">
        <v>0.1</v>
      </c>
      <c r="H262" s="44">
        <v>2379.3000000000002</v>
      </c>
    </row>
    <row r="263" spans="1:8" x14ac:dyDescent="0.25">
      <c r="A263" s="42">
        <v>44751</v>
      </c>
      <c r="B263" s="43" t="s">
        <v>155</v>
      </c>
      <c r="C263" s="43" t="s">
        <v>143</v>
      </c>
      <c r="D263" s="43" t="s">
        <v>146</v>
      </c>
      <c r="E263" s="44">
        <v>7606</v>
      </c>
      <c r="F263" s="45" t="s">
        <v>130</v>
      </c>
      <c r="G263" s="34">
        <v>0.05</v>
      </c>
      <c r="H263" s="44">
        <v>380.3</v>
      </c>
    </row>
    <row r="264" spans="1:8" x14ac:dyDescent="0.25">
      <c r="A264" s="42">
        <v>44755</v>
      </c>
      <c r="B264" s="43" t="s">
        <v>155</v>
      </c>
      <c r="C264" s="43" t="s">
        <v>159</v>
      </c>
      <c r="D264" s="43" t="s">
        <v>146</v>
      </c>
      <c r="E264" s="44">
        <v>3893</v>
      </c>
      <c r="F264" s="45" t="s">
        <v>130</v>
      </c>
      <c r="G264" s="34">
        <v>0.02</v>
      </c>
      <c r="H264" s="44">
        <v>77.86</v>
      </c>
    </row>
    <row r="265" spans="1:8" x14ac:dyDescent="0.25">
      <c r="A265" s="42">
        <v>44759</v>
      </c>
      <c r="B265" s="43" t="s">
        <v>155</v>
      </c>
      <c r="C265" s="43" t="s">
        <v>177</v>
      </c>
      <c r="D265" s="43" t="s">
        <v>146</v>
      </c>
      <c r="E265" s="44">
        <v>3935</v>
      </c>
      <c r="F265" s="45" t="s">
        <v>130</v>
      </c>
      <c r="G265" s="34">
        <v>0.02</v>
      </c>
      <c r="H265" s="44">
        <v>78.7</v>
      </c>
    </row>
    <row r="266" spans="1:8" x14ac:dyDescent="0.25">
      <c r="A266" s="42">
        <v>44815</v>
      </c>
      <c r="B266" s="43" t="s">
        <v>155</v>
      </c>
      <c r="C266" s="43" t="s">
        <v>202</v>
      </c>
      <c r="D266" s="43" t="s">
        <v>146</v>
      </c>
      <c r="E266" s="44">
        <v>19956</v>
      </c>
      <c r="F266" s="45" t="s">
        <v>130</v>
      </c>
      <c r="G266" s="34">
        <v>0.1</v>
      </c>
      <c r="H266" s="44">
        <v>1995.6000000000001</v>
      </c>
    </row>
    <row r="267" spans="1:8" x14ac:dyDescent="0.25">
      <c r="A267" s="42">
        <v>44819</v>
      </c>
      <c r="B267" s="43" t="s">
        <v>155</v>
      </c>
      <c r="C267" s="43" t="s">
        <v>173</v>
      </c>
      <c r="D267" s="43" t="s">
        <v>146</v>
      </c>
      <c r="E267" s="44">
        <v>20224</v>
      </c>
      <c r="F267" s="45" t="s">
        <v>130</v>
      </c>
      <c r="G267" s="34">
        <v>0.1</v>
      </c>
      <c r="H267" s="44">
        <v>2022.4</v>
      </c>
    </row>
    <row r="268" spans="1:8" x14ac:dyDescent="0.25">
      <c r="A268" s="42">
        <v>44835</v>
      </c>
      <c r="B268" s="43" t="s">
        <v>155</v>
      </c>
      <c r="C268" s="43" t="s">
        <v>189</v>
      </c>
      <c r="D268" s="43" t="s">
        <v>146</v>
      </c>
      <c r="E268" s="44">
        <v>5188</v>
      </c>
      <c r="F268" s="45" t="s">
        <v>130</v>
      </c>
      <c r="G268" s="34">
        <v>0.05</v>
      </c>
      <c r="H268" s="44">
        <v>259.40000000000003</v>
      </c>
    </row>
    <row r="269" spans="1:8" x14ac:dyDescent="0.25">
      <c r="A269" s="42">
        <v>44843</v>
      </c>
      <c r="B269" s="43" t="s">
        <v>155</v>
      </c>
      <c r="C269" s="43" t="s">
        <v>183</v>
      </c>
      <c r="D269" s="43" t="s">
        <v>144</v>
      </c>
      <c r="E269" s="44">
        <v>10796</v>
      </c>
      <c r="F269" s="45" t="s">
        <v>114</v>
      </c>
      <c r="G269" s="34">
        <v>0.1</v>
      </c>
      <c r="H269" s="44">
        <v>1079.6000000000001</v>
      </c>
    </row>
    <row r="270" spans="1:8" x14ac:dyDescent="0.25">
      <c r="A270" s="42">
        <v>44851</v>
      </c>
      <c r="B270" s="43" t="s">
        <v>155</v>
      </c>
      <c r="C270" s="43" t="s">
        <v>142</v>
      </c>
      <c r="D270" s="43" t="s">
        <v>146</v>
      </c>
      <c r="E270" s="44">
        <v>11074</v>
      </c>
      <c r="F270" s="45" t="s">
        <v>130</v>
      </c>
      <c r="G270" s="34">
        <v>0.1</v>
      </c>
      <c r="H270" s="44">
        <v>1107.4000000000001</v>
      </c>
    </row>
    <row r="271" spans="1:8" x14ac:dyDescent="0.25">
      <c r="A271" s="42">
        <v>44859</v>
      </c>
      <c r="B271" s="43" t="s">
        <v>155</v>
      </c>
      <c r="C271" s="43" t="s">
        <v>145</v>
      </c>
      <c r="D271" s="43" t="s">
        <v>146</v>
      </c>
      <c r="E271" s="44">
        <v>22160</v>
      </c>
      <c r="F271" s="45" t="s">
        <v>130</v>
      </c>
      <c r="G271" s="34">
        <v>0.1</v>
      </c>
      <c r="H271" s="44">
        <v>2216</v>
      </c>
    </row>
    <row r="272" spans="1:8" x14ac:dyDescent="0.25">
      <c r="A272" s="42">
        <v>44871</v>
      </c>
      <c r="B272" s="43" t="s">
        <v>155</v>
      </c>
      <c r="C272" s="43" t="s">
        <v>188</v>
      </c>
      <c r="D272" s="43" t="s">
        <v>146</v>
      </c>
      <c r="E272" s="44">
        <v>17208</v>
      </c>
      <c r="F272" s="45" t="s">
        <v>130</v>
      </c>
      <c r="G272" s="34">
        <v>0.1</v>
      </c>
      <c r="H272" s="44">
        <v>1720.8000000000002</v>
      </c>
    </row>
    <row r="273" spans="1:8" x14ac:dyDescent="0.25">
      <c r="A273" s="42">
        <v>44887</v>
      </c>
      <c r="B273" s="43" t="s">
        <v>155</v>
      </c>
      <c r="C273" s="43" t="s">
        <v>203</v>
      </c>
      <c r="D273" s="43" t="s">
        <v>144</v>
      </c>
      <c r="E273" s="44">
        <v>17967</v>
      </c>
      <c r="F273" s="45" t="s">
        <v>130</v>
      </c>
      <c r="G273" s="34">
        <v>0.1</v>
      </c>
      <c r="H273" s="44">
        <v>1796.7</v>
      </c>
    </row>
    <row r="274" spans="1:8" x14ac:dyDescent="0.25">
      <c r="A274" s="42">
        <v>44895</v>
      </c>
      <c r="B274" s="43" t="s">
        <v>155</v>
      </c>
      <c r="C274" s="43" t="s">
        <v>202</v>
      </c>
      <c r="D274" s="43" t="s">
        <v>144</v>
      </c>
      <c r="E274" s="44">
        <v>6186</v>
      </c>
      <c r="F274" s="45" t="s">
        <v>130</v>
      </c>
      <c r="G274" s="34">
        <v>0.05</v>
      </c>
      <c r="H274" s="44">
        <v>309.3</v>
      </c>
    </row>
    <row r="275" spans="1:8" x14ac:dyDescent="0.25">
      <c r="A275" s="42">
        <v>44903</v>
      </c>
      <c r="B275" s="43" t="s">
        <v>155</v>
      </c>
      <c r="C275" s="43" t="s">
        <v>189</v>
      </c>
      <c r="D275" s="43" t="s">
        <v>144</v>
      </c>
      <c r="E275" s="44">
        <v>19317</v>
      </c>
      <c r="F275" s="45" t="s">
        <v>124</v>
      </c>
      <c r="G275" s="34">
        <v>0.1</v>
      </c>
      <c r="H275" s="44">
        <v>1931.7</v>
      </c>
    </row>
  </sheetData>
  <mergeCells count="9">
    <mergeCell ref="K22:L22"/>
    <mergeCell ref="N22:O22"/>
    <mergeCell ref="N12:O12"/>
    <mergeCell ref="N17:O17"/>
    <mergeCell ref="K5:O5"/>
    <mergeCell ref="K7:L7"/>
    <mergeCell ref="N7:O7"/>
    <mergeCell ref="K12:L12"/>
    <mergeCell ref="K17:L17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Ex1</vt:lpstr>
      <vt:lpstr>Ex2</vt:lpstr>
      <vt:lpstr>Ex3</vt:lpstr>
      <vt:lpstr>Ex4</vt:lpstr>
      <vt:lpstr>Ex5</vt:lpstr>
      <vt:lpstr>Ex6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</dc:creator>
  <cp:lastModifiedBy>MANOEL BARATA</cp:lastModifiedBy>
  <dcterms:created xsi:type="dcterms:W3CDTF">2018-11-27T11:18:31Z</dcterms:created>
  <dcterms:modified xsi:type="dcterms:W3CDTF">2025-06-12T16:23:42Z</dcterms:modified>
</cp:coreProperties>
</file>