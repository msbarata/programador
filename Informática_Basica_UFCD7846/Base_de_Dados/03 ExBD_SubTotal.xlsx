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Informática_Basica_UFCD7846\Base_de_Dados\"/>
    </mc:Choice>
  </mc:AlternateContent>
  <xr:revisionPtr revIDLastSave="0" documentId="13_ncr:1_{9EEB7FF8-CF46-4E34-80DC-DB642113BF1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tro" sheetId="9" r:id="rId1"/>
    <sheet name="BD1" sheetId="7" r:id="rId2"/>
    <sheet name="BD2" sheetId="10" r:id="rId3"/>
  </sheets>
  <definedNames>
    <definedName name="_xlnm._FilterDatabase" localSheetId="1" hidden="1">'BD1'!$B$4:$H$26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2" i="10" l="1"/>
  <c r="H51" i="10"/>
  <c r="D51" i="10"/>
  <c r="H49" i="10"/>
  <c r="D49" i="10"/>
  <c r="H47" i="10"/>
  <c r="D47" i="10"/>
  <c r="H45" i="10"/>
  <c r="D45" i="10"/>
  <c r="H43" i="10"/>
  <c r="D43" i="10"/>
  <c r="H41" i="10"/>
  <c r="D41" i="10"/>
  <c r="H39" i="10"/>
  <c r="D39" i="10"/>
  <c r="H37" i="10"/>
  <c r="D37" i="10"/>
  <c r="H35" i="10"/>
  <c r="D35" i="10"/>
  <c r="H33" i="10"/>
  <c r="D33" i="10"/>
  <c r="H31" i="10"/>
  <c r="D31" i="10"/>
  <c r="H29" i="10"/>
  <c r="D29" i="10"/>
  <c r="H27" i="10"/>
  <c r="D27" i="10"/>
  <c r="H25" i="10"/>
  <c r="D25" i="10"/>
  <c r="H23" i="10"/>
  <c r="D23" i="10"/>
  <c r="H21" i="10"/>
  <c r="D21" i="10"/>
  <c r="H19" i="10"/>
  <c r="D19" i="10"/>
  <c r="H17" i="10"/>
  <c r="D17" i="10"/>
  <c r="H15" i="10"/>
  <c r="D15" i="10"/>
  <c r="H13" i="10"/>
  <c r="D13" i="10"/>
  <c r="H11" i="10"/>
  <c r="D11" i="10"/>
  <c r="H9" i="10"/>
  <c r="D9" i="10"/>
  <c r="H7" i="10"/>
  <c r="D7" i="10"/>
  <c r="H5" i="10"/>
  <c r="D5" i="10"/>
  <c r="D52" i="10" s="1"/>
  <c r="F11" i="9"/>
  <c r="F10" i="9"/>
  <c r="F12" i="9"/>
  <c r="F9" i="9"/>
  <c r="F5" i="9"/>
  <c r="F8" i="9"/>
  <c r="F7" i="9"/>
  <c r="F6" i="9"/>
  <c r="F18" i="9"/>
  <c r="F16" i="9"/>
  <c r="F15" i="9"/>
  <c r="F19" i="9"/>
  <c r="F13" i="9"/>
  <c r="F14" i="9"/>
  <c r="F17" i="9"/>
  <c r="F21" i="9"/>
  <c r="F25" i="9"/>
  <c r="F26" i="9"/>
  <c r="F20" i="9"/>
  <c r="F23" i="9"/>
  <c r="F24" i="9"/>
  <c r="F22" i="9"/>
  <c r="F33" i="9"/>
  <c r="F29" i="9"/>
  <c r="F32" i="9"/>
  <c r="F31" i="9"/>
  <c r="F28" i="9"/>
  <c r="F27" i="9"/>
  <c r="F37" i="9"/>
  <c r="F30" i="9"/>
  <c r="F34" i="9"/>
  <c r="F35" i="9"/>
  <c r="F36" i="9"/>
  <c r="F4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0AFE3F-9DB6-4A23-A77C-804070CD3569}" keepAlive="1" name="Query - Ex1" description="Connection to the 'Ex1' query in the workbook." type="5" refreshedVersion="0" background="1">
    <dbPr connection="Provider=Microsoft.Mashup.OleDb.1;Data Source=$Workbook$;Location=Ex1;Extended Properties=&quot;&quot;" command="SELECT * FROM [Ex1]"/>
  </connection>
</connections>
</file>

<file path=xl/sharedStrings.xml><?xml version="1.0" encoding="utf-8"?>
<sst xmlns="http://schemas.openxmlformats.org/spreadsheetml/2006/main" count="354" uniqueCount="130">
  <si>
    <t>Porto</t>
  </si>
  <si>
    <t>Braga</t>
  </si>
  <si>
    <t>Lisboa</t>
  </si>
  <si>
    <t>Aveiro</t>
  </si>
  <si>
    <t>Data</t>
  </si>
  <si>
    <t>Local</t>
  </si>
  <si>
    <t>Coimbra</t>
  </si>
  <si>
    <t>Norte</t>
  </si>
  <si>
    <t>Centro</t>
  </si>
  <si>
    <t>Sul</t>
  </si>
  <si>
    <t>Produto</t>
  </si>
  <si>
    <t>Categoria</t>
  </si>
  <si>
    <t>Loja</t>
  </si>
  <si>
    <t>Região</t>
  </si>
  <si>
    <t>Qtd</t>
  </si>
  <si>
    <t>Vendas</t>
  </si>
  <si>
    <t>TAB02</t>
  </si>
  <si>
    <t>ACE02</t>
  </si>
  <si>
    <t>Acessórios</t>
  </si>
  <si>
    <t>ACE01</t>
  </si>
  <si>
    <t>GIF02</t>
  </si>
  <si>
    <t>PAP03</t>
  </si>
  <si>
    <t>Setubal</t>
  </si>
  <si>
    <t>PAP01</t>
  </si>
  <si>
    <t>ACE03</t>
  </si>
  <si>
    <t>TAB01</t>
  </si>
  <si>
    <t>GIF01</t>
  </si>
  <si>
    <t>PAP02</t>
  </si>
  <si>
    <t>Tablets</t>
  </si>
  <si>
    <t>IPODs</t>
  </si>
  <si>
    <t>MP3 players</t>
  </si>
  <si>
    <t>Instruções:</t>
  </si>
  <si>
    <t>Vendedor</t>
  </si>
  <si>
    <t>Preço</t>
  </si>
  <si>
    <t>Quantidade</t>
  </si>
  <si>
    <t>Total</t>
  </si>
  <si>
    <t>Ana</t>
  </si>
  <si>
    <t>Miguel</t>
  </si>
  <si>
    <t>Luís</t>
  </si>
  <si>
    <t>Setúbal</t>
  </si>
  <si>
    <t>Filipe</t>
  </si>
  <si>
    <t>1- Ordenar pelo Vendedor, Local e Preço</t>
  </si>
  <si>
    <t>2- O que se deve fazer para obter rapidamente Totais por Vendedor ?</t>
  </si>
  <si>
    <t>Destinatário</t>
  </si>
  <si>
    <t>Tipo Incidência</t>
  </si>
  <si>
    <t>Departamento</t>
  </si>
  <si>
    <t>Obra/Cliente</t>
  </si>
  <si>
    <t>Observações</t>
  </si>
  <si>
    <t>Valor</t>
  </si>
  <si>
    <t>Refª Cliente</t>
  </si>
  <si>
    <t>Instruções</t>
  </si>
  <si>
    <t>Cliente 1</t>
  </si>
  <si>
    <t>Mercadoria não entregue</t>
  </si>
  <si>
    <t>Peças</t>
  </si>
  <si>
    <t>Cliente</t>
  </si>
  <si>
    <t>Falha Logística</t>
  </si>
  <si>
    <t>Cliente 2</t>
  </si>
  <si>
    <t>Morada incorrecta</t>
  </si>
  <si>
    <t>Obra</t>
  </si>
  <si>
    <t>Entregue dia seguinte</t>
  </si>
  <si>
    <t>Cliente 3</t>
  </si>
  <si>
    <t>Destinatário Ausente</t>
  </si>
  <si>
    <t>Cliente 4</t>
  </si>
  <si>
    <t>Cliente 5</t>
  </si>
  <si>
    <t>Máquinas</t>
  </si>
  <si>
    <t>Entrega dia 7 Out</t>
  </si>
  <si>
    <t>Cliente 6</t>
  </si>
  <si>
    <t>Entregue dia 5 Out</t>
  </si>
  <si>
    <t>Cliente 7</t>
  </si>
  <si>
    <t>Embalagem danificada</t>
  </si>
  <si>
    <t>Peça estava ok</t>
  </si>
  <si>
    <t>Cliente 8</t>
  </si>
  <si>
    <t>Cancelado ordem expedidor</t>
  </si>
  <si>
    <t>Peça em garantia no própria dia</t>
  </si>
  <si>
    <t>Cliente 9</t>
  </si>
  <si>
    <t>Cliente 10</t>
  </si>
  <si>
    <t>Mercadoria Recusada</t>
  </si>
  <si>
    <t>Cliente 11</t>
  </si>
  <si>
    <t>Cliente reclama kit incompleto</t>
  </si>
  <si>
    <t>Cliente 12</t>
  </si>
  <si>
    <t>Mercadoria danificada</t>
  </si>
  <si>
    <t>Reclama compressor danificado</t>
  </si>
  <si>
    <t>Cliente 13</t>
  </si>
  <si>
    <t>Cliente 14</t>
  </si>
  <si>
    <t>Vasco diz que está ok</t>
  </si>
  <si>
    <t>Cliente 15</t>
  </si>
  <si>
    <t>Cliente 16</t>
  </si>
  <si>
    <t>Volume não localizado</t>
  </si>
  <si>
    <t>Cliente 17</t>
  </si>
  <si>
    <t>Mercadoria sem picagens</t>
  </si>
  <si>
    <t>Cliente 18</t>
  </si>
  <si>
    <t>Cliente 19</t>
  </si>
  <si>
    <t>Cliente reclamou passado meses</t>
  </si>
  <si>
    <t>Cliente 20</t>
  </si>
  <si>
    <t>Devolvido ao armazém</t>
  </si>
  <si>
    <t>Cliente 21</t>
  </si>
  <si>
    <t>Motivos Logisticos Operacionais</t>
  </si>
  <si>
    <t>Cliente 22</t>
  </si>
  <si>
    <t>Contacto cliente- resolvido</t>
  </si>
  <si>
    <t>Cliente 23</t>
  </si>
  <si>
    <t>Cliente 24</t>
  </si>
  <si>
    <t>1- Calcule os Subtotais pela Região</t>
  </si>
  <si>
    <t>Dados Maio 2023</t>
  </si>
  <si>
    <t>Calcule os Subtotais das Vendas e Quantidade pela Categoria</t>
  </si>
  <si>
    <t>Vendas Portugal - Setembro 2025</t>
  </si>
  <si>
    <t>Cliente 2 Total</t>
  </si>
  <si>
    <t>Cliente 16 Total</t>
  </si>
  <si>
    <t>Cliente 21 Total</t>
  </si>
  <si>
    <t>Cliente 17 Total</t>
  </si>
  <si>
    <t>Cliente 1 Total</t>
  </si>
  <si>
    <t>Cliente 13 Total</t>
  </si>
  <si>
    <t>Cliente 15 Total</t>
  </si>
  <si>
    <t>Cliente 5 Total</t>
  </si>
  <si>
    <t>Cliente 12 Total</t>
  </si>
  <si>
    <t>Cliente 20 Total</t>
  </si>
  <si>
    <t>Cliente 24 Total</t>
  </si>
  <si>
    <t>Cliente 6 Total</t>
  </si>
  <si>
    <t>Cliente 8 Total</t>
  </si>
  <si>
    <t>Cliente 10 Total</t>
  </si>
  <si>
    <t>Cliente 18 Total</t>
  </si>
  <si>
    <t>Cliente 11 Total</t>
  </si>
  <si>
    <t>Cliente 19 Total</t>
  </si>
  <si>
    <t>Cliente 14 Total</t>
  </si>
  <si>
    <t>Cliente 9 Total</t>
  </si>
  <si>
    <t>Cliente 7 Total</t>
  </si>
  <si>
    <t>Cliente 22 Total</t>
  </si>
  <si>
    <t>Cliente 3 Total</t>
  </si>
  <si>
    <t>Cliente 4 Total</t>
  </si>
  <si>
    <t>Cliente 23 Total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</si>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</sst>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_-"/>
    <numFmt numFmtId="165" formatCode="_-* #,##0.00\ [$€-1]_-;\-* #,##0.00\ [$€-1]_-;_-* &quot;-&quot;??\ [$€-1]_-"/>
    <numFmt numFmtId="166" formatCode="#,##0.00\ &quot;€&quot;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9"/>
      <name val="Arial"/>
      <family val="2"/>
    </font>
    <font>
      <b/>
      <sz val="11"/>
      <color indexed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164" fontId="6" fillId="0" borderId="0" applyFont="0" applyFill="0" applyBorder="0" applyAlignment="0" applyProtection="0"/>
    <xf numFmtId="0" fontId="3" fillId="0" borderId="0"/>
    <xf numFmtId="0" fontId="7" fillId="0" borderId="0"/>
    <xf numFmtId="0" fontId="14" fillId="3" borderId="0" applyNumberFormat="0" applyBorder="0" applyAlignment="0" applyProtection="0"/>
  </cellStyleXfs>
  <cellXfs count="50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/>
    <xf numFmtId="0" fontId="9" fillId="0" borderId="2" xfId="10" applyFont="1" applyBorder="1" applyAlignment="1">
      <alignment horizontal="center"/>
    </xf>
    <xf numFmtId="0" fontId="10" fillId="0" borderId="0" xfId="0" applyFont="1"/>
    <xf numFmtId="0" fontId="8" fillId="0" borderId="0" xfId="0" applyFont="1"/>
    <xf numFmtId="0" fontId="10" fillId="0" borderId="0" xfId="0" applyFont="1" applyAlignment="1">
      <alignment horizontal="center"/>
    </xf>
    <xf numFmtId="14" fontId="10" fillId="0" borderId="1" xfId="0" applyNumberFormat="1" applyFont="1" applyBorder="1"/>
    <xf numFmtId="0" fontId="10" fillId="0" borderId="1" xfId="10" applyFont="1" applyBorder="1" applyAlignment="1">
      <alignment horizontal="center"/>
    </xf>
    <xf numFmtId="164" fontId="10" fillId="0" borderId="1" xfId="9" applyFont="1" applyBorder="1" applyAlignment="1">
      <alignment horizontal="center"/>
    </xf>
    <xf numFmtId="0" fontId="10" fillId="0" borderId="1" xfId="11" applyFont="1" applyBorder="1" applyAlignment="1">
      <alignment horizontal="center"/>
    </xf>
    <xf numFmtId="164" fontId="10" fillId="0" borderId="1" xfId="11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2" borderId="1" xfId="8" applyFont="1" applyFill="1" applyBorder="1" applyAlignment="1">
      <alignment horizontal="center" vertical="center" wrapText="1"/>
    </xf>
    <xf numFmtId="14" fontId="2" fillId="0" borderId="1" xfId="8" applyNumberFormat="1" applyFont="1" applyBorder="1"/>
    <xf numFmtId="0" fontId="2" fillId="0" borderId="1" xfId="8" applyFont="1" applyBorder="1" applyAlignment="1">
      <alignment horizontal="center" vertical="center"/>
    </xf>
    <xf numFmtId="0" fontId="2" fillId="0" borderId="1" xfId="8" applyFont="1" applyBorder="1" applyAlignment="1">
      <alignment horizontal="left" vertical="center"/>
    </xf>
    <xf numFmtId="0" fontId="2" fillId="0" borderId="1" xfId="8" applyFont="1" applyBorder="1" applyAlignment="1">
      <alignment vertical="center"/>
    </xf>
    <xf numFmtId="166" fontId="2" fillId="0" borderId="1" xfId="8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/>
    <xf numFmtId="0" fontId="15" fillId="4" borderId="1" xfId="0" applyFont="1" applyFill="1" applyBorder="1" applyAlignment="1">
      <alignment horizontal="left"/>
    </xf>
    <xf numFmtId="49" fontId="1" fillId="5" borderId="3" xfId="12" applyNumberFormat="1" applyFont="1" applyFill="1" applyBorder="1" applyAlignment="1">
      <alignment horizontal="center" vertical="center"/>
    </xf>
    <xf numFmtId="49" fontId="1" fillId="5" borderId="3" xfId="12" applyNumberFormat="1" applyFont="1" applyFill="1" applyBorder="1" applyAlignment="1">
      <alignment horizontal="left" vertical="center"/>
    </xf>
    <xf numFmtId="49" fontId="1" fillId="5" borderId="3" xfId="12" applyNumberFormat="1" applyFont="1" applyFill="1" applyBorder="1" applyAlignment="1">
      <alignment horizontal="left" vertical="center" wrapText="1"/>
    </xf>
    <xf numFmtId="164" fontId="10" fillId="0" borderId="0" xfId="9" applyFont="1"/>
    <xf numFmtId="49" fontId="10" fillId="5" borderId="3" xfId="12" applyNumberFormat="1" applyFont="1" applyFill="1" applyBorder="1" applyAlignment="1">
      <alignment horizontal="center" vertical="center"/>
    </xf>
    <xf numFmtId="164" fontId="10" fillId="5" borderId="3" xfId="9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164" fontId="10" fillId="0" borderId="1" xfId="9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wrapText="1"/>
    </xf>
    <xf numFmtId="0" fontId="10" fillId="4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 wrapText="1"/>
    </xf>
    <xf numFmtId="0" fontId="10" fillId="4" borderId="1" xfId="0" applyFont="1" applyFill="1" applyBorder="1" applyAlignment="1">
      <alignment wrapText="1"/>
    </xf>
    <xf numFmtId="0" fontId="10" fillId="0" borderId="1" xfId="0" applyFont="1" applyBorder="1"/>
    <xf numFmtId="0" fontId="10" fillId="0" borderId="3" xfId="0" applyFont="1" applyBorder="1" applyAlignment="1">
      <alignment horizontal="center"/>
    </xf>
    <xf numFmtId="164" fontId="10" fillId="0" borderId="3" xfId="9" applyFont="1" applyBorder="1" applyAlignment="1">
      <alignment horizontal="center"/>
    </xf>
    <xf numFmtId="49" fontId="16" fillId="0" borderId="1" xfId="0" applyNumberFormat="1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0" fillId="0" borderId="0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10" fillId="0" borderId="0" xfId="0" applyFont="1" applyBorder="1" applyAlignment="1">
      <alignment wrapText="1"/>
    </xf>
    <xf numFmtId="164" fontId="10" fillId="0" borderId="0" xfId="9" applyFont="1" applyBorder="1" applyAlignment="1">
      <alignment horizontal="center"/>
    </xf>
    <xf numFmtId="0" fontId="10" fillId="4" borderId="0" xfId="0" applyFont="1" applyFill="1" applyBorder="1" applyAlignment="1">
      <alignment horizontal="left"/>
    </xf>
    <xf numFmtId="0" fontId="16" fillId="0" borderId="0" xfId="0" applyFont="1" applyBorder="1" applyAlignment="1">
      <alignment horizontal="left" vertical="center"/>
    </xf>
  </cellXfs>
  <cellStyles count="13">
    <cellStyle name="Currency 2" xfId="6" xr:uid="{00000000-0005-0000-0000-000001000000}"/>
    <cellStyle name="Euro" xfId="1" xr:uid="{00000000-0005-0000-0000-000002000000}"/>
    <cellStyle name="Euro 2" xfId="5" xr:uid="{00000000-0005-0000-0000-000003000000}"/>
    <cellStyle name="Euro_Bd" xfId="2" xr:uid="{00000000-0005-0000-0000-000004000000}"/>
    <cellStyle name="Moeda" xfId="9" builtinId="4"/>
    <cellStyle name="Neutro" xfId="12" builtinId="28"/>
    <cellStyle name="Normal" xfId="0" builtinId="0"/>
    <cellStyle name="Normal 2" xfId="8" xr:uid="{00000000-0005-0000-0000-000006000000}"/>
    <cellStyle name="Normal 3" xfId="3" xr:uid="{00000000-0005-0000-0000-000007000000}"/>
    <cellStyle name="Normal_excelinicial" xfId="10" xr:uid="{00000000-0005-0000-0000-000008000000}"/>
    <cellStyle name="Normal_Exercicios" xfId="11" xr:uid="{00000000-0005-0000-0000-000009000000}"/>
    <cellStyle name="Percent 2" xfId="7" xr:uid="{00000000-0005-0000-0000-00000B000000}"/>
    <cellStyle name="Percentagem 3" xfId="4" xr:uid="{00000000-0005-0000-0000-00000C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workbookViewId="0">
      <selection activeCell="L16" sqref="L16"/>
    </sheetView>
  </sheetViews>
  <sheetFormatPr defaultRowHeight="15" x14ac:dyDescent="0.25"/>
  <cols>
    <col min="1" max="1" width="12.5703125" style="4" customWidth="1"/>
    <col min="2" max="2" width="13.5703125" style="4" customWidth="1"/>
    <col min="3" max="3" width="11.7109375" style="4" customWidth="1"/>
    <col min="4" max="4" width="16.42578125" style="4" bestFit="1" customWidth="1"/>
    <col min="5" max="5" width="13.28515625" style="4" bestFit="1" customWidth="1"/>
    <col min="6" max="6" width="18" style="4" bestFit="1" customWidth="1"/>
    <col min="8" max="8" width="3.7109375" style="4" customWidth="1"/>
    <col min="9" max="9" width="3.85546875" style="4" customWidth="1"/>
    <col min="10" max="16384" width="9.140625" style="4"/>
  </cols>
  <sheetData>
    <row r="1" spans="1:10" x14ac:dyDescent="0.25">
      <c r="A1" s="5" t="s">
        <v>104</v>
      </c>
      <c r="B1" s="6"/>
    </row>
    <row r="2" spans="1:10" ht="15.75" x14ac:dyDescent="0.25">
      <c r="B2" s="6"/>
      <c r="J2" s="21" t="s">
        <v>31</v>
      </c>
    </row>
    <row r="3" spans="1:10" x14ac:dyDescent="0.25">
      <c r="A3" s="3" t="s">
        <v>4</v>
      </c>
      <c r="B3" s="3" t="s">
        <v>32</v>
      </c>
      <c r="C3" s="3" t="s">
        <v>5</v>
      </c>
      <c r="D3" s="3" t="s">
        <v>33</v>
      </c>
      <c r="E3" s="3" t="s">
        <v>34</v>
      </c>
      <c r="F3" s="3" t="s">
        <v>35</v>
      </c>
    </row>
    <row r="4" spans="1:10" x14ac:dyDescent="0.25">
      <c r="A4" s="7">
        <v>45783</v>
      </c>
      <c r="B4" s="8" t="s">
        <v>36</v>
      </c>
      <c r="C4" s="12" t="s">
        <v>3</v>
      </c>
      <c r="D4" s="9">
        <v>30500</v>
      </c>
      <c r="E4" s="10">
        <v>6</v>
      </c>
      <c r="F4" s="11">
        <f>D4*E4</f>
        <v>183000</v>
      </c>
    </row>
    <row r="5" spans="1:10" x14ac:dyDescent="0.25">
      <c r="A5" s="7">
        <v>45801</v>
      </c>
      <c r="B5" s="8" t="s">
        <v>36</v>
      </c>
      <c r="C5" s="12" t="s">
        <v>3</v>
      </c>
      <c r="D5" s="9">
        <v>48990</v>
      </c>
      <c r="E5" s="10">
        <v>8</v>
      </c>
      <c r="F5" s="11">
        <f>D5*E5</f>
        <v>391920</v>
      </c>
      <c r="J5" s="4" t="s">
        <v>41</v>
      </c>
    </row>
    <row r="6" spans="1:10" x14ac:dyDescent="0.25">
      <c r="A6" s="7">
        <v>45804</v>
      </c>
      <c r="B6" s="8" t="s">
        <v>36</v>
      </c>
      <c r="C6" s="12" t="s">
        <v>2</v>
      </c>
      <c r="D6" s="9">
        <v>25000</v>
      </c>
      <c r="E6" s="10">
        <v>2</v>
      </c>
      <c r="F6" s="11">
        <f>D6*E6</f>
        <v>50000</v>
      </c>
    </row>
    <row r="7" spans="1:10" x14ac:dyDescent="0.25">
      <c r="A7" s="7">
        <v>45804</v>
      </c>
      <c r="B7" s="8" t="s">
        <v>36</v>
      </c>
      <c r="C7" s="12" t="s">
        <v>2</v>
      </c>
      <c r="D7" s="9">
        <v>30000</v>
      </c>
      <c r="E7" s="10">
        <v>5</v>
      </c>
      <c r="F7" s="11">
        <f>D7*E7</f>
        <v>150000</v>
      </c>
      <c r="J7" s="4" t="s">
        <v>42</v>
      </c>
    </row>
    <row r="8" spans="1:10" x14ac:dyDescent="0.25">
      <c r="A8" s="7">
        <v>45804</v>
      </c>
      <c r="B8" s="8" t="s">
        <v>36</v>
      </c>
      <c r="C8" s="12" t="s">
        <v>2</v>
      </c>
      <c r="D8" s="9">
        <v>41900</v>
      </c>
      <c r="E8" s="10">
        <v>7</v>
      </c>
      <c r="F8" s="11">
        <f>D8*E8</f>
        <v>293300</v>
      </c>
    </row>
    <row r="9" spans="1:10" x14ac:dyDescent="0.25">
      <c r="A9" s="7">
        <v>45799</v>
      </c>
      <c r="B9" s="8" t="s">
        <v>36</v>
      </c>
      <c r="C9" s="12" t="s">
        <v>2</v>
      </c>
      <c r="D9" s="9">
        <v>41900</v>
      </c>
      <c r="E9" s="10">
        <v>7</v>
      </c>
      <c r="F9" s="11">
        <f>D9*E9</f>
        <v>293300</v>
      </c>
    </row>
    <row r="10" spans="1:10" x14ac:dyDescent="0.25">
      <c r="A10" s="7">
        <v>45782</v>
      </c>
      <c r="B10" s="8" t="s">
        <v>36</v>
      </c>
      <c r="C10" s="12" t="s">
        <v>0</v>
      </c>
      <c r="D10" s="9">
        <v>35959</v>
      </c>
      <c r="E10" s="10">
        <v>3</v>
      </c>
      <c r="F10" s="11">
        <f>D10*E10</f>
        <v>107877</v>
      </c>
    </row>
    <row r="11" spans="1:10" x14ac:dyDescent="0.25">
      <c r="A11" s="7">
        <v>45785</v>
      </c>
      <c r="B11" s="8" t="s">
        <v>36</v>
      </c>
      <c r="C11" s="12" t="s">
        <v>39</v>
      </c>
      <c r="D11" s="9">
        <v>28900</v>
      </c>
      <c r="E11" s="10">
        <v>4</v>
      </c>
      <c r="F11" s="11">
        <f>D11*E11</f>
        <v>115600</v>
      </c>
    </row>
    <row r="12" spans="1:10" x14ac:dyDescent="0.25">
      <c r="A12" s="7">
        <v>45797</v>
      </c>
      <c r="B12" s="8" t="s">
        <v>36</v>
      </c>
      <c r="C12" s="12" t="s">
        <v>39</v>
      </c>
      <c r="D12" s="9">
        <v>58150</v>
      </c>
      <c r="E12" s="10">
        <v>5</v>
      </c>
      <c r="F12" s="11">
        <f>D12*E12</f>
        <v>290750</v>
      </c>
    </row>
    <row r="13" spans="1:10" x14ac:dyDescent="0.25">
      <c r="A13" s="7">
        <v>45790</v>
      </c>
      <c r="B13" s="8" t="s">
        <v>40</v>
      </c>
      <c r="C13" s="12" t="s">
        <v>1</v>
      </c>
      <c r="D13" s="9">
        <v>39000</v>
      </c>
      <c r="E13" s="10">
        <v>4</v>
      </c>
      <c r="F13" s="11">
        <f>D13*E13</f>
        <v>156000</v>
      </c>
    </row>
    <row r="14" spans="1:10" x14ac:dyDescent="0.25">
      <c r="A14" s="7">
        <v>45792</v>
      </c>
      <c r="B14" s="8" t="s">
        <v>40</v>
      </c>
      <c r="C14" s="12" t="s">
        <v>2</v>
      </c>
      <c r="D14" s="9">
        <v>30500</v>
      </c>
      <c r="E14" s="10">
        <v>5</v>
      </c>
      <c r="F14" s="11">
        <f>D14*E14</f>
        <v>152500</v>
      </c>
    </row>
    <row r="15" spans="1:10" x14ac:dyDescent="0.25">
      <c r="A15" s="7">
        <v>45782</v>
      </c>
      <c r="B15" s="8" t="s">
        <v>40</v>
      </c>
      <c r="C15" s="12" t="s">
        <v>2</v>
      </c>
      <c r="D15" s="9">
        <v>39000</v>
      </c>
      <c r="E15" s="10">
        <v>2</v>
      </c>
      <c r="F15" s="11">
        <f>D15*E15</f>
        <v>78000</v>
      </c>
    </row>
    <row r="16" spans="1:10" x14ac:dyDescent="0.25">
      <c r="A16" s="7">
        <v>45784</v>
      </c>
      <c r="B16" s="8" t="s">
        <v>40</v>
      </c>
      <c r="C16" s="12" t="s">
        <v>2</v>
      </c>
      <c r="D16" s="9">
        <v>58150</v>
      </c>
      <c r="E16" s="10">
        <v>8</v>
      </c>
      <c r="F16" s="11">
        <f>D16*E16</f>
        <v>465200</v>
      </c>
    </row>
    <row r="17" spans="1:6" x14ac:dyDescent="0.25">
      <c r="A17" s="7">
        <v>45797</v>
      </c>
      <c r="B17" s="8" t="s">
        <v>40</v>
      </c>
      <c r="C17" s="12" t="s">
        <v>0</v>
      </c>
      <c r="D17" s="9">
        <v>30500</v>
      </c>
      <c r="E17" s="10">
        <v>2</v>
      </c>
      <c r="F17" s="11">
        <f>D17*E17</f>
        <v>61000</v>
      </c>
    </row>
    <row r="18" spans="1:6" x14ac:dyDescent="0.25">
      <c r="A18" s="7">
        <v>45778</v>
      </c>
      <c r="B18" s="8" t="s">
        <v>40</v>
      </c>
      <c r="C18" s="12" t="s">
        <v>0</v>
      </c>
      <c r="D18" s="9">
        <v>39000</v>
      </c>
      <c r="E18" s="10">
        <v>5</v>
      </c>
      <c r="F18" s="11">
        <f>D18*E18</f>
        <v>195000</v>
      </c>
    </row>
    <row r="19" spans="1:6" x14ac:dyDescent="0.25">
      <c r="A19" s="7">
        <v>45782</v>
      </c>
      <c r="B19" s="8" t="s">
        <v>40</v>
      </c>
      <c r="C19" s="12" t="s">
        <v>0</v>
      </c>
      <c r="D19" s="9">
        <v>58150</v>
      </c>
      <c r="E19" s="10">
        <v>2</v>
      </c>
      <c r="F19" s="11">
        <f>D19*E19</f>
        <v>116300</v>
      </c>
    </row>
    <row r="20" spans="1:6" x14ac:dyDescent="0.25">
      <c r="A20" s="7">
        <v>45794</v>
      </c>
      <c r="B20" s="8" t="s">
        <v>38</v>
      </c>
      <c r="C20" s="12" t="s">
        <v>3</v>
      </c>
      <c r="D20" s="9">
        <v>35959</v>
      </c>
      <c r="E20" s="10">
        <v>4</v>
      </c>
      <c r="F20" s="11">
        <f>D20*E20</f>
        <v>143836</v>
      </c>
    </row>
    <row r="21" spans="1:6" x14ac:dyDescent="0.25">
      <c r="A21" s="7">
        <v>45779</v>
      </c>
      <c r="B21" s="8" t="s">
        <v>38</v>
      </c>
      <c r="C21" s="12" t="s">
        <v>1</v>
      </c>
      <c r="D21" s="9">
        <v>30500</v>
      </c>
      <c r="E21" s="10">
        <v>2</v>
      </c>
      <c r="F21" s="11">
        <f>D21*E21</f>
        <v>61000</v>
      </c>
    </row>
    <row r="22" spans="1:6" x14ac:dyDescent="0.25">
      <c r="A22" s="7">
        <v>45801</v>
      </c>
      <c r="B22" s="8" t="s">
        <v>38</v>
      </c>
      <c r="C22" s="12" t="s">
        <v>2</v>
      </c>
      <c r="D22" s="9">
        <v>35959</v>
      </c>
      <c r="E22" s="10">
        <v>9</v>
      </c>
      <c r="F22" s="11">
        <f>D22*E22</f>
        <v>323631</v>
      </c>
    </row>
    <row r="23" spans="1:6" x14ac:dyDescent="0.25">
      <c r="A23" s="7">
        <v>45794</v>
      </c>
      <c r="B23" s="8" t="s">
        <v>38</v>
      </c>
      <c r="C23" s="12" t="s">
        <v>2</v>
      </c>
      <c r="D23" s="9">
        <v>39000</v>
      </c>
      <c r="E23" s="10">
        <v>1</v>
      </c>
      <c r="F23" s="11">
        <f>D23*E23</f>
        <v>39000</v>
      </c>
    </row>
    <row r="24" spans="1:6" x14ac:dyDescent="0.25">
      <c r="A24" s="7">
        <v>45800</v>
      </c>
      <c r="B24" s="8" t="s">
        <v>38</v>
      </c>
      <c r="C24" s="12" t="s">
        <v>2</v>
      </c>
      <c r="D24" s="9">
        <v>41900</v>
      </c>
      <c r="E24" s="10">
        <v>11</v>
      </c>
      <c r="F24" s="11">
        <f>D24*E24</f>
        <v>460900</v>
      </c>
    </row>
    <row r="25" spans="1:6" x14ac:dyDescent="0.25">
      <c r="A25" s="7">
        <v>45782</v>
      </c>
      <c r="B25" s="8" t="s">
        <v>38</v>
      </c>
      <c r="C25" s="12" t="s">
        <v>2</v>
      </c>
      <c r="D25" s="9">
        <v>41900</v>
      </c>
      <c r="E25" s="10">
        <v>5</v>
      </c>
      <c r="F25" s="11">
        <f>D25*E25</f>
        <v>209500</v>
      </c>
    </row>
    <row r="26" spans="1:6" x14ac:dyDescent="0.25">
      <c r="A26" s="7">
        <v>45790</v>
      </c>
      <c r="B26" s="8" t="s">
        <v>38</v>
      </c>
      <c r="C26" s="12" t="s">
        <v>39</v>
      </c>
      <c r="D26" s="9">
        <v>48990</v>
      </c>
      <c r="E26" s="10">
        <v>8</v>
      </c>
      <c r="F26" s="11">
        <f>D26*E26</f>
        <v>391920</v>
      </c>
    </row>
    <row r="27" spans="1:6" x14ac:dyDescent="0.25">
      <c r="A27" s="7">
        <v>45800</v>
      </c>
      <c r="B27" s="8" t="s">
        <v>37</v>
      </c>
      <c r="C27" s="12" t="s">
        <v>3</v>
      </c>
      <c r="D27" s="9">
        <v>58150</v>
      </c>
      <c r="E27" s="10">
        <v>12</v>
      </c>
      <c r="F27" s="11">
        <f>D27*E27</f>
        <v>697800</v>
      </c>
    </row>
    <row r="28" spans="1:6" x14ac:dyDescent="0.25">
      <c r="A28" s="7">
        <v>45797</v>
      </c>
      <c r="B28" s="8" t="s">
        <v>37</v>
      </c>
      <c r="C28" s="12" t="s">
        <v>1</v>
      </c>
      <c r="D28" s="9">
        <v>28900</v>
      </c>
      <c r="E28" s="10">
        <v>6</v>
      </c>
      <c r="F28" s="11">
        <f>D28*E28</f>
        <v>173400</v>
      </c>
    </row>
    <row r="29" spans="1:6" x14ac:dyDescent="0.25">
      <c r="A29" s="7">
        <v>45782</v>
      </c>
      <c r="B29" s="8" t="s">
        <v>37</v>
      </c>
      <c r="C29" s="12" t="s">
        <v>1</v>
      </c>
      <c r="D29" s="9">
        <v>35959</v>
      </c>
      <c r="E29" s="10">
        <v>6</v>
      </c>
      <c r="F29" s="11">
        <f>D29*E29</f>
        <v>215754</v>
      </c>
    </row>
    <row r="30" spans="1:6" x14ac:dyDescent="0.25">
      <c r="A30" s="7">
        <v>45802</v>
      </c>
      <c r="B30" s="8" t="s">
        <v>37</v>
      </c>
      <c r="C30" s="12" t="s">
        <v>2</v>
      </c>
      <c r="D30" s="9">
        <v>35959</v>
      </c>
      <c r="E30" s="10">
        <v>4</v>
      </c>
      <c r="F30" s="11">
        <f>D30*E30</f>
        <v>143836</v>
      </c>
    </row>
    <row r="31" spans="1:6" x14ac:dyDescent="0.25">
      <c r="A31" s="7">
        <v>45792</v>
      </c>
      <c r="B31" s="8" t="s">
        <v>37</v>
      </c>
      <c r="C31" s="12" t="s">
        <v>2</v>
      </c>
      <c r="D31" s="9">
        <v>41900</v>
      </c>
      <c r="E31" s="10">
        <v>2</v>
      </c>
      <c r="F31" s="11">
        <f>D31*E31</f>
        <v>83800</v>
      </c>
    </row>
    <row r="32" spans="1:6" x14ac:dyDescent="0.25">
      <c r="A32" s="7">
        <v>45782</v>
      </c>
      <c r="B32" s="8" t="s">
        <v>37</v>
      </c>
      <c r="C32" s="12" t="s">
        <v>2</v>
      </c>
      <c r="D32" s="9">
        <v>41900</v>
      </c>
      <c r="E32" s="10">
        <v>3</v>
      </c>
      <c r="F32" s="11">
        <f>D32*E32</f>
        <v>125700</v>
      </c>
    </row>
    <row r="33" spans="1:6" x14ac:dyDescent="0.25">
      <c r="A33" s="7">
        <v>45779</v>
      </c>
      <c r="B33" s="8" t="s">
        <v>37</v>
      </c>
      <c r="C33" s="12" t="s">
        <v>0</v>
      </c>
      <c r="D33" s="9">
        <v>41900</v>
      </c>
      <c r="E33" s="10">
        <v>4</v>
      </c>
      <c r="F33" s="11">
        <f>D33*E33</f>
        <v>167600</v>
      </c>
    </row>
    <row r="34" spans="1:6" x14ac:dyDescent="0.25">
      <c r="A34" s="7">
        <v>45804</v>
      </c>
      <c r="B34" s="8" t="s">
        <v>37</v>
      </c>
      <c r="C34" s="12" t="s">
        <v>39</v>
      </c>
      <c r="D34" s="9">
        <v>20500</v>
      </c>
      <c r="E34" s="10">
        <v>2</v>
      </c>
      <c r="F34" s="11">
        <f>D34*E34</f>
        <v>41000</v>
      </c>
    </row>
    <row r="35" spans="1:6" x14ac:dyDescent="0.25">
      <c r="A35" s="7">
        <v>45804</v>
      </c>
      <c r="B35" s="8" t="s">
        <v>37</v>
      </c>
      <c r="C35" s="12" t="s">
        <v>39</v>
      </c>
      <c r="D35" s="9">
        <v>20500</v>
      </c>
      <c r="E35" s="10">
        <v>5</v>
      </c>
      <c r="F35" s="11">
        <f>D35*E35</f>
        <v>102500</v>
      </c>
    </row>
    <row r="36" spans="1:6" x14ac:dyDescent="0.25">
      <c r="A36" s="7">
        <v>45804</v>
      </c>
      <c r="B36" s="8" t="s">
        <v>37</v>
      </c>
      <c r="C36" s="12" t="s">
        <v>39</v>
      </c>
      <c r="D36" s="9">
        <v>20500</v>
      </c>
      <c r="E36" s="10">
        <v>6</v>
      </c>
      <c r="F36" s="11">
        <f>D36*E36</f>
        <v>123000</v>
      </c>
    </row>
    <row r="37" spans="1:6" x14ac:dyDescent="0.25">
      <c r="A37" s="7">
        <v>45801</v>
      </c>
      <c r="B37" s="8" t="s">
        <v>37</v>
      </c>
      <c r="C37" s="12" t="s">
        <v>39</v>
      </c>
      <c r="D37" s="9">
        <v>39000</v>
      </c>
      <c r="E37" s="10">
        <v>14</v>
      </c>
      <c r="F37" s="11">
        <f>D37*E37</f>
        <v>546000</v>
      </c>
    </row>
    <row r="38" spans="1:6" x14ac:dyDescent="0.25">
      <c r="B38" s="6"/>
    </row>
    <row r="39" spans="1:6" x14ac:dyDescent="0.25">
      <c r="B39" s="6"/>
    </row>
  </sheetData>
  <sortState xmlns:xlrd2="http://schemas.microsoft.com/office/spreadsheetml/2017/richdata2" ref="A4:F37">
    <sortCondition ref="B4:B37"/>
    <sortCondition ref="C4:C37"/>
    <sortCondition ref="D4:D37"/>
  </sortState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zoomScale="120" zoomScaleNormal="120" workbookViewId="0">
      <selection activeCell="K6" sqref="K6"/>
    </sheetView>
  </sheetViews>
  <sheetFormatPr defaultRowHeight="14.25" x14ac:dyDescent="0.2"/>
  <cols>
    <col min="1" max="1" width="3.85546875" style="2" customWidth="1"/>
    <col min="2" max="2" width="13.5703125" style="2" customWidth="1"/>
    <col min="3" max="3" width="11.7109375" style="2" customWidth="1"/>
    <col min="4" max="4" width="17" style="2" customWidth="1"/>
    <col min="5" max="5" width="12.140625" style="2" customWidth="1"/>
    <col min="6" max="6" width="11.140625" style="2" customWidth="1"/>
    <col min="7" max="7" width="9.28515625" style="2" bestFit="1" customWidth="1"/>
    <col min="8" max="8" width="19.42578125" style="2" customWidth="1"/>
    <col min="9" max="16384" width="9.140625" style="2"/>
  </cols>
  <sheetData>
    <row r="1" spans="1:8" s="1" customFormat="1" ht="10.5" customHeight="1" x14ac:dyDescent="0.2">
      <c r="A1" s="13"/>
      <c r="C1" s="13"/>
      <c r="D1" s="13"/>
      <c r="E1" s="13"/>
      <c r="F1" s="13"/>
      <c r="G1" s="13"/>
      <c r="H1" s="13"/>
    </row>
    <row r="2" spans="1:8" ht="15" x14ac:dyDescent="0.2">
      <c r="B2" s="20" t="s">
        <v>103</v>
      </c>
    </row>
    <row r="4" spans="1:8" ht="15" x14ac:dyDescent="0.2">
      <c r="B4" s="14" t="s">
        <v>4</v>
      </c>
      <c r="C4" s="14" t="s">
        <v>10</v>
      </c>
      <c r="D4" s="14" t="s">
        <v>11</v>
      </c>
      <c r="E4" s="14" t="s">
        <v>12</v>
      </c>
      <c r="F4" s="14" t="s">
        <v>13</v>
      </c>
      <c r="G4" s="14" t="s">
        <v>14</v>
      </c>
      <c r="H4" s="14" t="s">
        <v>15</v>
      </c>
    </row>
    <row r="5" spans="1:8" ht="15" x14ac:dyDescent="0.25">
      <c r="B5" s="15">
        <v>45070</v>
      </c>
      <c r="C5" s="16" t="s">
        <v>24</v>
      </c>
      <c r="D5" s="17" t="s">
        <v>18</v>
      </c>
      <c r="E5" s="18" t="s">
        <v>22</v>
      </c>
      <c r="F5" s="18" t="s">
        <v>9</v>
      </c>
      <c r="G5" s="16">
        <v>69</v>
      </c>
      <c r="H5" s="19">
        <v>2898</v>
      </c>
    </row>
    <row r="6" spans="1:8" ht="15" x14ac:dyDescent="0.25">
      <c r="B6" s="15">
        <v>44995</v>
      </c>
      <c r="C6" s="16" t="s">
        <v>17</v>
      </c>
      <c r="D6" s="17" t="s">
        <v>18</v>
      </c>
      <c r="E6" s="18" t="s">
        <v>0</v>
      </c>
      <c r="F6" s="18" t="s">
        <v>7</v>
      </c>
      <c r="G6" s="16">
        <v>96</v>
      </c>
      <c r="H6" s="19">
        <v>3552</v>
      </c>
    </row>
    <row r="7" spans="1:8" ht="15" x14ac:dyDescent="0.25">
      <c r="B7" s="15">
        <v>45029</v>
      </c>
      <c r="C7" s="16" t="s">
        <v>19</v>
      </c>
      <c r="D7" s="17" t="s">
        <v>18</v>
      </c>
      <c r="E7" s="18" t="s">
        <v>2</v>
      </c>
      <c r="F7" s="18" t="s">
        <v>9</v>
      </c>
      <c r="G7" s="16">
        <v>101</v>
      </c>
      <c r="H7" s="19">
        <v>1414</v>
      </c>
    </row>
    <row r="8" spans="1:8" ht="15" x14ac:dyDescent="0.25">
      <c r="B8" s="15">
        <v>45012</v>
      </c>
      <c r="C8" s="16" t="s">
        <v>19</v>
      </c>
      <c r="D8" s="17" t="s">
        <v>18</v>
      </c>
      <c r="E8" s="18" t="s">
        <v>1</v>
      </c>
      <c r="F8" s="18" t="s">
        <v>7</v>
      </c>
      <c r="G8" s="16">
        <v>107</v>
      </c>
      <c r="H8" s="19">
        <v>1498</v>
      </c>
    </row>
    <row r="9" spans="1:8" ht="15" x14ac:dyDescent="0.25">
      <c r="B9" s="15">
        <v>45070</v>
      </c>
      <c r="C9" s="16" t="s">
        <v>17</v>
      </c>
      <c r="D9" s="17" t="s">
        <v>18</v>
      </c>
      <c r="E9" s="18" t="s">
        <v>3</v>
      </c>
      <c r="F9" s="18" t="s">
        <v>8</v>
      </c>
      <c r="G9" s="16">
        <v>71</v>
      </c>
      <c r="H9" s="19">
        <v>2982</v>
      </c>
    </row>
    <row r="10" spans="1:8" ht="15" x14ac:dyDescent="0.25">
      <c r="B10" s="15">
        <v>45053</v>
      </c>
      <c r="C10" s="16" t="s">
        <v>24</v>
      </c>
      <c r="D10" s="17" t="s">
        <v>18</v>
      </c>
      <c r="E10" s="18" t="s">
        <v>3</v>
      </c>
      <c r="F10" s="18" t="s">
        <v>8</v>
      </c>
      <c r="G10" s="16">
        <v>61</v>
      </c>
      <c r="H10" s="19">
        <v>2562</v>
      </c>
    </row>
    <row r="11" spans="1:8" ht="15" x14ac:dyDescent="0.25">
      <c r="B11" s="15">
        <v>45051</v>
      </c>
      <c r="C11" s="16" t="s">
        <v>20</v>
      </c>
      <c r="D11" s="17" t="s">
        <v>29</v>
      </c>
      <c r="E11" s="18" t="s">
        <v>22</v>
      </c>
      <c r="F11" s="18" t="s">
        <v>9</v>
      </c>
      <c r="G11" s="16">
        <v>93</v>
      </c>
      <c r="H11" s="19">
        <v>2046</v>
      </c>
    </row>
    <row r="12" spans="1:8" ht="15" x14ac:dyDescent="0.25">
      <c r="B12" s="15">
        <v>45017</v>
      </c>
      <c r="C12" s="16" t="s">
        <v>20</v>
      </c>
      <c r="D12" s="17" t="s">
        <v>29</v>
      </c>
      <c r="E12" s="18" t="s">
        <v>2</v>
      </c>
      <c r="F12" s="18" t="s">
        <v>9</v>
      </c>
      <c r="G12" s="16">
        <v>96</v>
      </c>
      <c r="H12" s="19">
        <v>2112</v>
      </c>
    </row>
    <row r="13" spans="1:8" ht="15" x14ac:dyDescent="0.25">
      <c r="B13" s="15">
        <v>45063</v>
      </c>
      <c r="C13" s="16" t="s">
        <v>26</v>
      </c>
      <c r="D13" s="17" t="s">
        <v>29</v>
      </c>
      <c r="E13" s="18" t="s">
        <v>6</v>
      </c>
      <c r="F13" s="18" t="s">
        <v>8</v>
      </c>
      <c r="G13" s="16">
        <v>98</v>
      </c>
      <c r="H13" s="19">
        <v>3430</v>
      </c>
    </row>
    <row r="14" spans="1:8" ht="15" x14ac:dyDescent="0.25">
      <c r="B14" s="15">
        <v>45058</v>
      </c>
      <c r="C14" s="16" t="s">
        <v>20</v>
      </c>
      <c r="D14" s="17" t="s">
        <v>29</v>
      </c>
      <c r="E14" s="18" t="s">
        <v>3</v>
      </c>
      <c r="F14" s="18" t="s">
        <v>8</v>
      </c>
      <c r="G14" s="16">
        <v>118</v>
      </c>
      <c r="H14" s="19">
        <v>2596</v>
      </c>
    </row>
    <row r="15" spans="1:8" ht="15" x14ac:dyDescent="0.25">
      <c r="B15" s="15">
        <v>45056</v>
      </c>
      <c r="C15" s="16" t="s">
        <v>23</v>
      </c>
      <c r="D15" s="17" t="s">
        <v>30</v>
      </c>
      <c r="E15" s="18" t="s">
        <v>22</v>
      </c>
      <c r="F15" s="18" t="s">
        <v>9</v>
      </c>
      <c r="G15" s="16">
        <v>51</v>
      </c>
      <c r="H15" s="19">
        <v>1887</v>
      </c>
    </row>
    <row r="16" spans="1:8" ht="15" x14ac:dyDescent="0.25">
      <c r="B16" s="15">
        <v>45017</v>
      </c>
      <c r="C16" s="16" t="s">
        <v>21</v>
      </c>
      <c r="D16" s="17" t="s">
        <v>30</v>
      </c>
      <c r="E16" s="18" t="s">
        <v>22</v>
      </c>
      <c r="F16" s="18" t="s">
        <v>9</v>
      </c>
      <c r="G16" s="16">
        <v>50</v>
      </c>
      <c r="H16" s="19">
        <v>1500</v>
      </c>
    </row>
    <row r="17" spans="2:8" ht="15" x14ac:dyDescent="0.25">
      <c r="B17" s="15">
        <v>45054</v>
      </c>
      <c r="C17" s="16" t="s">
        <v>21</v>
      </c>
      <c r="D17" s="17" t="s">
        <v>30</v>
      </c>
      <c r="E17" s="18" t="s">
        <v>0</v>
      </c>
      <c r="F17" s="18" t="s">
        <v>7</v>
      </c>
      <c r="G17" s="16">
        <v>65</v>
      </c>
      <c r="H17" s="19">
        <v>1950</v>
      </c>
    </row>
    <row r="18" spans="2:8" ht="15" x14ac:dyDescent="0.25">
      <c r="B18" s="15">
        <v>45075</v>
      </c>
      <c r="C18" s="16" t="s">
        <v>21</v>
      </c>
      <c r="D18" s="17" t="s">
        <v>30</v>
      </c>
      <c r="E18" s="18" t="s">
        <v>6</v>
      </c>
      <c r="F18" s="18" t="s">
        <v>8</v>
      </c>
      <c r="G18" s="16">
        <v>88</v>
      </c>
      <c r="H18" s="19">
        <v>2640</v>
      </c>
    </row>
    <row r="19" spans="2:8" ht="15" x14ac:dyDescent="0.25">
      <c r="B19" s="15">
        <v>45066</v>
      </c>
      <c r="C19" s="16" t="s">
        <v>27</v>
      </c>
      <c r="D19" s="17" t="s">
        <v>30</v>
      </c>
      <c r="E19" s="18" t="s">
        <v>6</v>
      </c>
      <c r="F19" s="18" t="s">
        <v>8</v>
      </c>
      <c r="G19" s="16">
        <v>74</v>
      </c>
      <c r="H19" s="19">
        <v>1776</v>
      </c>
    </row>
    <row r="20" spans="2:8" ht="15" x14ac:dyDescent="0.25">
      <c r="B20" s="15">
        <v>45053</v>
      </c>
      <c r="C20" s="16" t="s">
        <v>21</v>
      </c>
      <c r="D20" s="17" t="s">
        <v>30</v>
      </c>
      <c r="E20" s="18" t="s">
        <v>6</v>
      </c>
      <c r="F20" s="18" t="s">
        <v>8</v>
      </c>
      <c r="G20" s="16">
        <v>82</v>
      </c>
      <c r="H20" s="19">
        <v>2460</v>
      </c>
    </row>
    <row r="21" spans="2:8" ht="15" x14ac:dyDescent="0.25">
      <c r="B21" s="15">
        <v>45025</v>
      </c>
      <c r="C21" s="16" t="s">
        <v>23</v>
      </c>
      <c r="D21" s="17" t="s">
        <v>30</v>
      </c>
      <c r="E21" s="18" t="s">
        <v>3</v>
      </c>
      <c r="F21" s="18" t="s">
        <v>8</v>
      </c>
      <c r="G21" s="16">
        <v>89</v>
      </c>
      <c r="H21" s="19">
        <v>3293</v>
      </c>
    </row>
    <row r="22" spans="2:8" ht="15" x14ac:dyDescent="0.25">
      <c r="B22" s="15">
        <v>45059</v>
      </c>
      <c r="C22" s="16" t="s">
        <v>25</v>
      </c>
      <c r="D22" s="17" t="s">
        <v>28</v>
      </c>
      <c r="E22" s="18" t="s">
        <v>0</v>
      </c>
      <c r="F22" s="18" t="s">
        <v>7</v>
      </c>
      <c r="G22" s="16">
        <v>51</v>
      </c>
      <c r="H22" s="19">
        <v>2142</v>
      </c>
    </row>
    <row r="23" spans="2:8" ht="15" x14ac:dyDescent="0.25">
      <c r="B23" s="15">
        <v>44987</v>
      </c>
      <c r="C23" s="16" t="s">
        <v>16</v>
      </c>
      <c r="D23" s="17" t="s">
        <v>28</v>
      </c>
      <c r="E23" s="18" t="s">
        <v>0</v>
      </c>
      <c r="F23" s="18" t="s">
        <v>7</v>
      </c>
      <c r="G23" s="16">
        <v>52</v>
      </c>
      <c r="H23" s="19">
        <v>1560</v>
      </c>
    </row>
    <row r="24" spans="2:8" ht="15" x14ac:dyDescent="0.25">
      <c r="B24" s="15">
        <v>45063</v>
      </c>
      <c r="C24" s="16" t="s">
        <v>25</v>
      </c>
      <c r="D24" s="17" t="s">
        <v>28</v>
      </c>
      <c r="E24" s="18" t="s">
        <v>6</v>
      </c>
      <c r="F24" s="18" t="s">
        <v>8</v>
      </c>
      <c r="G24" s="16">
        <v>93</v>
      </c>
      <c r="H24" s="19">
        <v>3906</v>
      </c>
    </row>
    <row r="25" spans="2:8" ht="15" x14ac:dyDescent="0.25">
      <c r="B25" s="15">
        <v>45061</v>
      </c>
      <c r="C25" s="16" t="s">
        <v>16</v>
      </c>
      <c r="D25" s="17" t="s">
        <v>28</v>
      </c>
      <c r="E25" s="18" t="s">
        <v>6</v>
      </c>
      <c r="F25" s="18" t="s">
        <v>8</v>
      </c>
      <c r="G25" s="16">
        <v>80</v>
      </c>
      <c r="H25" s="19">
        <v>2400</v>
      </c>
    </row>
    <row r="26" spans="2:8" ht="15" x14ac:dyDescent="0.25">
      <c r="B26" s="15">
        <v>45054</v>
      </c>
      <c r="C26" s="16" t="s">
        <v>16</v>
      </c>
      <c r="D26" s="17" t="s">
        <v>28</v>
      </c>
      <c r="E26" s="18" t="s">
        <v>6</v>
      </c>
      <c r="F26" s="18" t="s">
        <v>8</v>
      </c>
      <c r="G26" s="16">
        <v>101</v>
      </c>
      <c r="H26" s="19">
        <v>3030</v>
      </c>
    </row>
  </sheetData>
  <sortState xmlns:xlrd2="http://schemas.microsoft.com/office/spreadsheetml/2017/richdata2" ref="B5:H26">
    <sortCondition ref="D4:D2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E942-5BC0-458A-95F0-5D6F5738CFF6}">
  <dimension ref="A1:J52"/>
  <sheetViews>
    <sheetView zoomScale="120" zoomScaleNormal="120" workbookViewId="0">
      <selection activeCell="D3" sqref="D3"/>
    </sheetView>
  </sheetViews>
  <sheetFormatPr defaultRowHeight="15" outlineLevelRow="2" x14ac:dyDescent="0.25"/>
  <cols>
    <col min="1" max="1" width="12.5703125" style="4" customWidth="1"/>
    <col min="2" max="2" width="29.140625" style="4" customWidth="1"/>
    <col min="3" max="3" width="14" style="4" bestFit="1" customWidth="1"/>
    <col min="4" max="4" width="8.42578125" style="4" customWidth="1"/>
    <col min="5" max="5" width="12.5703125" style="6" bestFit="1" customWidth="1"/>
    <col min="6" max="6" width="37.28515625" style="4" customWidth="1"/>
    <col min="7" max="7" width="13.5703125" style="26" bestFit="1" customWidth="1"/>
    <col min="8" max="8" width="11.7109375" style="4" bestFit="1" customWidth="1"/>
    <col min="9" max="10" width="9.140625" style="4"/>
    <col min="11" max="11" width="16.28515625" style="4" customWidth="1"/>
    <col min="12" max="12" width="12" style="4" customWidth="1"/>
    <col min="13" max="16384" width="9.140625" style="4"/>
  </cols>
  <sheetData>
    <row r="1" spans="1:10" x14ac:dyDescent="0.25">
      <c r="A1" s="5" t="s">
        <v>102</v>
      </c>
    </row>
    <row r="2" spans="1:10" x14ac:dyDescent="0.25">
      <c r="A2" s="5"/>
    </row>
    <row r="3" spans="1:10" x14ac:dyDescent="0.25">
      <c r="A3" s="23" t="s">
        <v>43</v>
      </c>
      <c r="B3" s="24" t="s">
        <v>44</v>
      </c>
      <c r="C3" s="23" t="s">
        <v>45</v>
      </c>
      <c r="D3" s="27" t="s">
        <v>13</v>
      </c>
      <c r="E3" s="27" t="s">
        <v>46</v>
      </c>
      <c r="F3" s="27" t="s">
        <v>47</v>
      </c>
      <c r="G3" s="28" t="s">
        <v>48</v>
      </c>
      <c r="H3" s="25" t="s">
        <v>49</v>
      </c>
      <c r="J3" s="5" t="s">
        <v>50</v>
      </c>
    </row>
    <row r="4" spans="1:10" outlineLevel="2" x14ac:dyDescent="0.25">
      <c r="A4" s="29" t="s">
        <v>56</v>
      </c>
      <c r="B4" s="33" t="s">
        <v>57</v>
      </c>
      <c r="C4" s="34" t="s">
        <v>53</v>
      </c>
      <c r="D4" s="34" t="s">
        <v>7</v>
      </c>
      <c r="E4" s="34" t="s">
        <v>58</v>
      </c>
      <c r="F4" s="35" t="s">
        <v>59</v>
      </c>
      <c r="G4" s="9">
        <v>4700</v>
      </c>
      <c r="H4" s="36">
        <v>872444506</v>
      </c>
      <c r="J4" s="4" t="s">
        <v>101</v>
      </c>
    </row>
    <row r="5" spans="1:10" outlineLevel="1" x14ac:dyDescent="0.25">
      <c r="A5" s="42" t="s">
        <v>105</v>
      </c>
      <c r="B5" s="33"/>
      <c r="C5" s="34"/>
      <c r="D5" s="34">
        <f>SUBTOTAL(9,D4:D4)</f>
        <v>0</v>
      </c>
      <c r="E5" s="34"/>
      <c r="F5" s="35"/>
      <c r="G5" s="9"/>
      <c r="H5" s="36">
        <f>SUBTOTAL(9,H4:H4)</f>
        <v>872444506</v>
      </c>
    </row>
    <row r="6" spans="1:10" ht="13.5" customHeight="1" outlineLevel="2" x14ac:dyDescent="0.25">
      <c r="A6" s="29" t="s">
        <v>86</v>
      </c>
      <c r="B6" s="33" t="s">
        <v>52</v>
      </c>
      <c r="C6" s="34" t="s">
        <v>64</v>
      </c>
      <c r="D6" s="34" t="s">
        <v>7</v>
      </c>
      <c r="E6" s="34" t="s">
        <v>54</v>
      </c>
      <c r="F6" s="35" t="s">
        <v>87</v>
      </c>
      <c r="G6" s="9">
        <v>24575</v>
      </c>
      <c r="H6" s="36">
        <v>872464287</v>
      </c>
    </row>
    <row r="7" spans="1:10" ht="13.5" customHeight="1" outlineLevel="1" x14ac:dyDescent="0.25">
      <c r="A7" s="43" t="s">
        <v>106</v>
      </c>
      <c r="B7" s="33"/>
      <c r="C7" s="34"/>
      <c r="D7" s="34">
        <f>SUBTOTAL(9,D6:D6)</f>
        <v>0</v>
      </c>
      <c r="E7" s="34"/>
      <c r="F7" s="35"/>
      <c r="G7" s="9"/>
      <c r="H7" s="36">
        <f>SUBTOTAL(9,H6:H6)</f>
        <v>872464287</v>
      </c>
    </row>
    <row r="8" spans="1:10" ht="14.25" customHeight="1" outlineLevel="2" x14ac:dyDescent="0.25">
      <c r="A8" s="29" t="s">
        <v>95</v>
      </c>
      <c r="B8" s="33" t="s">
        <v>52</v>
      </c>
      <c r="C8" s="34" t="s">
        <v>64</v>
      </c>
      <c r="D8" s="34" t="s">
        <v>7</v>
      </c>
      <c r="E8" s="34" t="s">
        <v>54</v>
      </c>
      <c r="F8" s="38" t="s">
        <v>96</v>
      </c>
      <c r="G8" s="9">
        <v>4536</v>
      </c>
      <c r="H8" s="36">
        <v>872452440</v>
      </c>
    </row>
    <row r="9" spans="1:10" ht="14.25" customHeight="1" outlineLevel="1" x14ac:dyDescent="0.25">
      <c r="A9" s="43" t="s">
        <v>107</v>
      </c>
      <c r="B9" s="33"/>
      <c r="C9" s="34"/>
      <c r="D9" s="34">
        <f>SUBTOTAL(9,D8:D8)</f>
        <v>0</v>
      </c>
      <c r="E9" s="34"/>
      <c r="F9" s="38"/>
      <c r="G9" s="9"/>
      <c r="H9" s="36">
        <f>SUBTOTAL(9,H8:H8)</f>
        <v>872452440</v>
      </c>
    </row>
    <row r="10" spans="1:10" ht="12.75" customHeight="1" outlineLevel="2" x14ac:dyDescent="0.25">
      <c r="A10" s="29" t="s">
        <v>88</v>
      </c>
      <c r="B10" s="37" t="s">
        <v>52</v>
      </c>
      <c r="C10" s="34" t="s">
        <v>53</v>
      </c>
      <c r="D10" s="34" t="s">
        <v>7</v>
      </c>
      <c r="E10" s="34" t="s">
        <v>54</v>
      </c>
      <c r="F10" s="35" t="s">
        <v>89</v>
      </c>
      <c r="G10" s="9">
        <v>4470</v>
      </c>
      <c r="H10" s="36">
        <v>872458451</v>
      </c>
    </row>
    <row r="11" spans="1:10" ht="12.75" customHeight="1" outlineLevel="1" x14ac:dyDescent="0.25">
      <c r="A11" s="43" t="s">
        <v>108</v>
      </c>
      <c r="B11" s="37"/>
      <c r="C11" s="34"/>
      <c r="D11" s="34">
        <f>SUBTOTAL(9,D10:D10)</f>
        <v>0</v>
      </c>
      <c r="E11" s="34"/>
      <c r="F11" s="35"/>
      <c r="G11" s="9"/>
      <c r="H11" s="36">
        <f>SUBTOTAL(9,H10:H10)</f>
        <v>872458451</v>
      </c>
    </row>
    <row r="12" spans="1:10" ht="13.5" customHeight="1" outlineLevel="2" x14ac:dyDescent="0.25">
      <c r="A12" s="29" t="s">
        <v>51</v>
      </c>
      <c r="B12" s="29" t="s">
        <v>52</v>
      </c>
      <c r="C12" s="12" t="s">
        <v>53</v>
      </c>
      <c r="D12" s="12" t="s">
        <v>7</v>
      </c>
      <c r="E12" s="12" t="s">
        <v>54</v>
      </c>
      <c r="F12" s="30" t="s">
        <v>55</v>
      </c>
      <c r="G12" s="31">
        <v>24103</v>
      </c>
      <c r="H12" s="32">
        <v>872442554</v>
      </c>
    </row>
    <row r="13" spans="1:10" ht="13.5" customHeight="1" outlineLevel="1" x14ac:dyDescent="0.25">
      <c r="A13" s="43" t="s">
        <v>109</v>
      </c>
      <c r="B13" s="29"/>
      <c r="C13" s="12"/>
      <c r="D13" s="12">
        <f>SUBTOTAL(9,D12:D12)</f>
        <v>0</v>
      </c>
      <c r="E13" s="12"/>
      <c r="F13" s="30"/>
      <c r="G13" s="31"/>
      <c r="H13" s="32">
        <f>SUBTOTAL(9,H12:H12)</f>
        <v>872442554</v>
      </c>
    </row>
    <row r="14" spans="1:10" ht="15" customHeight="1" outlineLevel="2" x14ac:dyDescent="0.25">
      <c r="A14" s="29" t="s">
        <v>82</v>
      </c>
      <c r="B14" s="33" t="s">
        <v>52</v>
      </c>
      <c r="C14" s="34" t="s">
        <v>64</v>
      </c>
      <c r="D14" s="34" t="s">
        <v>7</v>
      </c>
      <c r="E14" s="34" t="s">
        <v>54</v>
      </c>
      <c r="F14" s="35" t="s">
        <v>59</v>
      </c>
      <c r="G14" s="9">
        <v>3885</v>
      </c>
      <c r="H14" s="36">
        <v>872452562</v>
      </c>
    </row>
    <row r="15" spans="1:10" ht="15" customHeight="1" outlineLevel="1" x14ac:dyDescent="0.25">
      <c r="A15" s="43" t="s">
        <v>110</v>
      </c>
      <c r="B15" s="33"/>
      <c r="C15" s="34"/>
      <c r="D15" s="34">
        <f>SUBTOTAL(9,D14:D14)</f>
        <v>0</v>
      </c>
      <c r="E15" s="34"/>
      <c r="F15" s="35"/>
      <c r="G15" s="9"/>
      <c r="H15" s="36">
        <f>SUBTOTAL(9,H14:H14)</f>
        <v>872452562</v>
      </c>
    </row>
    <row r="16" spans="1:10" outlineLevel="2" x14ac:dyDescent="0.25">
      <c r="A16" s="29" t="s">
        <v>85</v>
      </c>
      <c r="B16" s="37" t="s">
        <v>52</v>
      </c>
      <c r="C16" s="34" t="s">
        <v>64</v>
      </c>
      <c r="D16" s="34" t="s">
        <v>7</v>
      </c>
      <c r="E16" s="34" t="s">
        <v>54</v>
      </c>
      <c r="F16" s="35" t="s">
        <v>59</v>
      </c>
      <c r="G16" s="9">
        <v>4560</v>
      </c>
      <c r="H16" s="36">
        <v>872452834</v>
      </c>
    </row>
    <row r="17" spans="1:8" outlineLevel="1" x14ac:dyDescent="0.25">
      <c r="A17" s="43" t="s">
        <v>111</v>
      </c>
      <c r="B17" s="37"/>
      <c r="C17" s="34"/>
      <c r="D17" s="34">
        <f>SUBTOTAL(9,D16:D16)</f>
        <v>0</v>
      </c>
      <c r="E17" s="34"/>
      <c r="F17" s="35"/>
      <c r="G17" s="9"/>
      <c r="H17" s="36">
        <f>SUBTOTAL(9,H16:H16)</f>
        <v>872452834</v>
      </c>
    </row>
    <row r="18" spans="1:8" outlineLevel="2" x14ac:dyDescent="0.25">
      <c r="A18" s="29" t="s">
        <v>63</v>
      </c>
      <c r="B18" s="33" t="s">
        <v>52</v>
      </c>
      <c r="C18" s="34" t="s">
        <v>64</v>
      </c>
      <c r="D18" s="34" t="s">
        <v>7</v>
      </c>
      <c r="E18" s="34" t="s">
        <v>54</v>
      </c>
      <c r="F18" s="35" t="s">
        <v>65</v>
      </c>
      <c r="G18" s="9">
        <v>4250</v>
      </c>
      <c r="H18" s="36">
        <v>872442081</v>
      </c>
    </row>
    <row r="19" spans="1:8" outlineLevel="1" x14ac:dyDescent="0.25">
      <c r="A19" s="43" t="s">
        <v>112</v>
      </c>
      <c r="B19" s="33"/>
      <c r="C19" s="34"/>
      <c r="D19" s="34">
        <f>SUBTOTAL(9,D18:D18)</f>
        <v>0</v>
      </c>
      <c r="E19" s="34"/>
      <c r="F19" s="35"/>
      <c r="G19" s="9"/>
      <c r="H19" s="36">
        <f>SUBTOTAL(9,H18:H18)</f>
        <v>872442081</v>
      </c>
    </row>
    <row r="20" spans="1:8" outlineLevel="2" x14ac:dyDescent="0.25">
      <c r="A20" s="29" t="s">
        <v>79</v>
      </c>
      <c r="B20" s="37" t="s">
        <v>80</v>
      </c>
      <c r="C20" s="34" t="s">
        <v>53</v>
      </c>
      <c r="D20" s="34" t="s">
        <v>7</v>
      </c>
      <c r="E20" s="34" t="s">
        <v>54</v>
      </c>
      <c r="F20" s="35" t="s">
        <v>81</v>
      </c>
      <c r="G20" s="9">
        <v>4435</v>
      </c>
      <c r="H20" s="36">
        <v>872441751</v>
      </c>
    </row>
    <row r="21" spans="1:8" outlineLevel="1" x14ac:dyDescent="0.25">
      <c r="A21" s="43" t="s">
        <v>113</v>
      </c>
      <c r="B21" s="37"/>
      <c r="C21" s="34"/>
      <c r="D21" s="34">
        <f>SUBTOTAL(9,D20:D20)</f>
        <v>0</v>
      </c>
      <c r="E21" s="34"/>
      <c r="F21" s="35"/>
      <c r="G21" s="9"/>
      <c r="H21" s="36">
        <f>SUBTOTAL(9,H20:H20)</f>
        <v>872441751</v>
      </c>
    </row>
    <row r="22" spans="1:8" ht="14.25" customHeight="1" outlineLevel="2" x14ac:dyDescent="0.25">
      <c r="A22" s="29" t="s">
        <v>93</v>
      </c>
      <c r="B22" s="33" t="s">
        <v>80</v>
      </c>
      <c r="C22" s="34" t="s">
        <v>64</v>
      </c>
      <c r="D22" s="34" t="s">
        <v>7</v>
      </c>
      <c r="E22" s="34" t="s">
        <v>58</v>
      </c>
      <c r="F22" s="35" t="s">
        <v>94</v>
      </c>
      <c r="G22" s="9">
        <v>44405</v>
      </c>
      <c r="H22" s="36">
        <v>872455746</v>
      </c>
    </row>
    <row r="23" spans="1:8" ht="14.25" customHeight="1" outlineLevel="1" x14ac:dyDescent="0.25">
      <c r="A23" s="43" t="s">
        <v>114</v>
      </c>
      <c r="B23" s="33"/>
      <c r="C23" s="34"/>
      <c r="D23" s="34">
        <f>SUBTOTAL(9,D22:D22)</f>
        <v>0</v>
      </c>
      <c r="E23" s="34"/>
      <c r="F23" s="35"/>
      <c r="G23" s="9"/>
      <c r="H23" s="36">
        <f>SUBTOTAL(9,H22:H22)</f>
        <v>872455746</v>
      </c>
    </row>
    <row r="24" spans="1:8" ht="14.25" customHeight="1" outlineLevel="2" x14ac:dyDescent="0.25">
      <c r="A24" s="29" t="s">
        <v>100</v>
      </c>
      <c r="B24" s="33" t="s">
        <v>69</v>
      </c>
      <c r="C24" s="34" t="s">
        <v>53</v>
      </c>
      <c r="D24" s="34" t="s">
        <v>7</v>
      </c>
      <c r="E24" s="34" t="s">
        <v>54</v>
      </c>
      <c r="F24" s="35" t="s">
        <v>94</v>
      </c>
      <c r="G24" s="9">
        <v>4470</v>
      </c>
      <c r="H24" s="36">
        <v>872468437</v>
      </c>
    </row>
    <row r="25" spans="1:8" ht="14.25" customHeight="1" outlineLevel="1" x14ac:dyDescent="0.25">
      <c r="A25" s="43" t="s">
        <v>115</v>
      </c>
      <c r="B25" s="33"/>
      <c r="C25" s="34"/>
      <c r="D25" s="34">
        <f>SUBTOTAL(9,D24:D24)</f>
        <v>0</v>
      </c>
      <c r="E25" s="34"/>
      <c r="F25" s="35"/>
      <c r="G25" s="9"/>
      <c r="H25" s="36">
        <f>SUBTOTAL(9,H24:H24)</f>
        <v>872468437</v>
      </c>
    </row>
    <row r="26" spans="1:8" ht="15.75" customHeight="1" outlineLevel="2" x14ac:dyDescent="0.25">
      <c r="A26" s="29" t="s">
        <v>66</v>
      </c>
      <c r="B26" s="33" t="s">
        <v>61</v>
      </c>
      <c r="C26" s="34" t="s">
        <v>53</v>
      </c>
      <c r="D26" s="34" t="s">
        <v>7</v>
      </c>
      <c r="E26" s="34" t="s">
        <v>54</v>
      </c>
      <c r="F26" s="35" t="s">
        <v>67</v>
      </c>
      <c r="G26" s="9">
        <v>4730</v>
      </c>
      <c r="H26" s="36">
        <v>872445053</v>
      </c>
    </row>
    <row r="27" spans="1:8" ht="15.75" customHeight="1" outlineLevel="1" x14ac:dyDescent="0.25">
      <c r="A27" s="43" t="s">
        <v>116</v>
      </c>
      <c r="B27" s="33"/>
      <c r="C27" s="34"/>
      <c r="D27" s="34">
        <f>SUBTOTAL(9,D26:D26)</f>
        <v>0</v>
      </c>
      <c r="E27" s="34"/>
      <c r="F27" s="35"/>
      <c r="G27" s="9"/>
      <c r="H27" s="36">
        <f>SUBTOTAL(9,H26:H26)</f>
        <v>872445053</v>
      </c>
    </row>
    <row r="28" spans="1:8" outlineLevel="2" x14ac:dyDescent="0.25">
      <c r="A28" s="29" t="s">
        <v>71</v>
      </c>
      <c r="B28" s="33" t="s">
        <v>72</v>
      </c>
      <c r="C28" s="34" t="s">
        <v>53</v>
      </c>
      <c r="D28" s="34" t="s">
        <v>7</v>
      </c>
      <c r="E28" s="34" t="s">
        <v>58</v>
      </c>
      <c r="F28" s="35" t="s">
        <v>73</v>
      </c>
      <c r="G28" s="9">
        <v>1549</v>
      </c>
      <c r="H28" s="36">
        <v>872451996</v>
      </c>
    </row>
    <row r="29" spans="1:8" outlineLevel="1" x14ac:dyDescent="0.25">
      <c r="A29" s="43" t="s">
        <v>117</v>
      </c>
      <c r="B29" s="33"/>
      <c r="C29" s="34"/>
      <c r="D29" s="34">
        <f>SUBTOTAL(9,D28:D28)</f>
        <v>0</v>
      </c>
      <c r="E29" s="34"/>
      <c r="F29" s="35"/>
      <c r="G29" s="9"/>
      <c r="H29" s="36">
        <f>SUBTOTAL(9,H28:H28)</f>
        <v>872451996</v>
      </c>
    </row>
    <row r="30" spans="1:8" outlineLevel="2" x14ac:dyDescent="0.25">
      <c r="A30" s="29" t="s">
        <v>75</v>
      </c>
      <c r="B30" s="33" t="s">
        <v>76</v>
      </c>
      <c r="C30" s="34" t="s">
        <v>64</v>
      </c>
      <c r="D30" s="34" t="s">
        <v>9</v>
      </c>
      <c r="E30" s="34" t="s">
        <v>58</v>
      </c>
      <c r="F30" s="35" t="s">
        <v>59</v>
      </c>
      <c r="G30" s="9">
        <v>2825</v>
      </c>
      <c r="H30" s="22">
        <v>872452949</v>
      </c>
    </row>
    <row r="31" spans="1:8" outlineLevel="1" x14ac:dyDescent="0.25">
      <c r="A31" s="43" t="s">
        <v>118</v>
      </c>
      <c r="B31" s="33"/>
      <c r="C31" s="34"/>
      <c r="D31" s="34">
        <f>SUBTOTAL(9,D30:D30)</f>
        <v>0</v>
      </c>
      <c r="E31" s="34"/>
      <c r="F31" s="35"/>
      <c r="G31" s="9"/>
      <c r="H31" s="22">
        <f>SUBTOTAL(9,H30:H30)</f>
        <v>872452949</v>
      </c>
    </row>
    <row r="32" spans="1:8" outlineLevel="2" x14ac:dyDescent="0.25">
      <c r="A32" s="29" t="s">
        <v>90</v>
      </c>
      <c r="B32" s="37" t="s">
        <v>52</v>
      </c>
      <c r="C32" s="34" t="s">
        <v>53</v>
      </c>
      <c r="D32" s="34" t="s">
        <v>9</v>
      </c>
      <c r="E32" s="34" t="s">
        <v>54</v>
      </c>
      <c r="F32" s="35" t="s">
        <v>89</v>
      </c>
      <c r="G32" s="9">
        <v>41900</v>
      </c>
      <c r="H32" s="36">
        <v>872455299</v>
      </c>
    </row>
    <row r="33" spans="1:8" outlineLevel="1" x14ac:dyDescent="0.25">
      <c r="A33" s="43" t="s">
        <v>119</v>
      </c>
      <c r="B33" s="37"/>
      <c r="C33" s="34"/>
      <c r="D33" s="34">
        <f>SUBTOTAL(9,D32:D32)</f>
        <v>0</v>
      </c>
      <c r="E33" s="34"/>
      <c r="F33" s="35"/>
      <c r="G33" s="9"/>
      <c r="H33" s="36">
        <f>SUBTOTAL(9,H32:H32)</f>
        <v>872455299</v>
      </c>
    </row>
    <row r="34" spans="1:8" outlineLevel="2" x14ac:dyDescent="0.25">
      <c r="A34" s="29" t="s">
        <v>77</v>
      </c>
      <c r="B34" s="37" t="s">
        <v>52</v>
      </c>
      <c r="C34" s="34" t="s">
        <v>64</v>
      </c>
      <c r="D34" s="34" t="s">
        <v>9</v>
      </c>
      <c r="E34" s="34" t="s">
        <v>54</v>
      </c>
      <c r="F34" s="35" t="s">
        <v>78</v>
      </c>
      <c r="G34" s="9">
        <v>22950</v>
      </c>
      <c r="H34" s="36">
        <v>872427639</v>
      </c>
    </row>
    <row r="35" spans="1:8" outlineLevel="1" x14ac:dyDescent="0.25">
      <c r="A35" s="43" t="s">
        <v>120</v>
      </c>
      <c r="B35" s="37"/>
      <c r="C35" s="40"/>
      <c r="D35" s="34">
        <f>SUBTOTAL(9,D34:D34)</f>
        <v>0</v>
      </c>
      <c r="E35" s="40"/>
      <c r="F35" s="35"/>
      <c r="G35" s="41"/>
      <c r="H35" s="36">
        <f>SUBTOTAL(9,H34:H34)</f>
        <v>872427639</v>
      </c>
    </row>
    <row r="36" spans="1:8" outlineLevel="2" x14ac:dyDescent="0.25">
      <c r="A36" s="29" t="s">
        <v>91</v>
      </c>
      <c r="B36" s="33" t="s">
        <v>80</v>
      </c>
      <c r="C36" s="40" t="s">
        <v>64</v>
      </c>
      <c r="D36" s="34" t="s">
        <v>9</v>
      </c>
      <c r="E36" s="40" t="s">
        <v>54</v>
      </c>
      <c r="F36" s="38" t="s">
        <v>92</v>
      </c>
      <c r="G36" s="41">
        <v>7100</v>
      </c>
      <c r="H36" s="36">
        <v>871676525</v>
      </c>
    </row>
    <row r="37" spans="1:8" outlineLevel="1" x14ac:dyDescent="0.25">
      <c r="A37" s="43" t="s">
        <v>121</v>
      </c>
      <c r="B37" s="33"/>
      <c r="C37" s="40"/>
      <c r="D37" s="34">
        <f>SUBTOTAL(9,D36:D36)</f>
        <v>0</v>
      </c>
      <c r="E37" s="40"/>
      <c r="F37" s="38"/>
      <c r="G37" s="41"/>
      <c r="H37" s="36">
        <f>SUBTOTAL(9,H36:H36)</f>
        <v>871676525</v>
      </c>
    </row>
    <row r="38" spans="1:8" ht="15" customHeight="1" outlineLevel="2" x14ac:dyDescent="0.25">
      <c r="A38" s="29" t="s">
        <v>83</v>
      </c>
      <c r="B38" s="33" t="s">
        <v>69</v>
      </c>
      <c r="C38" s="40" t="s">
        <v>64</v>
      </c>
      <c r="D38" s="34" t="s">
        <v>9</v>
      </c>
      <c r="E38" s="40" t="s">
        <v>54</v>
      </c>
      <c r="F38" s="35" t="s">
        <v>84</v>
      </c>
      <c r="G38" s="9">
        <v>2420</v>
      </c>
      <c r="H38" s="36">
        <v>872454199</v>
      </c>
    </row>
    <row r="39" spans="1:8" ht="15" customHeight="1" outlineLevel="1" x14ac:dyDescent="0.25">
      <c r="A39" s="43" t="s">
        <v>122</v>
      </c>
      <c r="B39" s="33"/>
      <c r="C39" s="40"/>
      <c r="D39" s="34">
        <f>SUBTOTAL(9,D38:D38)</f>
        <v>0</v>
      </c>
      <c r="E39" s="40"/>
      <c r="F39" s="35"/>
      <c r="G39" s="9"/>
      <c r="H39" s="36">
        <f>SUBTOTAL(9,H38:H38)</f>
        <v>872454199</v>
      </c>
    </row>
    <row r="40" spans="1:8" outlineLevel="2" x14ac:dyDescent="0.25">
      <c r="A40" s="29" t="s">
        <v>74</v>
      </c>
      <c r="B40" s="37" t="s">
        <v>69</v>
      </c>
      <c r="C40" s="34" t="s">
        <v>64</v>
      </c>
      <c r="D40" s="34" t="s">
        <v>9</v>
      </c>
      <c r="E40" s="40" t="s">
        <v>54</v>
      </c>
      <c r="F40" s="35" t="s">
        <v>70</v>
      </c>
      <c r="G40" s="9">
        <v>2605</v>
      </c>
      <c r="H40" s="36">
        <v>872429855</v>
      </c>
    </row>
    <row r="41" spans="1:8" outlineLevel="1" x14ac:dyDescent="0.25">
      <c r="A41" s="43" t="s">
        <v>123</v>
      </c>
      <c r="B41" s="37"/>
      <c r="C41" s="34"/>
      <c r="D41" s="34">
        <f>SUBTOTAL(9,D40:D40)</f>
        <v>0</v>
      </c>
      <c r="E41" s="40"/>
      <c r="F41" s="35"/>
      <c r="G41" s="9"/>
      <c r="H41" s="36">
        <f>SUBTOTAL(9,H40:H40)</f>
        <v>872429855</v>
      </c>
    </row>
    <row r="42" spans="1:8" outlineLevel="2" x14ac:dyDescent="0.25">
      <c r="A42" s="29" t="s">
        <v>68</v>
      </c>
      <c r="B42" s="33" t="s">
        <v>69</v>
      </c>
      <c r="C42" s="34" t="s">
        <v>53</v>
      </c>
      <c r="D42" s="34" t="s">
        <v>9</v>
      </c>
      <c r="E42" s="40" t="s">
        <v>54</v>
      </c>
      <c r="F42" s="35" t="s">
        <v>70</v>
      </c>
      <c r="G42" s="9">
        <v>20300</v>
      </c>
      <c r="H42" s="36">
        <v>872424021</v>
      </c>
    </row>
    <row r="43" spans="1:8" outlineLevel="1" x14ac:dyDescent="0.25">
      <c r="A43" s="43" t="s">
        <v>124</v>
      </c>
      <c r="B43" s="33"/>
      <c r="C43" s="34"/>
      <c r="D43" s="34">
        <f>SUBTOTAL(9,D42:D42)</f>
        <v>0</v>
      </c>
      <c r="E43" s="40"/>
      <c r="F43" s="35"/>
      <c r="G43" s="9"/>
      <c r="H43" s="36">
        <f>SUBTOTAL(9,H42:H42)</f>
        <v>872424021</v>
      </c>
    </row>
    <row r="44" spans="1:8" outlineLevel="2" x14ac:dyDescent="0.25">
      <c r="A44" s="29" t="s">
        <v>97</v>
      </c>
      <c r="B44" s="33" t="s">
        <v>69</v>
      </c>
      <c r="C44" s="34" t="s">
        <v>64</v>
      </c>
      <c r="D44" s="34" t="s">
        <v>9</v>
      </c>
      <c r="E44" s="34" t="s">
        <v>54</v>
      </c>
      <c r="F44" s="35" t="s">
        <v>98</v>
      </c>
      <c r="G44" s="9">
        <v>1300</v>
      </c>
      <c r="H44" s="36">
        <v>872460371</v>
      </c>
    </row>
    <row r="45" spans="1:8" outlineLevel="1" x14ac:dyDescent="0.25">
      <c r="A45" s="43" t="s">
        <v>125</v>
      </c>
      <c r="B45" s="33"/>
      <c r="C45" s="34"/>
      <c r="D45" s="34">
        <f>SUBTOTAL(9,D44:D44)</f>
        <v>0</v>
      </c>
      <c r="E45" s="40"/>
      <c r="F45" s="35"/>
      <c r="G45" s="9"/>
      <c r="H45" s="36">
        <f>SUBTOTAL(9,H44:H44)</f>
        <v>872460371</v>
      </c>
    </row>
    <row r="46" spans="1:8" ht="15" customHeight="1" outlineLevel="2" x14ac:dyDescent="0.25">
      <c r="A46" s="29" t="s">
        <v>60</v>
      </c>
      <c r="B46" s="33" t="s">
        <v>61</v>
      </c>
      <c r="C46" s="34" t="s">
        <v>53</v>
      </c>
      <c r="D46" s="34" t="s">
        <v>9</v>
      </c>
      <c r="E46" s="40" t="s">
        <v>54</v>
      </c>
      <c r="F46" s="35" t="s">
        <v>59</v>
      </c>
      <c r="G46" s="9">
        <v>2680</v>
      </c>
      <c r="H46" s="36">
        <v>872444511</v>
      </c>
    </row>
    <row r="47" spans="1:8" ht="15" customHeight="1" outlineLevel="1" x14ac:dyDescent="0.25">
      <c r="A47" s="43" t="s">
        <v>126</v>
      </c>
      <c r="B47" s="33"/>
      <c r="C47" s="34"/>
      <c r="D47" s="34">
        <f>SUBTOTAL(9,D46:D46)</f>
        <v>0</v>
      </c>
      <c r="E47" s="40"/>
      <c r="F47" s="35"/>
      <c r="G47" s="9"/>
      <c r="H47" s="36">
        <f>SUBTOTAL(9,H46:H46)</f>
        <v>872444511</v>
      </c>
    </row>
    <row r="48" spans="1:8" ht="15" customHeight="1" outlineLevel="2" x14ac:dyDescent="0.25">
      <c r="A48" s="29" t="s">
        <v>62</v>
      </c>
      <c r="B48" s="33" t="s">
        <v>61</v>
      </c>
      <c r="C48" s="34" t="s">
        <v>53</v>
      </c>
      <c r="D48" s="34" t="s">
        <v>9</v>
      </c>
      <c r="E48" s="34" t="s">
        <v>54</v>
      </c>
      <c r="F48" s="39" t="s">
        <v>59</v>
      </c>
      <c r="G48" s="9">
        <v>28600</v>
      </c>
      <c r="H48" s="36">
        <v>872430104</v>
      </c>
    </row>
    <row r="49" spans="1:8" ht="15" customHeight="1" outlineLevel="1" x14ac:dyDescent="0.25">
      <c r="A49" s="43" t="s">
        <v>127</v>
      </c>
      <c r="B49" s="33"/>
      <c r="C49" s="34"/>
      <c r="D49" s="34">
        <f>SUBTOTAL(9,D48:D48)</f>
        <v>0</v>
      </c>
      <c r="E49" s="34"/>
      <c r="F49" s="39"/>
      <c r="G49" s="9"/>
      <c r="H49" s="36">
        <f>SUBTOTAL(9,H48:H48)</f>
        <v>872430104</v>
      </c>
    </row>
    <row r="50" spans="1:8" outlineLevel="2" x14ac:dyDescent="0.25">
      <c r="A50" s="29" t="s">
        <v>99</v>
      </c>
      <c r="B50" s="33" t="s">
        <v>61</v>
      </c>
      <c r="C50" s="34" t="s">
        <v>53</v>
      </c>
      <c r="D50" s="34" t="s">
        <v>9</v>
      </c>
      <c r="E50" s="34" t="s">
        <v>58</v>
      </c>
      <c r="F50" s="35" t="s">
        <v>59</v>
      </c>
      <c r="G50" s="9">
        <v>41250</v>
      </c>
      <c r="H50" s="36">
        <v>872467096</v>
      </c>
    </row>
    <row r="51" spans="1:8" outlineLevel="1" x14ac:dyDescent="0.25">
      <c r="A51" s="49" t="s">
        <v>128</v>
      </c>
      <c r="B51" s="44"/>
      <c r="C51" s="45"/>
      <c r="D51" s="45">
        <f>SUBTOTAL(9,D50:D50)</f>
        <v>0</v>
      </c>
      <c r="E51" s="45"/>
      <c r="F51" s="46"/>
      <c r="G51" s="47"/>
      <c r="H51" s="48">
        <f>SUBTOTAL(9,H50:H50)</f>
        <v>872467096</v>
      </c>
    </row>
    <row r="52" spans="1:8" x14ac:dyDescent="0.25">
      <c r="A52" s="49" t="s">
        <v>129</v>
      </c>
      <c r="B52" s="44"/>
      <c r="C52" s="45"/>
      <c r="D52" s="45">
        <f>SUBTOTAL(9,D4:D50)</f>
        <v>0</v>
      </c>
      <c r="E52" s="45"/>
      <c r="F52" s="46"/>
      <c r="G52" s="47"/>
      <c r="H52" s="48">
        <f>SUBTOTAL(9,H4:H50)</f>
        <v>20937995267</v>
      </c>
    </row>
  </sheetData>
  <sortState xmlns:xlrd2="http://schemas.microsoft.com/office/spreadsheetml/2017/richdata2" ref="A4:H50">
    <sortCondition ref="D3:D50"/>
  </sortState>
  <conditionalFormatting sqref="H42:H43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51B0C8-00C2-4D7C-99E1-BC195C7476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Intro</vt:lpstr>
      <vt:lpstr>BD1</vt:lpstr>
      <vt:lpstr>BD2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</dc:creator>
  <cp:lastModifiedBy>MANOEL BARATA</cp:lastModifiedBy>
  <dcterms:created xsi:type="dcterms:W3CDTF">2011-04-15T13:35:58Z</dcterms:created>
  <dcterms:modified xsi:type="dcterms:W3CDTF">2025-06-11T17:31:36Z</dcterms:modified>
</cp:coreProperties>
</file>