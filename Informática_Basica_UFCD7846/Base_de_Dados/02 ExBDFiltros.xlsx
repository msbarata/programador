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Base_de_Dados\"/>
    </mc:Choice>
  </mc:AlternateContent>
  <xr:revisionPtr revIDLastSave="0" documentId="13_ncr:1_{13BB6F4D-0D1F-4915-A617-7B9E5D52372D}" xr6:coauthVersionLast="47" xr6:coauthVersionMax="47" xr10:uidLastSave="{00000000-0000-0000-0000-000000000000}"/>
  <bookViews>
    <workbookView xWindow="-120" yWindow="-120" windowWidth="20730" windowHeight="11160" tabRatio="554" firstSheet="4" activeTab="12" xr2:uid="{00000000-000D-0000-FFFF-FFFF00000000}"/>
  </bookViews>
  <sheets>
    <sheet name="Ex1" sheetId="14" r:id="rId1"/>
    <sheet name="Ex2" sheetId="15" r:id="rId2"/>
    <sheet name="Ex3" sheetId="12" r:id="rId3"/>
    <sheet name="Ex4" sheetId="13" r:id="rId4"/>
    <sheet name="Ex4 (2)" sheetId="16" r:id="rId5"/>
    <sheet name="Ex5" sheetId="1" r:id="rId6"/>
    <sheet name="Ex6" sheetId="8" r:id="rId7"/>
    <sheet name="Ex6 (2)" sheetId="17" r:id="rId8"/>
    <sheet name="Ex6 (3)" sheetId="18" r:id="rId9"/>
    <sheet name="Ex6 (4)" sheetId="19" r:id="rId10"/>
    <sheet name="Ex7" sheetId="7" r:id="rId11"/>
    <sheet name="Ex8" sheetId="11" r:id="rId12"/>
    <sheet name="Ex8 (2)" sheetId="20" r:id="rId13"/>
  </sheets>
  <definedNames>
    <definedName name="_xlnm._FilterDatabase" localSheetId="0" hidden="1">'Ex1'!$A$7:$H$26</definedName>
    <definedName name="_xlnm._FilterDatabase" localSheetId="1" hidden="1">'Ex2'!$A$7:$H$26</definedName>
    <definedName name="_xlnm._FilterDatabase" localSheetId="3" hidden="1">'Ex4'!$A$1:$F$90</definedName>
    <definedName name="_xlnm._FilterDatabase" localSheetId="4" hidden="1">'Ex4 (2)'!$A$1:$F$90</definedName>
    <definedName name="_xlnm._FilterDatabase" localSheetId="5" hidden="1">'Ex5'!$A$3:$G$32</definedName>
    <definedName name="_xlnm._FilterDatabase" localSheetId="6" hidden="1">'Ex6'!$A$3:$H$72</definedName>
    <definedName name="_xlnm._FilterDatabase" localSheetId="7" hidden="1">'Ex6 (2)'!$A$3:$H$72</definedName>
    <definedName name="_xlnm._FilterDatabase" localSheetId="8" hidden="1">'Ex6 (3)'!$A$3:$H$72</definedName>
    <definedName name="_xlnm._FilterDatabase" localSheetId="9" hidden="1">'Ex6 (4)'!$A$3:$H$72</definedName>
    <definedName name="_xlnm._FilterDatabase" localSheetId="10" hidden="1">'Ex7'!$A$1:$G$57</definedName>
    <definedName name="_xlnm._FilterDatabase" localSheetId="11" hidden="1">'Ex8'!$A$1:$H$115</definedName>
    <definedName name="_xlnm._FilterDatabase" localSheetId="12" hidden="1">'Ex8 (2)'!$A$1:$H$115</definedName>
    <definedName name="Categoria">#REF!</definedName>
    <definedName name="_xlnm.Extract" localSheetId="10">'Ex7'!$G$17:$L$17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3" i="20" l="1"/>
  <c r="H45" i="20"/>
  <c r="H30" i="20"/>
  <c r="H20" i="20"/>
  <c r="H19" i="20"/>
  <c r="H16" i="20"/>
  <c r="H10" i="20"/>
  <c r="H4" i="20"/>
  <c r="H3" i="20"/>
  <c r="H2" i="20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2" i="11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G11" i="1"/>
  <c r="G10" i="1"/>
  <c r="G6" i="1" l="1"/>
  <c r="G16" i="1"/>
  <c r="G5" i="1"/>
  <c r="G22" i="1"/>
  <c r="G26" i="1"/>
  <c r="G15" i="1"/>
  <c r="G20" i="1"/>
  <c r="G8" i="1"/>
  <c r="G21" i="1"/>
  <c r="G27" i="1"/>
  <c r="G12" i="1"/>
  <c r="G18" i="1"/>
  <c r="G9" i="1"/>
  <c r="G13" i="1"/>
  <c r="G4" i="1"/>
  <c r="G7" i="1"/>
  <c r="G19" i="1"/>
  <c r="G23" i="1"/>
  <c r="G24" i="1"/>
  <c r="G30" i="1"/>
  <c r="G31" i="1"/>
  <c r="G14" i="1"/>
  <c r="G28" i="1"/>
  <c r="G29" i="1"/>
  <c r="G32" i="1"/>
  <c r="G25" i="1"/>
  <c r="G17" i="1"/>
</calcChain>
</file>

<file path=xl/sharedStrings.xml><?xml version="1.0" encoding="utf-8"?>
<sst xmlns="http://schemas.openxmlformats.org/spreadsheetml/2006/main" count="3694" uniqueCount="406">
  <si>
    <t>Data</t>
  </si>
  <si>
    <t>Vendedor</t>
  </si>
  <si>
    <t>Marcas</t>
  </si>
  <si>
    <t>Preço</t>
  </si>
  <si>
    <t>Quantidade</t>
  </si>
  <si>
    <t>Local</t>
  </si>
  <si>
    <t>Rui</t>
  </si>
  <si>
    <t>Sports Tourer Classe B</t>
  </si>
  <si>
    <t>Porto</t>
  </si>
  <si>
    <t>Luís</t>
  </si>
  <si>
    <t>CLS Shooting Brake</t>
  </si>
  <si>
    <t>Braga</t>
  </si>
  <si>
    <t>Armando</t>
  </si>
  <si>
    <t>Classe C Coupé</t>
  </si>
  <si>
    <t>Ana</t>
  </si>
  <si>
    <t>GLA 180 cdi urban</t>
  </si>
  <si>
    <t>Lisboa</t>
  </si>
  <si>
    <t>Aveiro</t>
  </si>
  <si>
    <t>Classe E 220 d</t>
  </si>
  <si>
    <t>Classe E Cabrio</t>
  </si>
  <si>
    <t>Setúbal</t>
  </si>
  <si>
    <t xml:space="preserve">CLA 220 CDi AMG Aut. </t>
  </si>
  <si>
    <t>Total</t>
  </si>
  <si>
    <t>Projeto</t>
  </si>
  <si>
    <t>Item</t>
  </si>
  <si>
    <t>Categoria</t>
  </si>
  <si>
    <t>E/S</t>
  </si>
  <si>
    <t>Valor</t>
  </si>
  <si>
    <t>Cidade</t>
  </si>
  <si>
    <t>Empréstimo Banco Verde</t>
  </si>
  <si>
    <t>Empréstimos</t>
  </si>
  <si>
    <t>Entrada</t>
  </si>
  <si>
    <t>Faro</t>
  </si>
  <si>
    <t>Investimento - captação em Bolsa</t>
  </si>
  <si>
    <t>Dinheiro Dos Sócios</t>
  </si>
  <si>
    <t>Compra de Retroescavadeira</t>
  </si>
  <si>
    <t>Compras À Vista</t>
  </si>
  <si>
    <t>Saída</t>
  </si>
  <si>
    <t>Gasoduto Oeste</t>
  </si>
  <si>
    <t>Subscrição de ações</t>
  </si>
  <si>
    <t>Siderúrgica Horizonte</t>
  </si>
  <si>
    <t>Venda de ações</t>
  </si>
  <si>
    <t>Coimbra</t>
  </si>
  <si>
    <t>Fertilizantes Clima</t>
  </si>
  <si>
    <t>Empréstimo Banco Amarelo</t>
  </si>
  <si>
    <t>Água Preta Telecomunicações</t>
  </si>
  <si>
    <t>Recebimento Clientes - outubro</t>
  </si>
  <si>
    <t>Contas A Receber</t>
  </si>
  <si>
    <t>Pagamento Fornecedores - outubro</t>
  </si>
  <si>
    <t>Contas A Pagar</t>
  </si>
  <si>
    <t>Captação de recursos - subscrição de ações</t>
  </si>
  <si>
    <t>Recebimento Clientes - novembro</t>
  </si>
  <si>
    <t>Pagamento Banco Vermelho</t>
  </si>
  <si>
    <t>Pagamento De Empréstimos</t>
  </si>
  <si>
    <t>Material de escritório</t>
  </si>
  <si>
    <t>Despesas Gerais De Administração</t>
  </si>
  <si>
    <t>Pagamento Banco Amarelo</t>
  </si>
  <si>
    <t>Recebimento duplicatas - dezembro</t>
  </si>
  <si>
    <t>Duplicatas - dezembro</t>
  </si>
  <si>
    <t>Água, Luz, Telefone e outros</t>
  </si>
  <si>
    <t>Emprestimo Banco Amarelo</t>
  </si>
  <si>
    <t>Duplicatas</t>
  </si>
  <si>
    <t>Fornecedores - vários</t>
  </si>
  <si>
    <t>Pagamento Empréstimo Banco Amarelo</t>
  </si>
  <si>
    <t>Reposição de estoque - vários itens</t>
  </si>
  <si>
    <t>Duplicatas - maio</t>
  </si>
  <si>
    <t>Mantas</t>
  </si>
  <si>
    <t>Silos</t>
  </si>
  <si>
    <t>Materiais diversos</t>
  </si>
  <si>
    <t>Emp. Mineira Crescente</t>
  </si>
  <si>
    <t>Instruções</t>
  </si>
  <si>
    <t>Região</t>
  </si>
  <si>
    <t>Norte</t>
  </si>
  <si>
    <t>Sul</t>
  </si>
  <si>
    <t>Curso</t>
  </si>
  <si>
    <t>Nível</t>
  </si>
  <si>
    <t>Instrutor</t>
  </si>
  <si>
    <t>Início</t>
  </si>
  <si>
    <t>Carga Horária</t>
  </si>
  <si>
    <t xml:space="preserve">Preço Un </t>
  </si>
  <si>
    <t>Cliente</t>
  </si>
  <si>
    <t>Access</t>
  </si>
  <si>
    <t>Básico</t>
  </si>
  <si>
    <t>Exact Sistemas</t>
  </si>
  <si>
    <t>Intermediário</t>
  </si>
  <si>
    <t>Banco de la Nación</t>
  </si>
  <si>
    <t>Excel</t>
  </si>
  <si>
    <t>Avançado</t>
  </si>
  <si>
    <t>Juliana Silva</t>
  </si>
  <si>
    <t>Não Aplicável (Turma Aberta)</t>
  </si>
  <si>
    <t>Project</t>
  </si>
  <si>
    <t>Business Software</t>
  </si>
  <si>
    <t>Online Shoppen</t>
  </si>
  <si>
    <t>Power Point</t>
  </si>
  <si>
    <t>Xing Ling Importados</t>
  </si>
  <si>
    <t>Max Solutions</t>
  </si>
  <si>
    <t>Word</t>
  </si>
  <si>
    <t>Viking Engenharia</t>
  </si>
  <si>
    <t>Knowledge Base IT</t>
  </si>
  <si>
    <t>OPM Solutions</t>
  </si>
  <si>
    <t>Elke Technologies</t>
  </si>
  <si>
    <t>Winsdow Corp</t>
  </si>
  <si>
    <t>Euro Rent-a-Car</t>
  </si>
  <si>
    <t>Banco EZ Trader</t>
  </si>
  <si>
    <t>Andreia Matos</t>
  </si>
  <si>
    <t>Eduardo Soares</t>
  </si>
  <si>
    <t>Carlos Sousa</t>
  </si>
  <si>
    <t>Advisory</t>
  </si>
  <si>
    <t>Auditoria</t>
  </si>
  <si>
    <t>Tax</t>
  </si>
  <si>
    <t>Nome</t>
  </si>
  <si>
    <t>Cargo</t>
  </si>
  <si>
    <t>Departamento</t>
  </si>
  <si>
    <t>Divisão</t>
  </si>
  <si>
    <t>Salário</t>
  </si>
  <si>
    <t>Data Adm.</t>
  </si>
  <si>
    <t>Data Nasc.</t>
  </si>
  <si>
    <t>José</t>
  </si>
  <si>
    <t>Gerente de Unidade</t>
  </si>
  <si>
    <t>Administração</t>
  </si>
  <si>
    <t>Duplique a Folha:</t>
  </si>
  <si>
    <t>Brad</t>
  </si>
  <si>
    <t>Engenheiro Chefe</t>
  </si>
  <si>
    <t>Engenharia</t>
  </si>
  <si>
    <t>Rica</t>
  </si>
  <si>
    <t>Gerente de Grupo</t>
  </si>
  <si>
    <t>Marketing</t>
  </si>
  <si>
    <t>Hilda</t>
  </si>
  <si>
    <t>Representante de Vendas</t>
  </si>
  <si>
    <t>Susana</t>
  </si>
  <si>
    <t>Engenheiro Senior</t>
  </si>
  <si>
    <t>Ellen</t>
  </si>
  <si>
    <t>Contador</t>
  </si>
  <si>
    <t>Contabilidade</t>
  </si>
  <si>
    <t>Miguel</t>
  </si>
  <si>
    <t>Carla</t>
  </si>
  <si>
    <t>Promotor de Marketing</t>
  </si>
  <si>
    <t>Samuel</t>
  </si>
  <si>
    <t>Charles</t>
  </si>
  <si>
    <t>Erika</t>
  </si>
  <si>
    <t>Gerente Administrativo</t>
  </si>
  <si>
    <t>Cara</t>
  </si>
  <si>
    <t>Felicio</t>
  </si>
  <si>
    <t>Cientista Pesquisador</t>
  </si>
  <si>
    <t>Pesq. &amp; Desenv.</t>
  </si>
  <si>
    <t>Mark</t>
  </si>
  <si>
    <t>Catia</t>
  </si>
  <si>
    <t>Engenheiro Mecânico</t>
  </si>
  <si>
    <t>Brent</t>
  </si>
  <si>
    <t>Técnico</t>
  </si>
  <si>
    <t>Roberto</t>
  </si>
  <si>
    <t>Bobby</t>
  </si>
  <si>
    <t>Gerente da Engenharia</t>
  </si>
  <si>
    <t>Alex</t>
  </si>
  <si>
    <t>Donaldo</t>
  </si>
  <si>
    <t>Engenheiro de Software</t>
  </si>
  <si>
    <t>Ariel</t>
  </si>
  <si>
    <t>Ari</t>
  </si>
  <si>
    <t>Burt</t>
  </si>
  <si>
    <t>Assistente Administrativo</t>
  </si>
  <si>
    <t>Matthias</t>
  </si>
  <si>
    <t>Davi</t>
  </si>
  <si>
    <t>Cientista Chefe</t>
  </si>
  <si>
    <t>Julio</t>
  </si>
  <si>
    <t>Lisa</t>
  </si>
  <si>
    <t>Assistente Técnico</t>
  </si>
  <si>
    <t>Bill</t>
  </si>
  <si>
    <t>Ralph</t>
  </si>
  <si>
    <t>Tammy</t>
  </si>
  <si>
    <t>Sandra</t>
  </si>
  <si>
    <t>Everett</t>
  </si>
  <si>
    <t>Melissa</t>
  </si>
  <si>
    <t>Edison</t>
  </si>
  <si>
    <t>Especialista de Projetos</t>
  </si>
  <si>
    <t>Arte</t>
  </si>
  <si>
    <t>Lise-Anne</t>
  </si>
  <si>
    <t>Bob</t>
  </si>
  <si>
    <t>Sara</t>
  </si>
  <si>
    <t>Alice</t>
  </si>
  <si>
    <t>Assistente de Grupo Administrativo</t>
  </si>
  <si>
    <t>Cindy</t>
  </si>
  <si>
    <t>Rowena</t>
  </si>
  <si>
    <t>Megan</t>
  </si>
  <si>
    <t>Wes</t>
  </si>
  <si>
    <t>Barbara</t>
  </si>
  <si>
    <t>Gail</t>
  </si>
  <si>
    <t>Alyssa</t>
  </si>
  <si>
    <t>Sherrie</t>
  </si>
  <si>
    <t>David</t>
  </si>
  <si>
    <t>Pamela</t>
  </si>
  <si>
    <t>Stephanie</t>
  </si>
  <si>
    <t>Jessica</t>
  </si>
  <si>
    <t>Kendrick</t>
  </si>
  <si>
    <t>Francisco</t>
  </si>
  <si>
    <t>Carolina</t>
  </si>
  <si>
    <t>Tom</t>
  </si>
  <si>
    <t>Assistente Contábil</t>
  </si>
  <si>
    <t>Karen</t>
  </si>
  <si>
    <t>Engenheiro de Produção</t>
  </si>
  <si>
    <t>Leslie</t>
  </si>
  <si>
    <t>Theodoro</t>
  </si>
  <si>
    <t>Rose</t>
  </si>
  <si>
    <t>Dennis</t>
  </si>
  <si>
    <t>Jaime</t>
  </si>
  <si>
    <t>Tuome</t>
  </si>
  <si>
    <t>Anna</t>
  </si>
  <si>
    <t>Maria</t>
  </si>
  <si>
    <t>Natan</t>
  </si>
  <si>
    <t>Hazel</t>
  </si>
  <si>
    <t>Liza</t>
  </si>
  <si>
    <t>Jean</t>
  </si>
  <si>
    <t>Kristina</t>
  </si>
  <si>
    <t>Isolda</t>
  </si>
  <si>
    <t>Steven</t>
  </si>
  <si>
    <t>Randy</t>
  </si>
  <si>
    <t>Phillipe</t>
  </si>
  <si>
    <t>Evelina</t>
  </si>
  <si>
    <t>Tadeu</t>
  </si>
  <si>
    <t>Midori</t>
  </si>
  <si>
    <t>Allen</t>
  </si>
  <si>
    <t>Linda</t>
  </si>
  <si>
    <t>Tommie</t>
  </si>
  <si>
    <t>Iain</t>
  </si>
  <si>
    <t>Alexandra</t>
  </si>
  <si>
    <t>Howard</t>
  </si>
  <si>
    <t>Assistente de Projetos</t>
  </si>
  <si>
    <t>Maximo</t>
  </si>
  <si>
    <t>Mollie</t>
  </si>
  <si>
    <t>Jay</t>
  </si>
  <si>
    <t>Peter</t>
  </si>
  <si>
    <t>Eileen</t>
  </si>
  <si>
    <t>Aaron</t>
  </si>
  <si>
    <t>Malcolm</t>
  </si>
  <si>
    <t>Robinson</t>
  </si>
  <si>
    <t>Ursula</t>
  </si>
  <si>
    <t>Daoud</t>
  </si>
  <si>
    <t>Sheryl</t>
  </si>
  <si>
    <t>Michael</t>
  </si>
  <si>
    <t>Janete</t>
  </si>
  <si>
    <t>Jason</t>
  </si>
  <si>
    <t>Erico</t>
  </si>
  <si>
    <t>Toninho</t>
  </si>
  <si>
    <t>Jeremias</t>
  </si>
  <si>
    <t>Lauro</t>
  </si>
  <si>
    <t>Ano</t>
  </si>
  <si>
    <t>Tipo de Material</t>
  </si>
  <si>
    <t>Concelho</t>
  </si>
  <si>
    <t xml:space="preserve">Total a Pagar </t>
  </si>
  <si>
    <t>Duarte Figueira</t>
  </si>
  <si>
    <t>Ferramentas Eléctricas</t>
  </si>
  <si>
    <t>Porto Moniz</t>
  </si>
  <si>
    <t>Luisa Sousa</t>
  </si>
  <si>
    <t>Câmara de Lobos</t>
  </si>
  <si>
    <t>Catarina Vieira</t>
  </si>
  <si>
    <t>Material Eléctrico</t>
  </si>
  <si>
    <t>Paulo Sousa</t>
  </si>
  <si>
    <t>Tintas</t>
  </si>
  <si>
    <t>Funchal</t>
  </si>
  <si>
    <t>Ribeira Brava</t>
  </si>
  <si>
    <t>Santa Cruz</t>
  </si>
  <si>
    <t>Calheta</t>
  </si>
  <si>
    <t>Loiças</t>
  </si>
  <si>
    <t>Nº Factura</t>
  </si>
  <si>
    <t>Descrição</t>
  </si>
  <si>
    <t>INV0051</t>
  </si>
  <si>
    <t>Colombo</t>
  </si>
  <si>
    <t>Serviços Consultoria</t>
  </si>
  <si>
    <t>Oeste</t>
  </si>
  <si>
    <t>INV0052</t>
  </si>
  <si>
    <t>INV0053</t>
  </si>
  <si>
    <t>TI Sado</t>
  </si>
  <si>
    <t>INV0054</t>
  </si>
  <si>
    <t>INV0055</t>
  </si>
  <si>
    <t>INV0056</t>
  </si>
  <si>
    <t>INV0057</t>
  </si>
  <si>
    <t>Real Serviços</t>
  </si>
  <si>
    <t>INV0058</t>
  </si>
  <si>
    <t>EDP Pt</t>
  </si>
  <si>
    <t>Finanças</t>
  </si>
  <si>
    <t>Leste</t>
  </si>
  <si>
    <t>INV0059</t>
  </si>
  <si>
    <t>INV0060</t>
  </si>
  <si>
    <t>INV0061</t>
  </si>
  <si>
    <t>INV0062</t>
  </si>
  <si>
    <t>INV0063</t>
  </si>
  <si>
    <t>INV0064</t>
  </si>
  <si>
    <t>INV0065</t>
  </si>
  <si>
    <t>Riomax</t>
  </si>
  <si>
    <t>INV0066</t>
  </si>
  <si>
    <t>CN00018</t>
  </si>
  <si>
    <t>INV0067</t>
  </si>
  <si>
    <t>INV0068</t>
  </si>
  <si>
    <t>INV0069</t>
  </si>
  <si>
    <t>INV0070</t>
  </si>
  <si>
    <t>INV0071</t>
  </si>
  <si>
    <t>INV0072</t>
  </si>
  <si>
    <t>INV0074</t>
  </si>
  <si>
    <t>Obras e Obras, Ldª</t>
  </si>
  <si>
    <t>INV0073</t>
  </si>
  <si>
    <t>INV0075</t>
  </si>
  <si>
    <t>INV0076</t>
  </si>
  <si>
    <t>INV0077</t>
  </si>
  <si>
    <t>INV0078</t>
  </si>
  <si>
    <t>Acções</t>
  </si>
  <si>
    <t>INV0079</t>
  </si>
  <si>
    <t>INV0080</t>
  </si>
  <si>
    <t>INV0081</t>
  </si>
  <si>
    <t>INV0082</t>
  </si>
  <si>
    <t>INV0083</t>
  </si>
  <si>
    <t>INV0084</t>
  </si>
  <si>
    <t>INV0087</t>
  </si>
  <si>
    <t>INV0086</t>
  </si>
  <si>
    <t>INV0085</t>
  </si>
  <si>
    <t>INV0088</t>
  </si>
  <si>
    <t>INV0090</t>
  </si>
  <si>
    <t>INV0089</t>
  </si>
  <si>
    <t>INV0094</t>
  </si>
  <si>
    <t>INV0091</t>
  </si>
  <si>
    <t>INV0093</t>
  </si>
  <si>
    <t>INV0092</t>
  </si>
  <si>
    <t>INV0098</t>
  </si>
  <si>
    <t>INV0099</t>
  </si>
  <si>
    <t>INV0100</t>
  </si>
  <si>
    <t>INV0097</t>
  </si>
  <si>
    <t>INV0095</t>
  </si>
  <si>
    <t>INV0101</t>
  </si>
  <si>
    <t>INV0102</t>
  </si>
  <si>
    <t>INV0103</t>
  </si>
  <si>
    <t>INV0105</t>
  </si>
  <si>
    <t>INV0104</t>
  </si>
  <si>
    <t>INV0109</t>
  </si>
  <si>
    <t>INV0108</t>
  </si>
  <si>
    <t>INV0107</t>
  </si>
  <si>
    <t>INV0106</t>
  </si>
  <si>
    <t>1- Vai Filtrar por Vendas da Semana passada</t>
  </si>
  <si>
    <t>INAPA</t>
  </si>
  <si>
    <t>Vai aplicar Filtros para todos os Projectos próximo Ano</t>
  </si>
  <si>
    <t>1- Obter o Ano</t>
  </si>
  <si>
    <t>1- Aplicar Filtro por: Colombo e TI Sado e Finanças</t>
  </si>
  <si>
    <t>2- Aplicar Filtros para todos os Cursos que começam Amanhã</t>
  </si>
  <si>
    <t>Qtd Alunos</t>
  </si>
  <si>
    <t>1- Aplicar Filtros por todos os Clientes - que contém a palavra Solutions</t>
  </si>
  <si>
    <t>Idade</t>
  </si>
  <si>
    <t>3- Todos do Departamento Engenharia, com Salário superior a 4500 €</t>
  </si>
  <si>
    <t xml:space="preserve">2-Na primeira folha aplique o Filtro 10 mais </t>
  </si>
  <si>
    <t>1- Calcule a Idade com uso duma Função Data/Hora</t>
  </si>
  <si>
    <t>3- Aplicar Filtros para todos os Cursos que começam Hoje</t>
  </si>
  <si>
    <t>$- Aplicar Filtros para todos os Cursos que começam na próxima semana</t>
  </si>
  <si>
    <t>Quadruplique a Folha:</t>
  </si>
  <si>
    <t>2- Na Cópia aplicar Filtro entre 2 Datas: 25-4-2024 e 30-5-2024</t>
  </si>
  <si>
    <t>Vendas Portugal -Ano 2025</t>
  </si>
  <si>
    <t>2- Vai Filtrar por todas as Vendas a seguir a 15/1/2025 e de Porto Moniz</t>
  </si>
  <si>
    <r>
      <t xml:space="preserve">   </t>
    </r>
    <r>
      <rPr>
        <b/>
        <sz val="10"/>
        <rFont val="Arial"/>
        <family val="2"/>
      </rPr>
      <t>0.1</t>
    </r>
    <r>
      <rPr>
        <sz val="10"/>
        <rFont val="Arial"/>
        <family val="2"/>
      </rPr>
      <t xml:space="preserve">  Utilizando os filtros automáticos, mostre:</t>
    </r>
  </si>
  <si>
    <t>a) Carros do Porto de marca Fiat</t>
  </si>
  <si>
    <t>PROPRIETÁRIO</t>
  </si>
  <si>
    <t>DISTRITO</t>
  </si>
  <si>
    <t>AUTOMÓVEL</t>
  </si>
  <si>
    <t>FABRICANTE</t>
  </si>
  <si>
    <t>ANO</t>
  </si>
  <si>
    <t>QTD</t>
  </si>
  <si>
    <t>PREÇO (Eur)</t>
  </si>
  <si>
    <t>TOTAL</t>
  </si>
  <si>
    <t>João Campos</t>
  </si>
  <si>
    <t>Peugeot</t>
  </si>
  <si>
    <t>Antonio Martins</t>
  </si>
  <si>
    <t>Golf</t>
  </si>
  <si>
    <t>Volkswagen</t>
  </si>
  <si>
    <t>Amélia Pereira</t>
  </si>
  <si>
    <t>Uno</t>
  </si>
  <si>
    <t>Fiat</t>
  </si>
  <si>
    <t>Carlos Almeida</t>
  </si>
  <si>
    <t>Astra</t>
  </si>
  <si>
    <t>Opel</t>
  </si>
  <si>
    <t>Maria Alcina</t>
  </si>
  <si>
    <t>Toledo</t>
  </si>
  <si>
    <t>Seat</t>
  </si>
  <si>
    <t>Clemente Barbosa</t>
  </si>
  <si>
    <t>Passat</t>
  </si>
  <si>
    <t>Luis Castilho</t>
  </si>
  <si>
    <t>A6</t>
  </si>
  <si>
    <t>Audi</t>
  </si>
  <si>
    <t>José Carvalho</t>
  </si>
  <si>
    <t>Corsa</t>
  </si>
  <si>
    <t>Anselmo Tratado</t>
  </si>
  <si>
    <t>Laguna</t>
  </si>
  <si>
    <t>Renault</t>
  </si>
  <si>
    <t>Carlos Gardel</t>
  </si>
  <si>
    <t>Clio</t>
  </si>
  <si>
    <t>Paulo Camargo</t>
  </si>
  <si>
    <t>Susana Valadão</t>
  </si>
  <si>
    <t>Rui Duque</t>
  </si>
  <si>
    <t>A4</t>
  </si>
  <si>
    <t>Pedro Lara</t>
  </si>
  <si>
    <t>Vectra</t>
  </si>
  <si>
    <t>Eliana de Lima</t>
  </si>
  <si>
    <t>Bravo</t>
  </si>
  <si>
    <t>Tito Maia</t>
  </si>
  <si>
    <t>Daniela Gonçalves</t>
  </si>
  <si>
    <t>Ibiza</t>
  </si>
  <si>
    <t>Ângelo Coelho</t>
  </si>
  <si>
    <t>Megane</t>
  </si>
  <si>
    <t>Raul Gil</t>
  </si>
  <si>
    <t>Filtros no Excel</t>
  </si>
  <si>
    <t>a) Carros de Lisboa, modelos Clio e com valor superior a 7.500 €</t>
  </si>
  <si>
    <t>Listagem de Cursos</t>
  </si>
  <si>
    <t>Calcule a idade com o uso duma função Fração/Ano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</si>
</sst>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[$€-816]_-;\-* #,##0.00\ [$€-816]_-;_-* &quot;-&quot;??\ [$€-816]_-;_-@_-"/>
    <numFmt numFmtId="166" formatCode="0000"/>
    <numFmt numFmtId="167" formatCode="dd/mm/yyyy;@"/>
    <numFmt numFmtId="168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i/>
      <sz val="11"/>
      <name val="Arial"/>
      <family val="2"/>
    </font>
    <font>
      <sz val="10"/>
      <name val="Times New Roman"/>
      <family val="1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b/>
      <sz val="12"/>
      <color theme="0"/>
      <name val="Arial Black"/>
      <family val="2"/>
    </font>
    <font>
      <b/>
      <sz val="11"/>
      <name val="Calibri"/>
      <family val="2"/>
      <scheme val="minor"/>
    </font>
    <font>
      <sz val="10"/>
      <name val="MS Sans Serif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 Light"/>
      <family val="2"/>
      <scheme val="major"/>
    </font>
    <font>
      <b/>
      <sz val="10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5" fillId="0" borderId="0"/>
    <xf numFmtId="0" fontId="8" fillId="0" borderId="0"/>
    <xf numFmtId="0" fontId="3" fillId="0" borderId="0"/>
    <xf numFmtId="0" fontId="3" fillId="0" borderId="0"/>
    <xf numFmtId="0" fontId="12" fillId="0" borderId="0"/>
    <xf numFmtId="43" fontId="1" fillId="0" borderId="0" applyFont="0" applyFill="0" applyBorder="0" applyAlignment="0" applyProtection="0"/>
    <xf numFmtId="0" fontId="20" fillId="0" borderId="0"/>
    <xf numFmtId="168" fontId="3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4" fillId="0" borderId="1" xfId="2" applyFont="1" applyBorder="1" applyAlignment="1">
      <alignment horizontal="center"/>
    </xf>
    <xf numFmtId="14" fontId="0" fillId="0" borderId="2" xfId="0" applyNumberFormat="1" applyBorder="1"/>
    <xf numFmtId="0" fontId="3" fillId="0" borderId="2" xfId="2" applyBorder="1" applyAlignment="1">
      <alignment horizontal="center"/>
    </xf>
    <xf numFmtId="0" fontId="0" fillId="0" borderId="2" xfId="0" applyBorder="1"/>
    <xf numFmtId="164" fontId="3" fillId="0" borderId="2" xfId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3" xfId="3" applyFont="1" applyBorder="1" applyAlignment="1">
      <alignment horizontal="center"/>
    </xf>
    <xf numFmtId="0" fontId="4" fillId="0" borderId="2" xfId="2" applyFont="1" applyBorder="1" applyAlignment="1">
      <alignment horizontal="center"/>
    </xf>
    <xf numFmtId="164" fontId="0" fillId="0" borderId="2" xfId="0" applyNumberFormat="1" applyBorder="1"/>
    <xf numFmtId="166" fontId="9" fillId="0" borderId="0" xfId="1" applyNumberFormat="1" applyFont="1" applyFill="1" applyBorder="1" applyAlignment="1" applyProtection="1">
      <alignment vertical="center" wrapText="1"/>
    </xf>
    <xf numFmtId="0" fontId="10" fillId="0" borderId="0" xfId="0" applyFont="1" applyAlignment="1">
      <alignment horizontal="center"/>
    </xf>
    <xf numFmtId="0" fontId="7" fillId="0" borderId="0" xfId="0" applyFont="1"/>
    <xf numFmtId="0" fontId="11" fillId="0" borderId="0" xfId="7" applyFont="1"/>
    <xf numFmtId="0" fontId="7" fillId="0" borderId="0" xfId="7" applyFont="1"/>
    <xf numFmtId="165" fontId="7" fillId="0" borderId="0" xfId="7" applyNumberFormat="1" applyFont="1"/>
    <xf numFmtId="14" fontId="7" fillId="0" borderId="0" xfId="7" applyNumberFormat="1" applyFont="1"/>
    <xf numFmtId="0" fontId="1" fillId="0" borderId="0" xfId="0" applyFont="1"/>
    <xf numFmtId="14" fontId="0" fillId="0" borderId="0" xfId="0" applyNumberFormat="1"/>
    <xf numFmtId="0" fontId="13" fillId="3" borderId="4" xfId="0" applyFont="1" applyFill="1" applyBorder="1" applyAlignment="1">
      <alignment horizontal="center" vertical="center" wrapText="1"/>
    </xf>
    <xf numFmtId="167" fontId="13" fillId="3" borderId="4" xfId="0" applyNumberFormat="1" applyFont="1" applyFill="1" applyBorder="1" applyAlignment="1">
      <alignment horizontal="center" vertical="center" wrapText="1"/>
    </xf>
    <xf numFmtId="165" fontId="13" fillId="3" borderId="4" xfId="8" applyNumberFormat="1" applyFont="1" applyFill="1" applyBorder="1" applyAlignment="1">
      <alignment horizontal="center" vertical="center" wrapText="1"/>
    </xf>
    <xf numFmtId="0" fontId="14" fillId="0" borderId="0" xfId="6" applyFont="1"/>
    <xf numFmtId="167" fontId="14" fillId="0" borderId="0" xfId="6" applyNumberFormat="1" applyFont="1" applyAlignment="1">
      <alignment horizontal="left"/>
    </xf>
    <xf numFmtId="0" fontId="14" fillId="0" borderId="0" xfId="0" applyFont="1"/>
    <xf numFmtId="165" fontId="14" fillId="0" borderId="0" xfId="8" applyNumberFormat="1" applyFont="1"/>
    <xf numFmtId="167" fontId="14" fillId="0" borderId="0" xfId="0" applyNumberFormat="1" applyFont="1" applyAlignment="1">
      <alignment horizontal="left"/>
    </xf>
    <xf numFmtId="0" fontId="15" fillId="0" borderId="0" xfId="0" applyFont="1"/>
    <xf numFmtId="0" fontId="7" fillId="0" borderId="2" xfId="0" applyFont="1" applyBorder="1"/>
    <xf numFmtId="165" fontId="0" fillId="0" borderId="2" xfId="1" applyNumberFormat="1" applyFont="1" applyFill="1" applyBorder="1"/>
    <xf numFmtId="165" fontId="7" fillId="0" borderId="0" xfId="0" applyNumberFormat="1" applyFont="1"/>
    <xf numFmtId="44" fontId="7" fillId="0" borderId="0" xfId="0" applyNumberFormat="1" applyFont="1"/>
    <xf numFmtId="0" fontId="16" fillId="2" borderId="0" xfId="0" applyFont="1" applyFill="1" applyAlignment="1">
      <alignment horizontal="center"/>
    </xf>
    <xf numFmtId="165" fontId="16" fillId="2" borderId="0" xfId="0" applyNumberFormat="1" applyFont="1" applyFill="1" applyAlignment="1">
      <alignment horizontal="center"/>
    </xf>
    <xf numFmtId="0" fontId="7" fillId="0" borderId="5" xfId="0" applyFont="1" applyBorder="1"/>
    <xf numFmtId="14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5" fontId="7" fillId="0" borderId="5" xfId="0" applyNumberFormat="1" applyFont="1" applyBorder="1" applyAlignment="1">
      <alignment horizontal="center"/>
    </xf>
    <xf numFmtId="44" fontId="7" fillId="0" borderId="5" xfId="0" applyNumberFormat="1" applyFont="1" applyBorder="1"/>
    <xf numFmtId="0" fontId="7" fillId="0" borderId="6" xfId="0" applyFont="1" applyBorder="1"/>
    <xf numFmtId="14" fontId="7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5" fontId="7" fillId="0" borderId="6" xfId="0" applyNumberFormat="1" applyFont="1" applyBorder="1" applyAlignment="1">
      <alignment horizontal="center"/>
    </xf>
    <xf numFmtId="44" fontId="7" fillId="0" borderId="6" xfId="0" applyNumberFormat="1" applyFont="1" applyBorder="1"/>
    <xf numFmtId="0" fontId="17" fillId="0" borderId="5" xfId="0" applyFont="1" applyBorder="1"/>
    <xf numFmtId="164" fontId="0" fillId="0" borderId="0" xfId="1" applyFont="1"/>
    <xf numFmtId="0" fontId="18" fillId="4" borderId="2" xfId="0" applyFont="1" applyFill="1" applyBorder="1" applyAlignment="1">
      <alignment horizontal="center"/>
    </xf>
    <xf numFmtId="165" fontId="18" fillId="4" borderId="2" xfId="1" applyNumberFormat="1" applyFont="1" applyFill="1" applyBorder="1" applyAlignment="1">
      <alignment horizontal="center"/>
    </xf>
    <xf numFmtId="1" fontId="0" fillId="0" borderId="0" xfId="0" applyNumberFormat="1"/>
    <xf numFmtId="0" fontId="1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5" borderId="2" xfId="9" applyFont="1" applyFill="1" applyBorder="1" applyAlignment="1">
      <alignment horizontal="center" vertical="center"/>
    </xf>
    <xf numFmtId="168" fontId="3" fillId="0" borderId="2" xfId="10" applyFont="1" applyFill="1" applyBorder="1" applyAlignment="1">
      <alignment horizontal="center" vertical="center"/>
    </xf>
    <xf numFmtId="168" fontId="19" fillId="0" borderId="2" xfId="0" applyNumberFormat="1" applyFont="1" applyBorder="1" applyAlignment="1">
      <alignment vertical="center"/>
    </xf>
    <xf numFmtId="168" fontId="3" fillId="0" borderId="2" xfId="10" applyFont="1" applyFill="1" applyBorder="1" applyAlignment="1">
      <alignment vertical="center"/>
    </xf>
    <xf numFmtId="0" fontId="19" fillId="6" borderId="2" xfId="9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11">
    <cellStyle name="Moeda" xfId="1" builtinId="4"/>
    <cellStyle name="Normal" xfId="0" builtinId="0"/>
    <cellStyle name="Normal 10 2" xfId="5" xr:uid="{00000000-0005-0000-0000-000003000000}"/>
    <cellStyle name="Normal 2" xfId="4" xr:uid="{00000000-0005-0000-0000-000004000000}"/>
    <cellStyle name="Normal 3" xfId="6" xr:uid="{00000000-0005-0000-0000-000005000000}"/>
    <cellStyle name="Normal_excelinicial" xfId="2" xr:uid="{00000000-0005-0000-0000-000006000000}"/>
    <cellStyle name="Normal_Exercicios" xfId="3" xr:uid="{00000000-0005-0000-0000-000007000000}"/>
    <cellStyle name="Normal_Facturas" xfId="9" xr:uid="{412249D5-6C01-4E4C-AE34-BD8130F4E850}"/>
    <cellStyle name="Normal_REV5" xfId="7" xr:uid="{00000000-0005-0000-0000-000008000000}"/>
    <cellStyle name="Vírgula" xfId="8" builtinId="3"/>
    <cellStyle name="Vírgula_MsExcel Ficha00" xfId="10" xr:uid="{557E8D1A-F44B-4607-8A0C-8814C20F349A}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134" displayName="Tabela134" ref="A1:F99" totalsRowShown="0">
  <autoFilter ref="A1:F99" xr:uid="{00000000-000C-0000-FFFF-FFFF00000000}"/>
  <tableColumns count="6">
    <tableColumn id="1" xr3:uid="{00000000-0010-0000-0000-000001000000}" name="Data" dataDxfId="1"/>
    <tableColumn id="2" xr3:uid="{00000000-0010-0000-0000-000002000000}" name="Ano" dataDxfId="0">
      <calculatedColumnFormula>YEAR(Tabela134[[#This Row],[Data]])</calculatedColumnFormula>
    </tableColumn>
    <tableColumn id="3" xr3:uid="{00000000-0010-0000-0000-000003000000}" name="Vendedor"/>
    <tableColumn id="4" xr3:uid="{00000000-0010-0000-0000-000004000000}" name="Tipo de Material"/>
    <tableColumn id="5" xr3:uid="{00000000-0010-0000-0000-000005000000}" name="Concelho"/>
    <tableColumn id="6" xr3:uid="{00000000-0010-0000-0000-000006000000}" name="Total a Pagar 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7440-FFF7-438D-B4CC-B596DCBE6B49}">
  <dimension ref="A1:H26"/>
  <sheetViews>
    <sheetView topLeftCell="A4" workbookViewId="0">
      <selection activeCell="B8" sqref="B8"/>
    </sheetView>
  </sheetViews>
  <sheetFormatPr defaultRowHeight="15" x14ac:dyDescent="0.25"/>
  <cols>
    <col min="1" max="1" width="18.42578125" customWidth="1"/>
    <col min="2" max="2" width="22.28515625" customWidth="1"/>
    <col min="3" max="3" width="17.140625" customWidth="1"/>
    <col min="4" max="4" width="17.42578125" customWidth="1"/>
    <col min="5" max="5" width="11.28515625" customWidth="1"/>
    <col min="6" max="6" width="11" customWidth="1"/>
    <col min="7" max="7" width="15.7109375" customWidth="1"/>
    <col min="8" max="8" width="16.5703125" customWidth="1"/>
  </cols>
  <sheetData>
    <row r="1" spans="1:8" x14ac:dyDescent="0.25">
      <c r="A1" s="51" t="s">
        <v>402</v>
      </c>
      <c r="B1" s="51"/>
      <c r="C1" s="51"/>
      <c r="D1" s="51"/>
      <c r="E1" s="51"/>
      <c r="F1" s="51"/>
      <c r="G1" s="51"/>
      <c r="H1" s="51"/>
    </row>
    <row r="2" spans="1:8" x14ac:dyDescent="0.25">
      <c r="A2" s="52" t="s">
        <v>352</v>
      </c>
      <c r="B2" s="52"/>
      <c r="C2" s="52"/>
      <c r="D2" s="58" t="s">
        <v>353</v>
      </c>
      <c r="E2" s="58"/>
      <c r="F2" s="58"/>
      <c r="G2" s="58"/>
      <c r="H2" s="58"/>
    </row>
    <row r="3" spans="1:8" x14ac:dyDescent="0.25">
      <c r="A3" s="52"/>
      <c r="B3" s="52"/>
      <c r="C3" s="52"/>
      <c r="D3" s="58"/>
      <c r="E3" s="58"/>
      <c r="F3" s="58"/>
      <c r="G3" s="58"/>
      <c r="H3" s="58"/>
    </row>
    <row r="4" spans="1:8" x14ac:dyDescent="0.25">
      <c r="A4" s="52"/>
      <c r="B4" s="52"/>
      <c r="C4" s="52"/>
      <c r="D4" s="58"/>
      <c r="E4" s="58"/>
      <c r="F4" s="58"/>
      <c r="G4" s="58"/>
      <c r="H4" s="58"/>
    </row>
    <row r="5" spans="1:8" x14ac:dyDescent="0.25">
      <c r="A5" s="52"/>
      <c r="B5" s="52"/>
      <c r="C5" s="52"/>
      <c r="D5" s="52"/>
      <c r="E5" s="52"/>
      <c r="F5" s="52"/>
      <c r="G5" s="52"/>
      <c r="H5" s="52"/>
    </row>
    <row r="6" spans="1:8" x14ac:dyDescent="0.25">
      <c r="A6" s="51"/>
      <c r="B6" s="51"/>
      <c r="C6" s="51"/>
      <c r="D6" s="51"/>
      <c r="E6" s="51"/>
      <c r="F6" s="51"/>
      <c r="G6" s="51"/>
      <c r="H6" s="51"/>
    </row>
    <row r="7" spans="1:8" x14ac:dyDescent="0.25">
      <c r="A7" s="57" t="s">
        <v>354</v>
      </c>
      <c r="B7" s="57" t="s">
        <v>355</v>
      </c>
      <c r="C7" s="57" t="s">
        <v>356</v>
      </c>
      <c r="D7" s="57" t="s">
        <v>357</v>
      </c>
      <c r="E7" s="57" t="s">
        <v>358</v>
      </c>
      <c r="F7" s="57" t="s">
        <v>359</v>
      </c>
      <c r="G7" s="57" t="s">
        <v>360</v>
      </c>
      <c r="H7" s="57" t="s">
        <v>361</v>
      </c>
    </row>
    <row r="8" spans="1:8" x14ac:dyDescent="0.25">
      <c r="A8" s="8" t="s">
        <v>362</v>
      </c>
      <c r="B8" s="8" t="s">
        <v>8</v>
      </c>
      <c r="C8" s="8">
        <v>206</v>
      </c>
      <c r="D8" s="8" t="s">
        <v>363</v>
      </c>
      <c r="E8" s="8">
        <v>1999</v>
      </c>
      <c r="F8" s="8">
        <v>2</v>
      </c>
      <c r="G8" s="54">
        <v>6000</v>
      </c>
      <c r="H8" s="55">
        <v>12000</v>
      </c>
    </row>
    <row r="9" spans="1:8" x14ac:dyDescent="0.25">
      <c r="A9" s="8" t="s">
        <v>364</v>
      </c>
      <c r="B9" s="8" t="s">
        <v>11</v>
      </c>
      <c r="C9" s="8" t="s">
        <v>365</v>
      </c>
      <c r="D9" s="8" t="s">
        <v>366</v>
      </c>
      <c r="E9" s="8">
        <v>2001</v>
      </c>
      <c r="F9" s="8">
        <v>3</v>
      </c>
      <c r="G9" s="56">
        <v>18000</v>
      </c>
      <c r="H9" s="55">
        <v>54000</v>
      </c>
    </row>
    <row r="10" spans="1:8" x14ac:dyDescent="0.25">
      <c r="A10" s="8" t="s">
        <v>367</v>
      </c>
      <c r="B10" s="8" t="s">
        <v>8</v>
      </c>
      <c r="C10" s="8" t="s">
        <v>368</v>
      </c>
      <c r="D10" s="8" t="s">
        <v>369</v>
      </c>
      <c r="E10" s="8">
        <v>1992</v>
      </c>
      <c r="F10" s="8">
        <v>5</v>
      </c>
      <c r="G10" s="54">
        <v>8000</v>
      </c>
      <c r="H10" s="55">
        <v>40000</v>
      </c>
    </row>
    <row r="11" spans="1:8" x14ac:dyDescent="0.25">
      <c r="A11" s="8" t="s">
        <v>370</v>
      </c>
      <c r="B11" s="8" t="s">
        <v>8</v>
      </c>
      <c r="C11" s="8" t="s">
        <v>371</v>
      </c>
      <c r="D11" s="8" t="s">
        <v>372</v>
      </c>
      <c r="E11" s="8">
        <v>2000</v>
      </c>
      <c r="F11" s="8">
        <v>4</v>
      </c>
      <c r="G11" s="56">
        <v>12000</v>
      </c>
      <c r="H11" s="55">
        <v>48000</v>
      </c>
    </row>
    <row r="12" spans="1:8" x14ac:dyDescent="0.25">
      <c r="A12" s="8" t="s">
        <v>373</v>
      </c>
      <c r="B12" s="8" t="s">
        <v>16</v>
      </c>
      <c r="C12" s="8" t="s">
        <v>374</v>
      </c>
      <c r="D12" s="8" t="s">
        <v>375</v>
      </c>
      <c r="E12" s="8">
        <v>2001</v>
      </c>
      <c r="F12" s="8">
        <v>2</v>
      </c>
      <c r="G12" s="56">
        <v>17000</v>
      </c>
      <c r="H12" s="55">
        <v>34000</v>
      </c>
    </row>
    <row r="13" spans="1:8" x14ac:dyDescent="0.25">
      <c r="A13" s="8" t="s">
        <v>376</v>
      </c>
      <c r="B13" s="8" t="s">
        <v>17</v>
      </c>
      <c r="C13" s="8" t="s">
        <v>377</v>
      </c>
      <c r="D13" s="8" t="s">
        <v>366</v>
      </c>
      <c r="E13" s="8">
        <v>1994</v>
      </c>
      <c r="F13" s="8">
        <v>5</v>
      </c>
      <c r="G13" s="56">
        <v>9000</v>
      </c>
      <c r="H13" s="55">
        <v>45000</v>
      </c>
    </row>
    <row r="14" spans="1:8" x14ac:dyDescent="0.25">
      <c r="A14" s="8" t="s">
        <v>378</v>
      </c>
      <c r="B14" s="8" t="s">
        <v>16</v>
      </c>
      <c r="C14" s="8" t="s">
        <v>379</v>
      </c>
      <c r="D14" s="8" t="s">
        <v>380</v>
      </c>
      <c r="E14" s="8">
        <v>1999</v>
      </c>
      <c r="F14" s="8">
        <v>2</v>
      </c>
      <c r="G14" s="56">
        <v>20000</v>
      </c>
      <c r="H14" s="55">
        <v>40000</v>
      </c>
    </row>
    <row r="15" spans="1:8" x14ac:dyDescent="0.25">
      <c r="A15" s="8" t="s">
        <v>381</v>
      </c>
      <c r="B15" s="8" t="s">
        <v>20</v>
      </c>
      <c r="C15" s="8" t="s">
        <v>382</v>
      </c>
      <c r="D15" s="8" t="s">
        <v>372</v>
      </c>
      <c r="E15" s="8">
        <v>1991</v>
      </c>
      <c r="F15" s="8">
        <v>3</v>
      </c>
      <c r="G15" s="56">
        <v>5000</v>
      </c>
      <c r="H15" s="55">
        <v>15000</v>
      </c>
    </row>
    <row r="16" spans="1:8" x14ac:dyDescent="0.25">
      <c r="A16" s="8" t="s">
        <v>383</v>
      </c>
      <c r="B16" s="8" t="s">
        <v>16</v>
      </c>
      <c r="C16" s="8" t="s">
        <v>384</v>
      </c>
      <c r="D16" s="8" t="s">
        <v>385</v>
      </c>
      <c r="E16" s="8">
        <v>1998</v>
      </c>
      <c r="F16" s="8">
        <v>1</v>
      </c>
      <c r="G16" s="56">
        <v>13000</v>
      </c>
      <c r="H16" s="55">
        <v>13000</v>
      </c>
    </row>
    <row r="17" spans="1:8" x14ac:dyDescent="0.25">
      <c r="A17" s="8" t="s">
        <v>386</v>
      </c>
      <c r="B17" s="8" t="s">
        <v>16</v>
      </c>
      <c r="C17" s="8" t="s">
        <v>387</v>
      </c>
      <c r="D17" s="8" t="s">
        <v>385</v>
      </c>
      <c r="E17" s="8">
        <v>1996</v>
      </c>
      <c r="F17" s="8">
        <v>2</v>
      </c>
      <c r="G17" s="56">
        <v>5000</v>
      </c>
      <c r="H17" s="55">
        <v>10000</v>
      </c>
    </row>
    <row r="18" spans="1:8" x14ac:dyDescent="0.25">
      <c r="A18" s="8" t="s">
        <v>388</v>
      </c>
      <c r="B18" s="8" t="s">
        <v>8</v>
      </c>
      <c r="C18" s="8">
        <v>406</v>
      </c>
      <c r="D18" s="8" t="s">
        <v>363</v>
      </c>
      <c r="E18" s="8">
        <v>1993</v>
      </c>
      <c r="F18" s="8">
        <v>3</v>
      </c>
      <c r="G18" s="56">
        <v>15000</v>
      </c>
      <c r="H18" s="55">
        <v>45000</v>
      </c>
    </row>
    <row r="19" spans="1:8" x14ac:dyDescent="0.25">
      <c r="A19" s="8" t="s">
        <v>389</v>
      </c>
      <c r="B19" s="8" t="s">
        <v>11</v>
      </c>
      <c r="C19" s="8" t="s">
        <v>365</v>
      </c>
      <c r="D19" s="8" t="s">
        <v>366</v>
      </c>
      <c r="E19" s="8">
        <v>1994</v>
      </c>
      <c r="F19" s="8">
        <v>2</v>
      </c>
      <c r="G19" s="56">
        <v>7500</v>
      </c>
      <c r="H19" s="55">
        <v>15000</v>
      </c>
    </row>
    <row r="20" spans="1:8" x14ac:dyDescent="0.25">
      <c r="A20" s="8" t="s">
        <v>390</v>
      </c>
      <c r="B20" s="8" t="s">
        <v>20</v>
      </c>
      <c r="C20" s="8" t="s">
        <v>391</v>
      </c>
      <c r="D20" s="8" t="s">
        <v>380</v>
      </c>
      <c r="E20" s="8">
        <v>1996</v>
      </c>
      <c r="F20" s="8">
        <v>2</v>
      </c>
      <c r="G20" s="56">
        <v>9000</v>
      </c>
      <c r="H20" s="55">
        <v>18000</v>
      </c>
    </row>
    <row r="21" spans="1:8" x14ac:dyDescent="0.25">
      <c r="A21" s="8" t="s">
        <v>392</v>
      </c>
      <c r="B21" s="8" t="s">
        <v>11</v>
      </c>
      <c r="C21" s="8" t="s">
        <v>393</v>
      </c>
      <c r="D21" s="8" t="s">
        <v>372</v>
      </c>
      <c r="E21" s="8">
        <v>1997</v>
      </c>
      <c r="F21" s="8">
        <v>5</v>
      </c>
      <c r="G21" s="56">
        <v>7500</v>
      </c>
      <c r="H21" s="55">
        <v>37500</v>
      </c>
    </row>
    <row r="22" spans="1:8" x14ac:dyDescent="0.25">
      <c r="A22" s="8" t="s">
        <v>394</v>
      </c>
      <c r="B22" s="8" t="s">
        <v>16</v>
      </c>
      <c r="C22" s="8" t="s">
        <v>395</v>
      </c>
      <c r="D22" s="8" t="s">
        <v>369</v>
      </c>
      <c r="E22" s="8">
        <v>1998</v>
      </c>
      <c r="F22" s="8">
        <v>1</v>
      </c>
      <c r="G22" s="56">
        <v>7500</v>
      </c>
      <c r="H22" s="55">
        <v>7500</v>
      </c>
    </row>
    <row r="23" spans="1:8" x14ac:dyDescent="0.25">
      <c r="A23" s="8" t="s">
        <v>396</v>
      </c>
      <c r="B23" s="8" t="s">
        <v>16</v>
      </c>
      <c r="C23" s="8" t="s">
        <v>387</v>
      </c>
      <c r="D23" s="8" t="s">
        <v>385</v>
      </c>
      <c r="E23" s="8">
        <v>2000</v>
      </c>
      <c r="F23" s="8">
        <v>3</v>
      </c>
      <c r="G23" s="56">
        <v>10000</v>
      </c>
      <c r="H23" s="55">
        <v>30000</v>
      </c>
    </row>
    <row r="24" spans="1:8" x14ac:dyDescent="0.25">
      <c r="A24" s="8" t="s">
        <v>397</v>
      </c>
      <c r="B24" s="8" t="s">
        <v>17</v>
      </c>
      <c r="C24" s="8" t="s">
        <v>398</v>
      </c>
      <c r="D24" s="8" t="s">
        <v>375</v>
      </c>
      <c r="E24" s="8">
        <v>2000</v>
      </c>
      <c r="F24" s="8">
        <v>2</v>
      </c>
      <c r="G24" s="56">
        <v>10000</v>
      </c>
      <c r="H24" s="55">
        <v>20000</v>
      </c>
    </row>
    <row r="25" spans="1:8" x14ac:dyDescent="0.25">
      <c r="A25" s="8" t="s">
        <v>399</v>
      </c>
      <c r="B25" s="8" t="s">
        <v>16</v>
      </c>
      <c r="C25" s="8" t="s">
        <v>400</v>
      </c>
      <c r="D25" s="8" t="s">
        <v>385</v>
      </c>
      <c r="E25" s="8">
        <v>1998</v>
      </c>
      <c r="F25" s="8">
        <v>2</v>
      </c>
      <c r="G25" s="56">
        <v>9000</v>
      </c>
      <c r="H25" s="55">
        <v>18000</v>
      </c>
    </row>
    <row r="26" spans="1:8" x14ac:dyDescent="0.25">
      <c r="A26" s="8" t="s">
        <v>401</v>
      </c>
      <c r="B26" s="8" t="s">
        <v>8</v>
      </c>
      <c r="C26" s="8" t="s">
        <v>395</v>
      </c>
      <c r="D26" s="8" t="s">
        <v>369</v>
      </c>
      <c r="E26" s="8">
        <v>1997</v>
      </c>
      <c r="F26" s="8">
        <v>3</v>
      </c>
      <c r="G26" s="56">
        <v>6000</v>
      </c>
      <c r="H26" s="55">
        <v>18000</v>
      </c>
    </row>
  </sheetData>
  <autoFilter ref="A7:H26" xr:uid="{0C517440-FFF7-438D-B4CC-B596DCBE6B49}"/>
  <mergeCells count="3">
    <mergeCell ref="D2:H2"/>
    <mergeCell ref="D3:H3"/>
    <mergeCell ref="D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265D-A2B9-4AC9-A9F7-6EE6D51E1726}">
  <dimension ref="A1:H26"/>
  <sheetViews>
    <sheetView topLeftCell="A4" workbookViewId="0">
      <selection activeCell="G7" sqref="G7"/>
    </sheetView>
  </sheetViews>
  <sheetFormatPr defaultRowHeight="15" x14ac:dyDescent="0.25"/>
  <cols>
    <col min="1" max="1" width="18.42578125" customWidth="1"/>
    <col min="2" max="2" width="22.28515625" customWidth="1"/>
    <col min="3" max="3" width="17.140625" customWidth="1"/>
    <col min="4" max="4" width="17.42578125" customWidth="1"/>
    <col min="5" max="5" width="11.28515625" customWidth="1"/>
    <col min="6" max="6" width="11" customWidth="1"/>
    <col min="7" max="7" width="15.7109375" customWidth="1"/>
    <col min="8" max="8" width="16.5703125" customWidth="1"/>
  </cols>
  <sheetData>
    <row r="1" spans="1:8" x14ac:dyDescent="0.25">
      <c r="A1" s="51" t="s">
        <v>402</v>
      </c>
      <c r="B1" s="51"/>
      <c r="C1" s="51"/>
      <c r="D1" s="51"/>
      <c r="E1" s="51"/>
      <c r="F1" s="51"/>
      <c r="G1" s="51"/>
      <c r="H1" s="51"/>
    </row>
    <row r="2" spans="1:8" x14ac:dyDescent="0.25">
      <c r="A2" s="52" t="s">
        <v>352</v>
      </c>
      <c r="B2" s="52"/>
      <c r="C2" s="52"/>
      <c r="D2" s="58"/>
      <c r="E2" s="58"/>
      <c r="F2" s="58"/>
      <c r="G2" s="58"/>
      <c r="H2" s="58"/>
    </row>
    <row r="3" spans="1:8" x14ac:dyDescent="0.25">
      <c r="A3" s="52"/>
      <c r="B3" s="52"/>
      <c r="C3" s="52"/>
      <c r="D3" s="58" t="s">
        <v>403</v>
      </c>
      <c r="E3" s="58"/>
      <c r="F3" s="58"/>
      <c r="G3" s="58"/>
      <c r="H3" s="58"/>
    </row>
    <row r="4" spans="1:8" x14ac:dyDescent="0.25">
      <c r="A4" s="52"/>
      <c r="B4" s="52"/>
      <c r="C4" s="52"/>
      <c r="D4" s="58"/>
      <c r="E4" s="58"/>
      <c r="F4" s="58"/>
      <c r="G4" s="58"/>
      <c r="H4" s="58"/>
    </row>
    <row r="5" spans="1:8" x14ac:dyDescent="0.25">
      <c r="A5" s="52"/>
      <c r="B5" s="52"/>
      <c r="C5" s="52"/>
      <c r="D5" s="52"/>
      <c r="E5" s="52"/>
      <c r="F5" s="52"/>
      <c r="G5" s="52"/>
      <c r="H5" s="52"/>
    </row>
    <row r="6" spans="1:8" x14ac:dyDescent="0.25">
      <c r="A6" s="51"/>
      <c r="B6" s="51"/>
      <c r="C6" s="51"/>
      <c r="D6" s="51"/>
      <c r="E6" s="51"/>
      <c r="F6" s="51"/>
      <c r="G6" s="51"/>
      <c r="H6" s="51"/>
    </row>
    <row r="7" spans="1:8" x14ac:dyDescent="0.25">
      <c r="A7" s="53" t="s">
        <v>354</v>
      </c>
      <c r="B7" s="53" t="s">
        <v>355</v>
      </c>
      <c r="C7" s="53" t="s">
        <v>356</v>
      </c>
      <c r="D7" s="53" t="s">
        <v>357</v>
      </c>
      <c r="E7" s="53" t="s">
        <v>358</v>
      </c>
      <c r="F7" s="53" t="s">
        <v>359</v>
      </c>
      <c r="G7" s="53" t="s">
        <v>360</v>
      </c>
      <c r="H7" s="53" t="s">
        <v>361</v>
      </c>
    </row>
    <row r="8" spans="1:8" x14ac:dyDescent="0.25">
      <c r="A8" s="8" t="s">
        <v>362</v>
      </c>
      <c r="B8" s="8" t="s">
        <v>8</v>
      </c>
      <c r="C8" s="8">
        <v>206</v>
      </c>
      <c r="D8" s="8" t="s">
        <v>363</v>
      </c>
      <c r="E8" s="8">
        <v>1999</v>
      </c>
      <c r="F8" s="8">
        <v>2</v>
      </c>
      <c r="G8" s="54">
        <v>6000</v>
      </c>
      <c r="H8" s="55">
        <v>12000</v>
      </c>
    </row>
    <row r="9" spans="1:8" x14ac:dyDescent="0.25">
      <c r="A9" s="8" t="s">
        <v>364</v>
      </c>
      <c r="B9" s="8" t="s">
        <v>11</v>
      </c>
      <c r="C9" s="8" t="s">
        <v>365</v>
      </c>
      <c r="D9" s="8" t="s">
        <v>366</v>
      </c>
      <c r="E9" s="8">
        <v>2001</v>
      </c>
      <c r="F9" s="8">
        <v>3</v>
      </c>
      <c r="G9" s="56">
        <v>18000</v>
      </c>
      <c r="H9" s="55">
        <v>54000</v>
      </c>
    </row>
    <row r="10" spans="1:8" x14ac:dyDescent="0.25">
      <c r="A10" s="8" t="s">
        <v>367</v>
      </c>
      <c r="B10" s="8" t="s">
        <v>8</v>
      </c>
      <c r="C10" s="8" t="s">
        <v>368</v>
      </c>
      <c r="D10" s="8" t="s">
        <v>369</v>
      </c>
      <c r="E10" s="8">
        <v>1992</v>
      </c>
      <c r="F10" s="8">
        <v>5</v>
      </c>
      <c r="G10" s="54">
        <v>8000</v>
      </c>
      <c r="H10" s="55">
        <v>40000</v>
      </c>
    </row>
    <row r="11" spans="1:8" x14ac:dyDescent="0.25">
      <c r="A11" s="8" t="s">
        <v>370</v>
      </c>
      <c r="B11" s="8" t="s">
        <v>8</v>
      </c>
      <c r="C11" s="8" t="s">
        <v>371</v>
      </c>
      <c r="D11" s="8" t="s">
        <v>372</v>
      </c>
      <c r="E11" s="8">
        <v>2000</v>
      </c>
      <c r="F11" s="8">
        <v>4</v>
      </c>
      <c r="G11" s="56">
        <v>12000</v>
      </c>
      <c r="H11" s="55">
        <v>48000</v>
      </c>
    </row>
    <row r="12" spans="1:8" x14ac:dyDescent="0.25">
      <c r="A12" s="8" t="s">
        <v>373</v>
      </c>
      <c r="B12" s="8" t="s">
        <v>16</v>
      </c>
      <c r="C12" s="8" t="s">
        <v>374</v>
      </c>
      <c r="D12" s="8" t="s">
        <v>375</v>
      </c>
      <c r="E12" s="8">
        <v>2001</v>
      </c>
      <c r="F12" s="8">
        <v>2</v>
      </c>
      <c r="G12" s="56">
        <v>17000</v>
      </c>
      <c r="H12" s="55">
        <v>34000</v>
      </c>
    </row>
    <row r="13" spans="1:8" x14ac:dyDescent="0.25">
      <c r="A13" s="8" t="s">
        <v>376</v>
      </c>
      <c r="B13" s="8" t="s">
        <v>17</v>
      </c>
      <c r="C13" s="8" t="s">
        <v>377</v>
      </c>
      <c r="D13" s="8" t="s">
        <v>366</v>
      </c>
      <c r="E13" s="8">
        <v>1994</v>
      </c>
      <c r="F13" s="8">
        <v>5</v>
      </c>
      <c r="G13" s="56">
        <v>9000</v>
      </c>
      <c r="H13" s="55">
        <v>45000</v>
      </c>
    </row>
    <row r="14" spans="1:8" x14ac:dyDescent="0.25">
      <c r="A14" s="8" t="s">
        <v>378</v>
      </c>
      <c r="B14" s="8" t="s">
        <v>16</v>
      </c>
      <c r="C14" s="8" t="s">
        <v>379</v>
      </c>
      <c r="D14" s="8" t="s">
        <v>380</v>
      </c>
      <c r="E14" s="8">
        <v>1999</v>
      </c>
      <c r="F14" s="8">
        <v>2</v>
      </c>
      <c r="G14" s="56">
        <v>20000</v>
      </c>
      <c r="H14" s="55">
        <v>40000</v>
      </c>
    </row>
    <row r="15" spans="1:8" x14ac:dyDescent="0.25">
      <c r="A15" s="8" t="s">
        <v>381</v>
      </c>
      <c r="B15" s="8" t="s">
        <v>20</v>
      </c>
      <c r="C15" s="8" t="s">
        <v>382</v>
      </c>
      <c r="D15" s="8" t="s">
        <v>372</v>
      </c>
      <c r="E15" s="8">
        <v>1991</v>
      </c>
      <c r="F15" s="8">
        <v>3</v>
      </c>
      <c r="G15" s="56">
        <v>5000</v>
      </c>
      <c r="H15" s="55">
        <v>15000</v>
      </c>
    </row>
    <row r="16" spans="1:8" x14ac:dyDescent="0.25">
      <c r="A16" s="8" t="s">
        <v>383</v>
      </c>
      <c r="B16" s="8" t="s">
        <v>16</v>
      </c>
      <c r="C16" s="8" t="s">
        <v>384</v>
      </c>
      <c r="D16" s="8" t="s">
        <v>385</v>
      </c>
      <c r="E16" s="8">
        <v>1998</v>
      </c>
      <c r="F16" s="8">
        <v>1</v>
      </c>
      <c r="G16" s="56">
        <v>13000</v>
      </c>
      <c r="H16" s="55">
        <v>13000</v>
      </c>
    </row>
    <row r="17" spans="1:8" x14ac:dyDescent="0.25">
      <c r="A17" s="8" t="s">
        <v>386</v>
      </c>
      <c r="B17" s="8" t="s">
        <v>16</v>
      </c>
      <c r="C17" s="8" t="s">
        <v>387</v>
      </c>
      <c r="D17" s="8" t="s">
        <v>385</v>
      </c>
      <c r="E17" s="8">
        <v>1996</v>
      </c>
      <c r="F17" s="8">
        <v>2</v>
      </c>
      <c r="G17" s="56">
        <v>5000</v>
      </c>
      <c r="H17" s="55">
        <v>10000</v>
      </c>
    </row>
    <row r="18" spans="1:8" x14ac:dyDescent="0.25">
      <c r="A18" s="8" t="s">
        <v>388</v>
      </c>
      <c r="B18" s="8" t="s">
        <v>8</v>
      </c>
      <c r="C18" s="8">
        <v>406</v>
      </c>
      <c r="D18" s="8" t="s">
        <v>363</v>
      </c>
      <c r="E18" s="8">
        <v>1993</v>
      </c>
      <c r="F18" s="8">
        <v>3</v>
      </c>
      <c r="G18" s="56">
        <v>15000</v>
      </c>
      <c r="H18" s="55">
        <v>45000</v>
      </c>
    </row>
    <row r="19" spans="1:8" x14ac:dyDescent="0.25">
      <c r="A19" s="8" t="s">
        <v>389</v>
      </c>
      <c r="B19" s="8" t="s">
        <v>11</v>
      </c>
      <c r="C19" s="8" t="s">
        <v>365</v>
      </c>
      <c r="D19" s="8" t="s">
        <v>366</v>
      </c>
      <c r="E19" s="8">
        <v>1994</v>
      </c>
      <c r="F19" s="8">
        <v>2</v>
      </c>
      <c r="G19" s="56">
        <v>7500</v>
      </c>
      <c r="H19" s="55">
        <v>15000</v>
      </c>
    </row>
    <row r="20" spans="1:8" x14ac:dyDescent="0.25">
      <c r="A20" s="8" t="s">
        <v>390</v>
      </c>
      <c r="B20" s="8" t="s">
        <v>20</v>
      </c>
      <c r="C20" s="8" t="s">
        <v>391</v>
      </c>
      <c r="D20" s="8" t="s">
        <v>380</v>
      </c>
      <c r="E20" s="8">
        <v>1996</v>
      </c>
      <c r="F20" s="8">
        <v>2</v>
      </c>
      <c r="G20" s="56">
        <v>9000</v>
      </c>
      <c r="H20" s="55">
        <v>18000</v>
      </c>
    </row>
    <row r="21" spans="1:8" x14ac:dyDescent="0.25">
      <c r="A21" s="8" t="s">
        <v>392</v>
      </c>
      <c r="B21" s="8" t="s">
        <v>11</v>
      </c>
      <c r="C21" s="8" t="s">
        <v>393</v>
      </c>
      <c r="D21" s="8" t="s">
        <v>372</v>
      </c>
      <c r="E21" s="8">
        <v>1997</v>
      </c>
      <c r="F21" s="8">
        <v>5</v>
      </c>
      <c r="G21" s="56">
        <v>7500</v>
      </c>
      <c r="H21" s="55">
        <v>37500</v>
      </c>
    </row>
    <row r="22" spans="1:8" x14ac:dyDescent="0.25">
      <c r="A22" s="8" t="s">
        <v>394</v>
      </c>
      <c r="B22" s="8" t="s">
        <v>16</v>
      </c>
      <c r="C22" s="8" t="s">
        <v>395</v>
      </c>
      <c r="D22" s="8" t="s">
        <v>369</v>
      </c>
      <c r="E22" s="8">
        <v>1998</v>
      </c>
      <c r="F22" s="8">
        <v>1</v>
      </c>
      <c r="G22" s="56">
        <v>7500</v>
      </c>
      <c r="H22" s="55">
        <v>7500</v>
      </c>
    </row>
    <row r="23" spans="1:8" x14ac:dyDescent="0.25">
      <c r="A23" s="8" t="s">
        <v>396</v>
      </c>
      <c r="B23" s="8" t="s">
        <v>16</v>
      </c>
      <c r="C23" s="8" t="s">
        <v>387</v>
      </c>
      <c r="D23" s="8" t="s">
        <v>385</v>
      </c>
      <c r="E23" s="8">
        <v>2000</v>
      </c>
      <c r="F23" s="8">
        <v>3</v>
      </c>
      <c r="G23" s="56">
        <v>10000</v>
      </c>
      <c r="H23" s="55">
        <v>30000</v>
      </c>
    </row>
    <row r="24" spans="1:8" x14ac:dyDescent="0.25">
      <c r="A24" s="8" t="s">
        <v>397</v>
      </c>
      <c r="B24" s="8" t="s">
        <v>17</v>
      </c>
      <c r="C24" s="8" t="s">
        <v>398</v>
      </c>
      <c r="D24" s="8" t="s">
        <v>375</v>
      </c>
      <c r="E24" s="8">
        <v>2000</v>
      </c>
      <c r="F24" s="8">
        <v>2</v>
      </c>
      <c r="G24" s="56">
        <v>10000</v>
      </c>
      <c r="H24" s="55">
        <v>20000</v>
      </c>
    </row>
    <row r="25" spans="1:8" x14ac:dyDescent="0.25">
      <c r="A25" s="8" t="s">
        <v>399</v>
      </c>
      <c r="B25" s="8" t="s">
        <v>16</v>
      </c>
      <c r="C25" s="8" t="s">
        <v>400</v>
      </c>
      <c r="D25" s="8" t="s">
        <v>385</v>
      </c>
      <c r="E25" s="8">
        <v>1998</v>
      </c>
      <c r="F25" s="8">
        <v>2</v>
      </c>
      <c r="G25" s="56">
        <v>9000</v>
      </c>
      <c r="H25" s="55">
        <v>18000</v>
      </c>
    </row>
    <row r="26" spans="1:8" x14ac:dyDescent="0.25">
      <c r="A26" s="8" t="s">
        <v>401</v>
      </c>
      <c r="B26" s="8" t="s">
        <v>8</v>
      </c>
      <c r="C26" s="8" t="s">
        <v>395</v>
      </c>
      <c r="D26" s="8" t="s">
        <v>369</v>
      </c>
      <c r="E26" s="8">
        <v>1997</v>
      </c>
      <c r="F26" s="8">
        <v>3</v>
      </c>
      <c r="G26" s="56">
        <v>6000</v>
      </c>
      <c r="H26" s="55">
        <v>18000</v>
      </c>
    </row>
  </sheetData>
  <autoFilter ref="A7:H26" xr:uid="{4BB4265D-A2B9-4AC9-A9F7-6EE6D51E1726}"/>
  <mergeCells count="3">
    <mergeCell ref="D2:H2"/>
    <mergeCell ref="D3:H3"/>
    <mergeCell ref="D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9"/>
  <sheetViews>
    <sheetView zoomScale="110" zoomScaleNormal="110" workbookViewId="0">
      <selection activeCell="D1" sqref="D1"/>
    </sheetView>
  </sheetViews>
  <sheetFormatPr defaultRowHeight="15" x14ac:dyDescent="0.25"/>
  <cols>
    <col min="1" max="1" width="13.42578125" customWidth="1"/>
    <col min="2" max="2" width="10.28515625" customWidth="1"/>
    <col min="3" max="3" width="14.7109375" bestFit="1" customWidth="1"/>
    <col min="4" max="4" width="24" customWidth="1"/>
    <col min="5" max="5" width="16" bestFit="1" customWidth="1"/>
    <col min="6" max="6" width="14.7109375" style="47" customWidth="1"/>
    <col min="8" max="8" width="16" bestFit="1" customWidth="1"/>
    <col min="9" max="9" width="15.7109375" bestFit="1" customWidth="1"/>
    <col min="10" max="10" width="14.7109375" bestFit="1" customWidth="1"/>
    <col min="11" max="11" width="21.140625" bestFit="1" customWidth="1"/>
    <col min="12" max="12" width="16" bestFit="1" customWidth="1"/>
  </cols>
  <sheetData>
    <row r="1" spans="1:8" x14ac:dyDescent="0.25">
      <c r="A1" t="s">
        <v>0</v>
      </c>
      <c r="B1" t="s">
        <v>244</v>
      </c>
      <c r="C1" t="s">
        <v>1</v>
      </c>
      <c r="D1" t="s">
        <v>245</v>
      </c>
      <c r="E1" t="s">
        <v>246</v>
      </c>
      <c r="F1" s="47" t="s">
        <v>247</v>
      </c>
    </row>
    <row r="2" spans="1:8" x14ac:dyDescent="0.25">
      <c r="A2" s="20">
        <v>45552</v>
      </c>
      <c r="B2">
        <f>YEAR(Tabela134[[#This Row],[Data]])</f>
        <v>2024</v>
      </c>
      <c r="C2" t="s">
        <v>253</v>
      </c>
      <c r="D2" t="s">
        <v>254</v>
      </c>
      <c r="E2" t="s">
        <v>252</v>
      </c>
      <c r="F2" s="47">
        <v>544</v>
      </c>
      <c r="H2" s="12" t="s">
        <v>70</v>
      </c>
    </row>
    <row r="3" spans="1:8" x14ac:dyDescent="0.25">
      <c r="A3" s="20">
        <v>45565</v>
      </c>
      <c r="B3">
        <f>YEAR(Tabela134[[#This Row],[Data]])</f>
        <v>2024</v>
      </c>
      <c r="C3" t="s">
        <v>253</v>
      </c>
      <c r="D3" t="s">
        <v>256</v>
      </c>
      <c r="E3" t="s">
        <v>252</v>
      </c>
      <c r="F3" s="47">
        <v>33</v>
      </c>
      <c r="H3" t="s">
        <v>337</v>
      </c>
    </row>
    <row r="4" spans="1:8" x14ac:dyDescent="0.25">
      <c r="A4" s="20">
        <v>45565</v>
      </c>
      <c r="B4">
        <f>YEAR(Tabela134[[#This Row],[Data]])</f>
        <v>2024</v>
      </c>
      <c r="C4" t="s">
        <v>253</v>
      </c>
      <c r="D4" t="s">
        <v>254</v>
      </c>
      <c r="E4" t="s">
        <v>252</v>
      </c>
      <c r="F4" s="47">
        <v>841</v>
      </c>
      <c r="H4" t="s">
        <v>351</v>
      </c>
    </row>
    <row r="5" spans="1:8" x14ac:dyDescent="0.25">
      <c r="A5" s="20">
        <v>45575</v>
      </c>
      <c r="B5">
        <f>YEAR(Tabela134[[#This Row],[Data]])</f>
        <v>2024</v>
      </c>
      <c r="C5" t="s">
        <v>253</v>
      </c>
      <c r="D5" t="s">
        <v>249</v>
      </c>
      <c r="E5" t="s">
        <v>252</v>
      </c>
      <c r="F5" s="47">
        <v>12</v>
      </c>
    </row>
    <row r="6" spans="1:8" x14ac:dyDescent="0.25">
      <c r="A6" s="20">
        <v>45575</v>
      </c>
      <c r="B6">
        <f>YEAR(Tabela134[[#This Row],[Data]])</f>
        <v>2024</v>
      </c>
      <c r="C6" t="s">
        <v>253</v>
      </c>
      <c r="D6" t="s">
        <v>249</v>
      </c>
      <c r="E6" t="s">
        <v>252</v>
      </c>
      <c r="F6" s="47">
        <v>12</v>
      </c>
      <c r="H6" s="20"/>
    </row>
    <row r="7" spans="1:8" x14ac:dyDescent="0.25">
      <c r="A7" s="20">
        <v>45574</v>
      </c>
      <c r="B7">
        <f>YEAR(Tabela134[[#This Row],[Data]])</f>
        <v>2024</v>
      </c>
      <c r="C7" t="s">
        <v>253</v>
      </c>
      <c r="D7" t="s">
        <v>249</v>
      </c>
      <c r="E7" t="s">
        <v>252</v>
      </c>
      <c r="F7" s="47">
        <v>541</v>
      </c>
      <c r="H7" s="20"/>
    </row>
    <row r="8" spans="1:8" x14ac:dyDescent="0.25">
      <c r="A8" s="20">
        <v>45571</v>
      </c>
      <c r="B8">
        <f>YEAR(Tabela134[[#This Row],[Data]])</f>
        <v>2024</v>
      </c>
      <c r="C8" t="s">
        <v>253</v>
      </c>
      <c r="D8" t="s">
        <v>249</v>
      </c>
      <c r="E8" t="s">
        <v>252</v>
      </c>
      <c r="F8" s="47">
        <v>541</v>
      </c>
      <c r="H8" s="20"/>
    </row>
    <row r="9" spans="1:8" x14ac:dyDescent="0.25">
      <c r="A9" s="20">
        <v>44851</v>
      </c>
      <c r="B9">
        <f>YEAR(Tabela134[[#This Row],[Data]])</f>
        <v>2022</v>
      </c>
      <c r="C9" t="s">
        <v>253</v>
      </c>
      <c r="D9" t="s">
        <v>249</v>
      </c>
      <c r="E9" t="s">
        <v>252</v>
      </c>
      <c r="F9" s="47">
        <v>541</v>
      </c>
      <c r="H9" s="20"/>
    </row>
    <row r="10" spans="1:8" x14ac:dyDescent="0.25">
      <c r="A10" s="20">
        <v>45575</v>
      </c>
      <c r="B10">
        <f>YEAR(Tabela134[[#This Row],[Data]])</f>
        <v>2024</v>
      </c>
      <c r="C10" t="s">
        <v>253</v>
      </c>
      <c r="D10" t="s">
        <v>249</v>
      </c>
      <c r="E10" t="s">
        <v>252</v>
      </c>
      <c r="F10" s="47">
        <v>345</v>
      </c>
      <c r="H10" s="20"/>
    </row>
    <row r="11" spans="1:8" x14ac:dyDescent="0.25">
      <c r="A11" s="20">
        <v>44844</v>
      </c>
      <c r="B11">
        <f>YEAR(Tabela134[[#This Row],[Data]])</f>
        <v>2022</v>
      </c>
      <c r="C11" t="s">
        <v>253</v>
      </c>
      <c r="D11" t="s">
        <v>249</v>
      </c>
      <c r="E11" t="s">
        <v>252</v>
      </c>
      <c r="F11" s="47">
        <v>12</v>
      </c>
      <c r="H11" s="20"/>
    </row>
    <row r="12" spans="1:8" x14ac:dyDescent="0.25">
      <c r="A12" s="20">
        <v>45565</v>
      </c>
      <c r="B12">
        <f>YEAR(Tabela134[[#This Row],[Data]])</f>
        <v>2024</v>
      </c>
      <c r="C12" t="s">
        <v>253</v>
      </c>
      <c r="D12" t="s">
        <v>254</v>
      </c>
      <c r="E12" t="s">
        <v>258</v>
      </c>
      <c r="F12" s="47">
        <v>25</v>
      </c>
      <c r="H12" s="20"/>
    </row>
    <row r="13" spans="1:8" x14ac:dyDescent="0.25">
      <c r="A13" s="20">
        <v>45565</v>
      </c>
      <c r="B13">
        <f>YEAR(Tabela134[[#This Row],[Data]])</f>
        <v>2024</v>
      </c>
      <c r="C13" t="s">
        <v>253</v>
      </c>
      <c r="D13" t="s">
        <v>254</v>
      </c>
      <c r="E13" t="s">
        <v>259</v>
      </c>
      <c r="F13" s="47">
        <v>965</v>
      </c>
      <c r="H13" s="20"/>
    </row>
    <row r="14" spans="1:8" x14ac:dyDescent="0.25">
      <c r="A14" s="20">
        <v>45564</v>
      </c>
      <c r="B14">
        <f>YEAR(Tabela134[[#This Row],[Data]])</f>
        <v>2024</v>
      </c>
      <c r="C14" t="s">
        <v>248</v>
      </c>
      <c r="D14" t="s">
        <v>254</v>
      </c>
      <c r="E14" t="s">
        <v>252</v>
      </c>
      <c r="F14" s="47">
        <v>434</v>
      </c>
      <c r="H14" s="20"/>
    </row>
    <row r="15" spans="1:8" x14ac:dyDescent="0.25">
      <c r="A15" s="20">
        <v>45565</v>
      </c>
      <c r="B15">
        <f>YEAR(Tabela134[[#This Row],[Data]])</f>
        <v>2024</v>
      </c>
      <c r="C15" t="s">
        <v>248</v>
      </c>
      <c r="D15" t="s">
        <v>256</v>
      </c>
      <c r="E15" t="s">
        <v>252</v>
      </c>
      <c r="F15" s="47">
        <v>232</v>
      </c>
      <c r="H15" s="20"/>
    </row>
    <row r="16" spans="1:8" x14ac:dyDescent="0.25">
      <c r="A16" s="20">
        <v>45658</v>
      </c>
      <c r="B16">
        <f>YEAR(Tabela134[[#This Row],[Data]])</f>
        <v>2025</v>
      </c>
      <c r="C16" t="s">
        <v>248</v>
      </c>
      <c r="D16" t="s">
        <v>261</v>
      </c>
      <c r="E16" t="s">
        <v>257</v>
      </c>
      <c r="F16" s="47">
        <v>544</v>
      </c>
      <c r="H16" s="20"/>
    </row>
    <row r="17" spans="1:8" x14ac:dyDescent="0.25">
      <c r="A17" s="20">
        <v>45569</v>
      </c>
      <c r="B17">
        <f>YEAR(Tabela134[[#This Row],[Data]])</f>
        <v>2024</v>
      </c>
      <c r="C17" t="s">
        <v>248</v>
      </c>
      <c r="D17" t="s">
        <v>256</v>
      </c>
      <c r="E17" t="s">
        <v>257</v>
      </c>
      <c r="F17" s="47">
        <v>210</v>
      </c>
      <c r="H17" s="20"/>
    </row>
    <row r="18" spans="1:8" x14ac:dyDescent="0.25">
      <c r="A18" s="20">
        <v>44838</v>
      </c>
      <c r="B18">
        <f>YEAR(Tabela134[[#This Row],[Data]])</f>
        <v>2022</v>
      </c>
      <c r="C18" t="s">
        <v>248</v>
      </c>
      <c r="D18" t="s">
        <v>256</v>
      </c>
      <c r="E18" t="s">
        <v>257</v>
      </c>
      <c r="F18" s="47">
        <v>210</v>
      </c>
    </row>
    <row r="19" spans="1:8" x14ac:dyDescent="0.25">
      <c r="A19" s="20">
        <v>45568</v>
      </c>
      <c r="B19">
        <f>YEAR(Tabela134[[#This Row],[Data]])</f>
        <v>2024</v>
      </c>
      <c r="C19" t="s">
        <v>248</v>
      </c>
      <c r="D19" t="s">
        <v>256</v>
      </c>
      <c r="E19" t="s">
        <v>257</v>
      </c>
      <c r="F19" s="47">
        <v>210</v>
      </c>
    </row>
    <row r="20" spans="1:8" x14ac:dyDescent="0.25">
      <c r="A20" s="20">
        <v>45664</v>
      </c>
      <c r="B20">
        <f>YEAR(Tabela134[[#This Row],[Data]])</f>
        <v>2025</v>
      </c>
      <c r="C20" t="s">
        <v>248</v>
      </c>
      <c r="D20" t="s">
        <v>261</v>
      </c>
      <c r="E20" t="s">
        <v>257</v>
      </c>
      <c r="F20" s="47">
        <v>987</v>
      </c>
    </row>
    <row r="21" spans="1:8" x14ac:dyDescent="0.25">
      <c r="A21" s="20">
        <v>45576</v>
      </c>
      <c r="B21">
        <f>YEAR(Tabela134[[#This Row],[Data]])</f>
        <v>2024</v>
      </c>
      <c r="C21" t="s">
        <v>248</v>
      </c>
      <c r="D21" t="s">
        <v>256</v>
      </c>
      <c r="E21" t="s">
        <v>257</v>
      </c>
      <c r="F21" s="47">
        <v>210</v>
      </c>
    </row>
    <row r="22" spans="1:8" x14ac:dyDescent="0.25">
      <c r="A22" s="20">
        <v>45579</v>
      </c>
      <c r="B22">
        <f>YEAR(Tabela134[[#This Row],[Data]])</f>
        <v>2024</v>
      </c>
      <c r="C22" t="s">
        <v>248</v>
      </c>
      <c r="D22" t="s">
        <v>256</v>
      </c>
      <c r="E22" t="s">
        <v>257</v>
      </c>
      <c r="F22" s="47">
        <v>210</v>
      </c>
    </row>
    <row r="23" spans="1:8" x14ac:dyDescent="0.25">
      <c r="A23" s="20">
        <v>45584</v>
      </c>
      <c r="B23">
        <f>YEAR(Tabela134[[#This Row],[Data]])</f>
        <v>2024</v>
      </c>
      <c r="C23" t="s">
        <v>248</v>
      </c>
      <c r="D23" t="s">
        <v>256</v>
      </c>
      <c r="E23" t="s">
        <v>257</v>
      </c>
      <c r="F23" s="47">
        <v>210</v>
      </c>
    </row>
    <row r="24" spans="1:8" x14ac:dyDescent="0.25">
      <c r="A24" s="20">
        <v>45588</v>
      </c>
      <c r="B24">
        <f>YEAR(Tabela134[[#This Row],[Data]])</f>
        <v>2024</v>
      </c>
      <c r="C24" t="s">
        <v>248</v>
      </c>
      <c r="D24" t="s">
        <v>261</v>
      </c>
      <c r="E24" t="s">
        <v>257</v>
      </c>
      <c r="F24" s="47">
        <v>987</v>
      </c>
    </row>
    <row r="25" spans="1:8" x14ac:dyDescent="0.25">
      <c r="A25" s="20">
        <v>44842</v>
      </c>
      <c r="B25">
        <f>YEAR(Tabela134[[#This Row],[Data]])</f>
        <v>2022</v>
      </c>
      <c r="C25" t="s">
        <v>248</v>
      </c>
      <c r="D25" t="s">
        <v>256</v>
      </c>
      <c r="E25" t="s">
        <v>257</v>
      </c>
      <c r="F25" s="47">
        <v>210</v>
      </c>
    </row>
    <row r="26" spans="1:8" x14ac:dyDescent="0.25">
      <c r="A26" s="20">
        <v>45576</v>
      </c>
      <c r="B26">
        <f>YEAR(Tabela134[[#This Row],[Data]])</f>
        <v>2024</v>
      </c>
      <c r="C26" t="s">
        <v>248</v>
      </c>
      <c r="D26" t="s">
        <v>256</v>
      </c>
      <c r="E26" t="s">
        <v>257</v>
      </c>
      <c r="F26" s="47">
        <v>210</v>
      </c>
    </row>
    <row r="27" spans="1:8" x14ac:dyDescent="0.25">
      <c r="A27" s="20">
        <v>45580</v>
      </c>
      <c r="B27">
        <f>YEAR(Tabela134[[#This Row],[Data]])</f>
        <v>2024</v>
      </c>
      <c r="C27" t="s">
        <v>248</v>
      </c>
      <c r="D27" t="s">
        <v>261</v>
      </c>
      <c r="E27" t="s">
        <v>257</v>
      </c>
      <c r="F27" s="47">
        <v>987</v>
      </c>
    </row>
    <row r="28" spans="1:8" x14ac:dyDescent="0.25">
      <c r="A28" s="20">
        <v>45675</v>
      </c>
      <c r="B28">
        <f>YEAR(Tabela134[[#This Row],[Data]])</f>
        <v>2025</v>
      </c>
      <c r="C28" t="s">
        <v>248</v>
      </c>
      <c r="D28" t="s">
        <v>256</v>
      </c>
      <c r="E28" t="s">
        <v>257</v>
      </c>
      <c r="F28" s="47">
        <v>753</v>
      </c>
    </row>
    <row r="29" spans="1:8" x14ac:dyDescent="0.25">
      <c r="A29" s="20">
        <v>45587</v>
      </c>
      <c r="B29">
        <f>YEAR(Tabela134[[#This Row],[Data]])</f>
        <v>2024</v>
      </c>
      <c r="C29" t="s">
        <v>248</v>
      </c>
      <c r="D29" t="s">
        <v>261</v>
      </c>
      <c r="E29" t="s">
        <v>257</v>
      </c>
      <c r="F29" s="47">
        <v>665</v>
      </c>
    </row>
    <row r="30" spans="1:8" x14ac:dyDescent="0.25">
      <c r="A30" s="20">
        <v>45680</v>
      </c>
      <c r="B30">
        <f>YEAR(Tabela134[[#This Row],[Data]])</f>
        <v>2025</v>
      </c>
      <c r="C30" t="s">
        <v>248</v>
      </c>
      <c r="D30" t="s">
        <v>261</v>
      </c>
      <c r="E30" t="s">
        <v>257</v>
      </c>
      <c r="F30" s="47">
        <v>652</v>
      </c>
      <c r="H30" s="20"/>
    </row>
    <row r="31" spans="1:8" x14ac:dyDescent="0.25">
      <c r="A31" s="20">
        <v>45569</v>
      </c>
      <c r="B31">
        <f>YEAR(Tabela134[[#This Row],[Data]])</f>
        <v>2024</v>
      </c>
      <c r="C31" t="s">
        <v>248</v>
      </c>
      <c r="D31" t="s">
        <v>256</v>
      </c>
      <c r="E31" t="s">
        <v>257</v>
      </c>
      <c r="F31" s="47">
        <v>210</v>
      </c>
      <c r="H31" s="20"/>
    </row>
    <row r="32" spans="1:8" x14ac:dyDescent="0.25">
      <c r="A32" s="20">
        <v>45569</v>
      </c>
      <c r="B32">
        <f>YEAR(Tabela134[[#This Row],[Data]])</f>
        <v>2024</v>
      </c>
      <c r="C32" t="s">
        <v>248</v>
      </c>
      <c r="D32" t="s">
        <v>256</v>
      </c>
      <c r="E32" t="s">
        <v>257</v>
      </c>
      <c r="F32" s="47">
        <v>210</v>
      </c>
      <c r="H32" s="20"/>
    </row>
    <row r="33" spans="1:8" x14ac:dyDescent="0.25">
      <c r="A33" s="20">
        <v>44837</v>
      </c>
      <c r="B33">
        <f>YEAR(Tabela134[[#This Row],[Data]])</f>
        <v>2022</v>
      </c>
      <c r="C33" t="s">
        <v>248</v>
      </c>
      <c r="D33" t="s">
        <v>256</v>
      </c>
      <c r="E33" t="s">
        <v>257</v>
      </c>
      <c r="F33" s="47">
        <v>210</v>
      </c>
      <c r="H33" s="20"/>
    </row>
    <row r="34" spans="1:8" x14ac:dyDescent="0.25">
      <c r="A34" s="20">
        <v>44841</v>
      </c>
      <c r="B34">
        <f>YEAR(Tabela134[[#This Row],[Data]])</f>
        <v>2022</v>
      </c>
      <c r="C34" t="s">
        <v>248</v>
      </c>
      <c r="D34" t="s">
        <v>261</v>
      </c>
      <c r="E34" t="s">
        <v>257</v>
      </c>
      <c r="F34" s="47">
        <v>987</v>
      </c>
      <c r="H34" s="20"/>
    </row>
    <row r="35" spans="1:8" x14ac:dyDescent="0.25">
      <c r="A35" s="20">
        <v>45698</v>
      </c>
      <c r="B35">
        <f>YEAR(Tabela134[[#This Row],[Data]])</f>
        <v>2025</v>
      </c>
      <c r="C35" t="s">
        <v>248</v>
      </c>
      <c r="D35" t="s">
        <v>256</v>
      </c>
      <c r="E35" t="s">
        <v>257</v>
      </c>
      <c r="F35" s="47">
        <v>210</v>
      </c>
      <c r="H35" s="20"/>
    </row>
    <row r="36" spans="1:8" x14ac:dyDescent="0.25">
      <c r="A36" s="20">
        <v>45579</v>
      </c>
      <c r="B36">
        <f>YEAR(Tabela134[[#This Row],[Data]])</f>
        <v>2024</v>
      </c>
      <c r="C36" t="s">
        <v>248</v>
      </c>
      <c r="D36" t="s">
        <v>261</v>
      </c>
      <c r="E36" t="s">
        <v>257</v>
      </c>
      <c r="F36" s="47">
        <v>987</v>
      </c>
      <c r="H36" s="20"/>
    </row>
    <row r="37" spans="1:8" x14ac:dyDescent="0.25">
      <c r="A37" s="20">
        <v>45519</v>
      </c>
      <c r="B37">
        <f>YEAR(Tabela134[[#This Row],[Data]])</f>
        <v>2024</v>
      </c>
      <c r="C37" t="s">
        <v>248</v>
      </c>
      <c r="D37" t="s">
        <v>249</v>
      </c>
      <c r="E37" t="s">
        <v>250</v>
      </c>
      <c r="F37" s="47">
        <v>345</v>
      </c>
      <c r="H37" s="20"/>
    </row>
    <row r="38" spans="1:8" x14ac:dyDescent="0.25">
      <c r="A38" s="20">
        <v>45704</v>
      </c>
      <c r="B38">
        <f>YEAR(Tabela134[[#This Row],[Data]])</f>
        <v>2025</v>
      </c>
      <c r="C38" t="s">
        <v>248</v>
      </c>
      <c r="D38" t="s">
        <v>256</v>
      </c>
      <c r="E38" t="s">
        <v>250</v>
      </c>
      <c r="F38" s="47">
        <v>434</v>
      </c>
      <c r="H38" s="20"/>
    </row>
    <row r="39" spans="1:8" x14ac:dyDescent="0.25">
      <c r="A39" s="20">
        <v>45565</v>
      </c>
      <c r="B39">
        <f>YEAR(Tabela134[[#This Row],[Data]])</f>
        <v>2024</v>
      </c>
      <c r="C39" t="s">
        <v>248</v>
      </c>
      <c r="D39" t="s">
        <v>256</v>
      </c>
      <c r="E39" t="s">
        <v>259</v>
      </c>
      <c r="F39" s="47">
        <v>444</v>
      </c>
      <c r="H39" s="20"/>
    </row>
    <row r="40" spans="1:8" x14ac:dyDescent="0.25">
      <c r="A40" s="20">
        <v>45572</v>
      </c>
      <c r="B40">
        <f>YEAR(Tabela134[[#This Row],[Data]])</f>
        <v>2024</v>
      </c>
      <c r="C40" t="s">
        <v>248</v>
      </c>
      <c r="D40" t="s">
        <v>254</v>
      </c>
      <c r="E40" t="s">
        <v>259</v>
      </c>
      <c r="F40" s="47">
        <v>456</v>
      </c>
      <c r="H40" s="20"/>
    </row>
    <row r="41" spans="1:8" x14ac:dyDescent="0.25">
      <c r="A41" s="20">
        <v>45574</v>
      </c>
      <c r="B41">
        <f>YEAR(Tabela134[[#This Row],[Data]])</f>
        <v>2024</v>
      </c>
      <c r="C41" t="s">
        <v>248</v>
      </c>
      <c r="D41" t="s">
        <v>254</v>
      </c>
      <c r="E41" t="s">
        <v>259</v>
      </c>
      <c r="F41" s="47">
        <v>549</v>
      </c>
      <c r="H41" s="20"/>
    </row>
    <row r="42" spans="1:8" x14ac:dyDescent="0.25">
      <c r="A42" s="20">
        <v>45571</v>
      </c>
      <c r="B42">
        <f>YEAR(Tabela134[[#This Row],[Data]])</f>
        <v>2024</v>
      </c>
      <c r="C42" t="s">
        <v>248</v>
      </c>
      <c r="D42" t="s">
        <v>254</v>
      </c>
      <c r="E42" t="s">
        <v>259</v>
      </c>
      <c r="F42" s="47">
        <v>159</v>
      </c>
      <c r="H42" s="20"/>
    </row>
    <row r="43" spans="1:8" x14ac:dyDescent="0.25">
      <c r="A43" s="20">
        <v>45582</v>
      </c>
      <c r="B43">
        <f>YEAR(Tabela134[[#This Row],[Data]])</f>
        <v>2024</v>
      </c>
      <c r="C43" t="s">
        <v>248</v>
      </c>
      <c r="D43" t="s">
        <v>254</v>
      </c>
      <c r="E43" t="s">
        <v>259</v>
      </c>
      <c r="F43" s="47">
        <v>549</v>
      </c>
      <c r="H43" s="20"/>
    </row>
    <row r="44" spans="1:8" x14ac:dyDescent="0.25">
      <c r="A44" s="20">
        <v>45587</v>
      </c>
      <c r="B44">
        <f>YEAR(Tabela134[[#This Row],[Data]])</f>
        <v>2024</v>
      </c>
      <c r="C44" t="s">
        <v>248</v>
      </c>
      <c r="D44" t="s">
        <v>254</v>
      </c>
      <c r="E44" t="s">
        <v>259</v>
      </c>
      <c r="F44" s="47">
        <v>159</v>
      </c>
      <c r="H44" s="20"/>
    </row>
    <row r="45" spans="1:8" x14ac:dyDescent="0.25">
      <c r="A45" s="20">
        <v>45579</v>
      </c>
      <c r="B45">
        <f>YEAR(Tabela134[[#This Row],[Data]])</f>
        <v>2024</v>
      </c>
      <c r="C45" t="s">
        <v>248</v>
      </c>
      <c r="D45" t="s">
        <v>254</v>
      </c>
      <c r="E45" t="s">
        <v>259</v>
      </c>
      <c r="F45" s="47">
        <v>159</v>
      </c>
      <c r="H45" s="20"/>
    </row>
    <row r="46" spans="1:8" x14ac:dyDescent="0.25">
      <c r="A46" s="20">
        <v>45586</v>
      </c>
      <c r="B46">
        <f>YEAR(Tabela134[[#This Row],[Data]])</f>
        <v>2024</v>
      </c>
      <c r="C46" t="s">
        <v>248</v>
      </c>
      <c r="D46" t="s">
        <v>254</v>
      </c>
      <c r="E46" t="s">
        <v>259</v>
      </c>
      <c r="F46" s="47">
        <v>987</v>
      </c>
      <c r="H46" s="20"/>
    </row>
    <row r="47" spans="1:8" x14ac:dyDescent="0.25">
      <c r="A47" s="20">
        <v>45572</v>
      </c>
      <c r="B47">
        <f>YEAR(Tabela134[[#This Row],[Data]])</f>
        <v>2024</v>
      </c>
      <c r="C47" t="s">
        <v>248</v>
      </c>
      <c r="D47" t="s">
        <v>254</v>
      </c>
      <c r="E47" t="s">
        <v>259</v>
      </c>
      <c r="F47" s="47">
        <v>456</v>
      </c>
      <c r="H47" s="20"/>
    </row>
    <row r="48" spans="1:8" x14ac:dyDescent="0.25">
      <c r="A48" s="20">
        <v>45574</v>
      </c>
      <c r="B48">
        <f>YEAR(Tabela134[[#This Row],[Data]])</f>
        <v>2024</v>
      </c>
      <c r="C48" t="s">
        <v>248</v>
      </c>
      <c r="D48" t="s">
        <v>254</v>
      </c>
      <c r="E48" t="s">
        <v>259</v>
      </c>
      <c r="F48" s="47">
        <v>549</v>
      </c>
      <c r="H48" s="20"/>
    </row>
    <row r="49" spans="1:8" x14ac:dyDescent="0.25">
      <c r="A49" s="20">
        <v>45571</v>
      </c>
      <c r="B49">
        <f>YEAR(Tabela134[[#This Row],[Data]])</f>
        <v>2024</v>
      </c>
      <c r="C49" t="s">
        <v>248</v>
      </c>
      <c r="D49" t="s">
        <v>254</v>
      </c>
      <c r="E49" t="s">
        <v>259</v>
      </c>
      <c r="F49" s="47">
        <v>159</v>
      </c>
      <c r="H49" s="20"/>
    </row>
    <row r="50" spans="1:8" x14ac:dyDescent="0.25">
      <c r="A50" s="20">
        <v>45578</v>
      </c>
      <c r="B50">
        <f>YEAR(Tabela134[[#This Row],[Data]])</f>
        <v>2024</v>
      </c>
      <c r="C50" t="s">
        <v>248</v>
      </c>
      <c r="D50" t="s">
        <v>254</v>
      </c>
      <c r="E50" t="s">
        <v>259</v>
      </c>
      <c r="F50" s="47">
        <v>159</v>
      </c>
      <c r="H50" s="20"/>
    </row>
    <row r="51" spans="1:8" x14ac:dyDescent="0.25">
      <c r="A51" s="20">
        <v>45520</v>
      </c>
      <c r="B51">
        <f>YEAR(Tabela134[[#This Row],[Data]])</f>
        <v>2024</v>
      </c>
      <c r="C51" t="s">
        <v>251</v>
      </c>
      <c r="D51" t="s">
        <v>249</v>
      </c>
      <c r="E51" t="s">
        <v>252</v>
      </c>
      <c r="F51" s="47">
        <v>785</v>
      </c>
      <c r="H51" s="20"/>
    </row>
    <row r="52" spans="1:8" x14ac:dyDescent="0.25">
      <c r="A52" s="20">
        <v>45574</v>
      </c>
      <c r="B52">
        <f>YEAR(Tabela134[[#This Row],[Data]])</f>
        <v>2024</v>
      </c>
      <c r="C52" t="s">
        <v>251</v>
      </c>
      <c r="D52" t="s">
        <v>256</v>
      </c>
      <c r="E52" t="s">
        <v>250</v>
      </c>
      <c r="F52" s="47">
        <v>75</v>
      </c>
      <c r="H52" s="20"/>
    </row>
    <row r="53" spans="1:8" x14ac:dyDescent="0.25">
      <c r="A53" s="20">
        <v>45570</v>
      </c>
      <c r="B53">
        <f>YEAR(Tabela134[[#This Row],[Data]])</f>
        <v>2024</v>
      </c>
      <c r="C53" t="s">
        <v>251</v>
      </c>
      <c r="D53" t="s">
        <v>249</v>
      </c>
      <c r="E53" t="s">
        <v>250</v>
      </c>
      <c r="F53" s="47">
        <v>985</v>
      </c>
      <c r="H53" s="20"/>
    </row>
    <row r="54" spans="1:8" x14ac:dyDescent="0.25">
      <c r="A54" s="20">
        <v>45570</v>
      </c>
      <c r="B54">
        <f>YEAR(Tabela134[[#This Row],[Data]])</f>
        <v>2024</v>
      </c>
      <c r="C54" t="s">
        <v>251</v>
      </c>
      <c r="D54" t="s">
        <v>249</v>
      </c>
      <c r="E54" t="s">
        <v>250</v>
      </c>
      <c r="F54" s="47">
        <v>965</v>
      </c>
    </row>
    <row r="55" spans="1:8" x14ac:dyDescent="0.25">
      <c r="A55" s="20">
        <v>45569</v>
      </c>
      <c r="B55">
        <f>YEAR(Tabela134[[#This Row],[Data]])</f>
        <v>2024</v>
      </c>
      <c r="C55" t="s">
        <v>251</v>
      </c>
      <c r="D55" t="s">
        <v>249</v>
      </c>
      <c r="E55" t="s">
        <v>250</v>
      </c>
      <c r="F55" s="47">
        <v>345</v>
      </c>
    </row>
    <row r="56" spans="1:8" x14ac:dyDescent="0.25">
      <c r="A56" s="20">
        <v>45573</v>
      </c>
      <c r="B56">
        <f>YEAR(Tabela134[[#This Row],[Data]])</f>
        <v>2024</v>
      </c>
      <c r="C56" t="s">
        <v>251</v>
      </c>
      <c r="D56" t="s">
        <v>256</v>
      </c>
      <c r="E56" t="s">
        <v>250</v>
      </c>
      <c r="F56" s="47">
        <v>665</v>
      </c>
    </row>
    <row r="57" spans="1:8" x14ac:dyDescent="0.25">
      <c r="A57" s="20">
        <v>45577</v>
      </c>
      <c r="B57">
        <f>YEAR(Tabela134[[#This Row],[Data]])</f>
        <v>2024</v>
      </c>
      <c r="C57" t="s">
        <v>251</v>
      </c>
      <c r="D57" t="s">
        <v>249</v>
      </c>
      <c r="E57" t="s">
        <v>250</v>
      </c>
      <c r="F57" s="47">
        <v>345</v>
      </c>
    </row>
    <row r="58" spans="1:8" x14ac:dyDescent="0.25">
      <c r="A58" s="20">
        <v>45580</v>
      </c>
      <c r="B58">
        <f>YEAR(Tabela134[[#This Row],[Data]])</f>
        <v>2024</v>
      </c>
      <c r="C58" t="s">
        <v>251</v>
      </c>
      <c r="D58" t="s">
        <v>249</v>
      </c>
      <c r="E58" t="s">
        <v>250</v>
      </c>
      <c r="F58" s="47">
        <v>965</v>
      </c>
    </row>
    <row r="59" spans="1:8" x14ac:dyDescent="0.25">
      <c r="A59" s="20">
        <v>45708</v>
      </c>
      <c r="B59">
        <f>YEAR(Tabela134[[#This Row],[Data]])</f>
        <v>2025</v>
      </c>
      <c r="C59" t="s">
        <v>251</v>
      </c>
      <c r="D59" t="s">
        <v>249</v>
      </c>
      <c r="E59" t="s">
        <v>250</v>
      </c>
      <c r="F59" s="47">
        <v>345</v>
      </c>
    </row>
    <row r="60" spans="1:8" x14ac:dyDescent="0.25">
      <c r="A60" s="20">
        <v>45570</v>
      </c>
      <c r="B60">
        <f>YEAR(Tabela134[[#This Row],[Data]])</f>
        <v>2024</v>
      </c>
      <c r="C60" t="s">
        <v>251</v>
      </c>
      <c r="D60" t="s">
        <v>256</v>
      </c>
      <c r="E60" t="s">
        <v>250</v>
      </c>
      <c r="F60" s="47">
        <v>665</v>
      </c>
      <c r="H60" s="20"/>
    </row>
    <row r="61" spans="1:8" x14ac:dyDescent="0.25">
      <c r="A61" s="20">
        <v>45574</v>
      </c>
      <c r="B61">
        <f>YEAR(Tabela134[[#This Row],[Data]])</f>
        <v>2024</v>
      </c>
      <c r="C61" t="s">
        <v>251</v>
      </c>
      <c r="D61" t="s">
        <v>249</v>
      </c>
      <c r="E61" t="s">
        <v>250</v>
      </c>
      <c r="F61" s="47">
        <v>345</v>
      </c>
      <c r="H61" s="20"/>
    </row>
    <row r="62" spans="1:8" x14ac:dyDescent="0.25">
      <c r="A62" s="20">
        <v>45577</v>
      </c>
      <c r="B62">
        <f>YEAR(Tabela134[[#This Row],[Data]])</f>
        <v>2024</v>
      </c>
      <c r="C62" t="s">
        <v>251</v>
      </c>
      <c r="D62" t="s">
        <v>249</v>
      </c>
      <c r="E62" t="s">
        <v>250</v>
      </c>
      <c r="F62" s="47">
        <v>345</v>
      </c>
      <c r="H62" s="20"/>
    </row>
    <row r="63" spans="1:8" x14ac:dyDescent="0.25">
      <c r="A63" s="20">
        <v>45581</v>
      </c>
      <c r="B63">
        <f>YEAR(Tabela134[[#This Row],[Data]])</f>
        <v>2024</v>
      </c>
      <c r="C63" t="s">
        <v>251</v>
      </c>
      <c r="D63" t="s">
        <v>256</v>
      </c>
      <c r="E63" t="s">
        <v>250</v>
      </c>
      <c r="F63" s="47">
        <v>665</v>
      </c>
      <c r="H63" s="20"/>
    </row>
    <row r="64" spans="1:8" x14ac:dyDescent="0.25">
      <c r="A64" s="20">
        <v>45707</v>
      </c>
      <c r="B64">
        <f>YEAR(Tabela134[[#This Row],[Data]])</f>
        <v>2025</v>
      </c>
      <c r="C64" t="s">
        <v>251</v>
      </c>
      <c r="D64" t="s">
        <v>249</v>
      </c>
      <c r="E64" t="s">
        <v>250</v>
      </c>
      <c r="F64" s="47">
        <v>159</v>
      </c>
      <c r="H64" s="20"/>
    </row>
    <row r="65" spans="1:8" x14ac:dyDescent="0.25">
      <c r="A65" s="20">
        <v>45588</v>
      </c>
      <c r="B65">
        <f>YEAR(Tabela134[[#This Row],[Data]])</f>
        <v>2024</v>
      </c>
      <c r="C65" t="s">
        <v>251</v>
      </c>
      <c r="D65" t="s">
        <v>256</v>
      </c>
      <c r="E65" t="s">
        <v>250</v>
      </c>
      <c r="F65" s="47">
        <v>541</v>
      </c>
      <c r="H65" s="20"/>
    </row>
    <row r="66" spans="1:8" x14ac:dyDescent="0.25">
      <c r="A66" s="20">
        <v>45574</v>
      </c>
      <c r="B66">
        <f>YEAR(Tabela134[[#This Row],[Data]])</f>
        <v>2024</v>
      </c>
      <c r="C66" t="s">
        <v>251</v>
      </c>
      <c r="D66" t="s">
        <v>256</v>
      </c>
      <c r="E66" t="s">
        <v>250</v>
      </c>
      <c r="F66" s="47">
        <v>210</v>
      </c>
      <c r="H66" s="20"/>
    </row>
    <row r="67" spans="1:8" x14ac:dyDescent="0.25">
      <c r="A67" s="20">
        <v>45570</v>
      </c>
      <c r="B67">
        <f>YEAR(Tabela134[[#This Row],[Data]])</f>
        <v>2024</v>
      </c>
      <c r="C67" t="s">
        <v>251</v>
      </c>
      <c r="D67" t="s">
        <v>249</v>
      </c>
      <c r="E67" t="s">
        <v>250</v>
      </c>
      <c r="F67" s="47">
        <v>985</v>
      </c>
      <c r="H67" s="20"/>
    </row>
    <row r="68" spans="1:8" x14ac:dyDescent="0.25">
      <c r="A68" s="20">
        <v>45570</v>
      </c>
      <c r="B68">
        <f>YEAR(Tabela134[[#This Row],[Data]])</f>
        <v>2024</v>
      </c>
      <c r="C68" t="s">
        <v>251</v>
      </c>
      <c r="D68" t="s">
        <v>249</v>
      </c>
      <c r="E68" t="s">
        <v>250</v>
      </c>
      <c r="F68" s="47">
        <v>965</v>
      </c>
      <c r="H68" s="20"/>
    </row>
    <row r="69" spans="1:8" x14ac:dyDescent="0.25">
      <c r="A69" s="20">
        <v>45569</v>
      </c>
      <c r="B69">
        <f>YEAR(Tabela134[[#This Row],[Data]])</f>
        <v>2024</v>
      </c>
      <c r="C69" t="s">
        <v>251</v>
      </c>
      <c r="D69" t="s">
        <v>249</v>
      </c>
      <c r="E69" t="s">
        <v>250</v>
      </c>
      <c r="F69" s="47">
        <v>345</v>
      </c>
      <c r="H69" s="20"/>
    </row>
    <row r="70" spans="1:8" x14ac:dyDescent="0.25">
      <c r="A70" s="20">
        <v>45573</v>
      </c>
      <c r="B70">
        <f>YEAR(Tabela134[[#This Row],[Data]])</f>
        <v>2024</v>
      </c>
      <c r="C70" t="s">
        <v>251</v>
      </c>
      <c r="D70" t="s">
        <v>256</v>
      </c>
      <c r="E70" t="s">
        <v>250</v>
      </c>
      <c r="F70" s="47">
        <v>665</v>
      </c>
      <c r="H70" s="20"/>
    </row>
    <row r="71" spans="1:8" x14ac:dyDescent="0.25">
      <c r="A71" s="20">
        <v>45576</v>
      </c>
      <c r="B71">
        <f>YEAR(Tabela134[[#This Row],[Data]])</f>
        <v>2024</v>
      </c>
      <c r="C71" t="s">
        <v>251</v>
      </c>
      <c r="D71" t="s">
        <v>249</v>
      </c>
      <c r="E71" t="s">
        <v>250</v>
      </c>
      <c r="F71" s="47">
        <v>345</v>
      </c>
      <c r="H71" s="20"/>
    </row>
    <row r="72" spans="1:8" x14ac:dyDescent="0.25">
      <c r="A72" s="20">
        <v>45580</v>
      </c>
      <c r="B72">
        <f>YEAR(Tabela134[[#This Row],[Data]])</f>
        <v>2024</v>
      </c>
      <c r="C72" t="s">
        <v>251</v>
      </c>
      <c r="D72" t="s">
        <v>256</v>
      </c>
      <c r="E72" t="s">
        <v>250</v>
      </c>
      <c r="F72" s="47">
        <v>665</v>
      </c>
      <c r="H72" s="20"/>
    </row>
    <row r="73" spans="1:8" x14ac:dyDescent="0.25">
      <c r="A73" s="20">
        <v>45677</v>
      </c>
      <c r="B73">
        <f>YEAR(Tabela134[[#This Row],[Data]])</f>
        <v>2025</v>
      </c>
      <c r="C73" t="s">
        <v>251</v>
      </c>
      <c r="D73" t="s">
        <v>249</v>
      </c>
      <c r="E73" t="s">
        <v>258</v>
      </c>
      <c r="F73" s="47">
        <v>434</v>
      </c>
      <c r="H73" s="20"/>
    </row>
    <row r="74" spans="1:8" x14ac:dyDescent="0.25">
      <c r="A74" s="20">
        <v>45565</v>
      </c>
      <c r="B74">
        <f>YEAR(Tabela134[[#This Row],[Data]])</f>
        <v>2024</v>
      </c>
      <c r="C74" t="s">
        <v>255</v>
      </c>
      <c r="D74" t="s">
        <v>256</v>
      </c>
      <c r="E74" t="s">
        <v>260</v>
      </c>
      <c r="F74" s="47">
        <v>554</v>
      </c>
      <c r="H74" s="20"/>
    </row>
    <row r="75" spans="1:8" x14ac:dyDescent="0.25">
      <c r="A75" s="20">
        <v>45568</v>
      </c>
      <c r="B75">
        <f>YEAR(Tabela134[[#This Row],[Data]])</f>
        <v>2024</v>
      </c>
      <c r="C75" t="s">
        <v>255</v>
      </c>
      <c r="D75" t="s">
        <v>256</v>
      </c>
      <c r="E75" t="s">
        <v>252</v>
      </c>
      <c r="F75" s="47">
        <v>325</v>
      </c>
    </row>
    <row r="76" spans="1:8" x14ac:dyDescent="0.25">
      <c r="A76" s="20">
        <v>45568</v>
      </c>
      <c r="B76">
        <f>YEAR(Tabela134[[#This Row],[Data]])</f>
        <v>2024</v>
      </c>
      <c r="C76" t="s">
        <v>255</v>
      </c>
      <c r="D76" t="s">
        <v>256</v>
      </c>
      <c r="E76" t="s">
        <v>252</v>
      </c>
      <c r="F76" s="47">
        <v>325</v>
      </c>
    </row>
    <row r="77" spans="1:8" x14ac:dyDescent="0.25">
      <c r="A77" s="20">
        <v>45575</v>
      </c>
      <c r="B77">
        <f>YEAR(Tabela134[[#This Row],[Data]])</f>
        <v>2024</v>
      </c>
      <c r="C77" t="s">
        <v>255</v>
      </c>
      <c r="D77" t="s">
        <v>256</v>
      </c>
      <c r="E77" t="s">
        <v>252</v>
      </c>
      <c r="F77" s="47">
        <v>325</v>
      </c>
    </row>
    <row r="78" spans="1:8" x14ac:dyDescent="0.25">
      <c r="A78" s="20">
        <v>45575</v>
      </c>
      <c r="B78">
        <f>YEAR(Tabela134[[#This Row],[Data]])</f>
        <v>2024</v>
      </c>
      <c r="C78" t="s">
        <v>255</v>
      </c>
      <c r="D78" t="s">
        <v>256</v>
      </c>
      <c r="E78" t="s">
        <v>252</v>
      </c>
      <c r="F78" s="47">
        <v>652</v>
      </c>
    </row>
    <row r="79" spans="1:8" x14ac:dyDescent="0.25">
      <c r="A79" s="20">
        <v>45583</v>
      </c>
      <c r="B79">
        <f>YEAR(Tabela134[[#This Row],[Data]])</f>
        <v>2024</v>
      </c>
      <c r="C79" t="s">
        <v>255</v>
      </c>
      <c r="D79" t="s">
        <v>256</v>
      </c>
      <c r="E79" t="s">
        <v>252</v>
      </c>
      <c r="F79" s="47">
        <v>325</v>
      </c>
    </row>
    <row r="80" spans="1:8" x14ac:dyDescent="0.25">
      <c r="A80" s="20">
        <v>45572</v>
      </c>
      <c r="B80">
        <f>YEAR(Tabela134[[#This Row],[Data]])</f>
        <v>2024</v>
      </c>
      <c r="C80" t="s">
        <v>255</v>
      </c>
      <c r="D80" t="s">
        <v>256</v>
      </c>
      <c r="E80" t="s">
        <v>252</v>
      </c>
      <c r="F80" s="47">
        <v>652</v>
      </c>
    </row>
    <row r="81" spans="1:8" x14ac:dyDescent="0.25">
      <c r="A81" s="20">
        <v>45568</v>
      </c>
      <c r="B81">
        <f>YEAR(Tabela134[[#This Row],[Data]])</f>
        <v>2024</v>
      </c>
      <c r="C81" t="s">
        <v>255</v>
      </c>
      <c r="D81" t="s">
        <v>256</v>
      </c>
      <c r="E81" t="s">
        <v>252</v>
      </c>
      <c r="F81" s="47">
        <v>325</v>
      </c>
    </row>
    <row r="82" spans="1:8" x14ac:dyDescent="0.25">
      <c r="A82" s="20">
        <v>45568</v>
      </c>
      <c r="B82">
        <f>YEAR(Tabela134[[#This Row],[Data]])</f>
        <v>2024</v>
      </c>
      <c r="C82" t="s">
        <v>255</v>
      </c>
      <c r="D82" t="s">
        <v>256</v>
      </c>
      <c r="E82" t="s">
        <v>252</v>
      </c>
      <c r="F82" s="47">
        <v>325</v>
      </c>
    </row>
    <row r="83" spans="1:8" x14ac:dyDescent="0.25">
      <c r="A83" s="20">
        <v>45575</v>
      </c>
      <c r="B83">
        <f>YEAR(Tabela134[[#This Row],[Data]])</f>
        <v>2024</v>
      </c>
      <c r="C83" t="s">
        <v>255</v>
      </c>
      <c r="D83" t="s">
        <v>256</v>
      </c>
      <c r="E83" t="s">
        <v>252</v>
      </c>
      <c r="F83" s="47">
        <v>325</v>
      </c>
    </row>
    <row r="84" spans="1:8" x14ac:dyDescent="0.25">
      <c r="A84" s="20">
        <v>45574</v>
      </c>
      <c r="B84">
        <f>YEAR(Tabela134[[#This Row],[Data]])</f>
        <v>2024</v>
      </c>
      <c r="C84" t="s">
        <v>255</v>
      </c>
      <c r="D84" t="s">
        <v>256</v>
      </c>
      <c r="E84" t="s">
        <v>252</v>
      </c>
      <c r="F84" s="47">
        <v>325</v>
      </c>
      <c r="H84" s="20"/>
    </row>
    <row r="85" spans="1:8" x14ac:dyDescent="0.25">
      <c r="A85" s="20">
        <v>45581</v>
      </c>
      <c r="B85">
        <f>YEAR(Tabela134[[#This Row],[Data]])</f>
        <v>2024</v>
      </c>
      <c r="C85" t="s">
        <v>255</v>
      </c>
      <c r="D85" t="s">
        <v>256</v>
      </c>
      <c r="E85" t="s">
        <v>252</v>
      </c>
      <c r="F85" s="47">
        <v>345</v>
      </c>
      <c r="H85" s="20"/>
    </row>
    <row r="86" spans="1:8" x14ac:dyDescent="0.25">
      <c r="A86" s="20">
        <v>45522</v>
      </c>
      <c r="B86">
        <f>YEAR(Tabela134[[#This Row],[Data]])</f>
        <v>2024</v>
      </c>
      <c r="C86" t="s">
        <v>255</v>
      </c>
      <c r="D86" t="s">
        <v>256</v>
      </c>
      <c r="E86" t="s">
        <v>257</v>
      </c>
      <c r="F86" s="47">
        <v>544</v>
      </c>
      <c r="H86" s="20"/>
    </row>
    <row r="87" spans="1:8" x14ac:dyDescent="0.25">
      <c r="A87" s="20">
        <v>45571</v>
      </c>
      <c r="B87">
        <f>YEAR(Tabela134[[#This Row],[Data]])</f>
        <v>2024</v>
      </c>
      <c r="C87" t="s">
        <v>255</v>
      </c>
      <c r="D87" t="s">
        <v>249</v>
      </c>
      <c r="E87" t="s">
        <v>258</v>
      </c>
      <c r="F87" s="47">
        <v>987</v>
      </c>
      <c r="H87" s="20"/>
    </row>
    <row r="88" spans="1:8" x14ac:dyDescent="0.25">
      <c r="A88" s="20">
        <v>45572</v>
      </c>
      <c r="B88">
        <f>YEAR(Tabela134[[#This Row],[Data]])</f>
        <v>2024</v>
      </c>
      <c r="C88" t="s">
        <v>255</v>
      </c>
      <c r="D88" t="s">
        <v>249</v>
      </c>
      <c r="E88" t="s">
        <v>258</v>
      </c>
      <c r="F88" s="47">
        <v>587</v>
      </c>
      <c r="H88" s="20"/>
    </row>
    <row r="89" spans="1:8" x14ac:dyDescent="0.25">
      <c r="A89" s="20">
        <v>45570</v>
      </c>
      <c r="B89">
        <f>YEAR(Tabela134[[#This Row],[Data]])</f>
        <v>2024</v>
      </c>
      <c r="C89" t="s">
        <v>255</v>
      </c>
      <c r="D89" t="s">
        <v>249</v>
      </c>
      <c r="E89" t="s">
        <v>258</v>
      </c>
      <c r="F89" s="47">
        <v>753</v>
      </c>
      <c r="H89" s="20"/>
    </row>
    <row r="90" spans="1:8" x14ac:dyDescent="0.25">
      <c r="A90" s="20">
        <v>45578</v>
      </c>
      <c r="B90">
        <f>YEAR(Tabela134[[#This Row],[Data]])</f>
        <v>2024</v>
      </c>
      <c r="C90" t="s">
        <v>255</v>
      </c>
      <c r="D90" t="s">
        <v>249</v>
      </c>
      <c r="E90" t="s">
        <v>258</v>
      </c>
      <c r="F90" s="47">
        <v>169</v>
      </c>
      <c r="H90" s="20"/>
    </row>
    <row r="91" spans="1:8" x14ac:dyDescent="0.25">
      <c r="A91" s="20">
        <v>45704</v>
      </c>
      <c r="B91">
        <f>YEAR(Tabela134[[#This Row],[Data]])</f>
        <v>2025</v>
      </c>
      <c r="C91" t="s">
        <v>255</v>
      </c>
      <c r="D91" t="s">
        <v>249</v>
      </c>
      <c r="E91" t="s">
        <v>258</v>
      </c>
      <c r="F91" s="47">
        <v>587</v>
      </c>
      <c r="H91" s="20"/>
    </row>
    <row r="92" spans="1:8" x14ac:dyDescent="0.25">
      <c r="A92" s="20">
        <v>45586</v>
      </c>
      <c r="B92">
        <f>YEAR(Tabela134[[#This Row],[Data]])</f>
        <v>2024</v>
      </c>
      <c r="C92" t="s">
        <v>255</v>
      </c>
      <c r="D92" t="s">
        <v>249</v>
      </c>
      <c r="E92" t="s">
        <v>258</v>
      </c>
      <c r="F92" s="47">
        <v>753</v>
      </c>
    </row>
    <row r="93" spans="1:8" x14ac:dyDescent="0.25">
      <c r="A93" s="20">
        <v>45575</v>
      </c>
      <c r="B93">
        <f>YEAR(Tabela134[[#This Row],[Data]])</f>
        <v>2024</v>
      </c>
      <c r="C93" t="s">
        <v>255</v>
      </c>
      <c r="D93" t="s">
        <v>249</v>
      </c>
      <c r="E93" t="s">
        <v>258</v>
      </c>
      <c r="F93" s="47">
        <v>169</v>
      </c>
    </row>
    <row r="94" spans="1:8" x14ac:dyDescent="0.25">
      <c r="A94" s="20">
        <v>45578</v>
      </c>
      <c r="B94">
        <f>YEAR(Tabela134[[#This Row],[Data]])</f>
        <v>2024</v>
      </c>
      <c r="C94" t="s">
        <v>255</v>
      </c>
      <c r="D94" t="s">
        <v>249</v>
      </c>
      <c r="E94" t="s">
        <v>258</v>
      </c>
      <c r="F94" s="47">
        <v>753</v>
      </c>
    </row>
    <row r="95" spans="1:8" x14ac:dyDescent="0.25">
      <c r="A95" s="20">
        <v>45585</v>
      </c>
      <c r="B95">
        <f>YEAR(Tabela134[[#This Row],[Data]])</f>
        <v>2024</v>
      </c>
      <c r="C95" t="s">
        <v>255</v>
      </c>
      <c r="D95" t="s">
        <v>249</v>
      </c>
      <c r="E95" t="s">
        <v>258</v>
      </c>
      <c r="F95" s="47">
        <v>987</v>
      </c>
    </row>
    <row r="96" spans="1:8" x14ac:dyDescent="0.25">
      <c r="A96" s="20">
        <v>45571</v>
      </c>
      <c r="B96">
        <f>YEAR(Tabela134[[#This Row],[Data]])</f>
        <v>2024</v>
      </c>
      <c r="C96" t="s">
        <v>255</v>
      </c>
      <c r="D96" t="s">
        <v>249</v>
      </c>
      <c r="E96" t="s">
        <v>258</v>
      </c>
      <c r="F96" s="47">
        <v>987</v>
      </c>
    </row>
    <row r="97" spans="1:6" x14ac:dyDescent="0.25">
      <c r="A97" s="20">
        <v>45569</v>
      </c>
      <c r="B97">
        <f>YEAR(Tabela134[[#This Row],[Data]])</f>
        <v>2024</v>
      </c>
      <c r="C97" t="s">
        <v>255</v>
      </c>
      <c r="D97" t="s">
        <v>249</v>
      </c>
      <c r="E97" t="s">
        <v>258</v>
      </c>
      <c r="F97" s="47">
        <v>587</v>
      </c>
    </row>
    <row r="98" spans="1:6" x14ac:dyDescent="0.25">
      <c r="A98" s="20">
        <v>45570</v>
      </c>
      <c r="B98">
        <f>YEAR(Tabela134[[#This Row],[Data]])</f>
        <v>2024</v>
      </c>
      <c r="C98" t="s">
        <v>255</v>
      </c>
      <c r="D98" t="s">
        <v>249</v>
      </c>
      <c r="E98" t="s">
        <v>258</v>
      </c>
      <c r="F98" s="47">
        <v>753</v>
      </c>
    </row>
    <row r="99" spans="1:6" x14ac:dyDescent="0.25">
      <c r="A99" s="20">
        <v>45577</v>
      </c>
      <c r="B99">
        <f>YEAR(Tabela134[[#This Row],[Data]])</f>
        <v>2024</v>
      </c>
      <c r="C99" t="s">
        <v>255</v>
      </c>
      <c r="D99" t="s">
        <v>249</v>
      </c>
      <c r="E99" t="s">
        <v>258</v>
      </c>
      <c r="F99" s="47">
        <v>753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90"/>
  <sheetViews>
    <sheetView workbookViewId="0">
      <selection activeCell="C1" sqref="C1"/>
    </sheetView>
  </sheetViews>
  <sheetFormatPr defaultRowHeight="15" x14ac:dyDescent="0.25"/>
  <cols>
    <col min="1" max="1" width="11.7109375" style="26" customWidth="1"/>
    <col min="2" max="2" width="11.7109375" style="28" customWidth="1"/>
    <col min="3" max="3" width="20.7109375" style="26" customWidth="1"/>
    <col min="4" max="4" width="17.5703125" style="26" bestFit="1" customWidth="1"/>
    <col min="5" max="5" width="14.85546875" style="26" customWidth="1"/>
    <col min="6" max="6" width="14.7109375" style="27" customWidth="1"/>
    <col min="8" max="8" width="25.28515625" customWidth="1"/>
  </cols>
  <sheetData>
    <row r="1" spans="1:8" x14ac:dyDescent="0.25">
      <c r="A1" s="21" t="s">
        <v>262</v>
      </c>
      <c r="B1" s="22" t="s">
        <v>0</v>
      </c>
      <c r="C1" s="21" t="s">
        <v>80</v>
      </c>
      <c r="D1" s="21" t="s">
        <v>263</v>
      </c>
      <c r="E1" s="21" t="s">
        <v>71</v>
      </c>
      <c r="F1" s="23" t="s">
        <v>27</v>
      </c>
      <c r="H1" s="12"/>
    </row>
    <row r="2" spans="1:8" hidden="1" x14ac:dyDescent="0.25">
      <c r="A2" s="24" t="s">
        <v>264</v>
      </c>
      <c r="B2" s="25">
        <v>45314</v>
      </c>
      <c r="C2" s="24" t="s">
        <v>265</v>
      </c>
      <c r="D2" s="24" t="s">
        <v>266</v>
      </c>
      <c r="E2" s="26" t="s">
        <v>267</v>
      </c>
      <c r="F2" s="27">
        <v>8000</v>
      </c>
    </row>
    <row r="3" spans="1:8" hidden="1" x14ac:dyDescent="0.25">
      <c r="A3" s="24" t="s">
        <v>268</v>
      </c>
      <c r="B3" s="25">
        <v>45340</v>
      </c>
      <c r="C3" s="24" t="s">
        <v>265</v>
      </c>
      <c r="D3" s="24" t="s">
        <v>266</v>
      </c>
      <c r="E3" s="26" t="s">
        <v>73</v>
      </c>
      <c r="F3" s="27">
        <v>15000</v>
      </c>
    </row>
    <row r="4" spans="1:8" hidden="1" x14ac:dyDescent="0.25">
      <c r="A4" s="24" t="s">
        <v>269</v>
      </c>
      <c r="B4" s="25">
        <v>45365</v>
      </c>
      <c r="C4" s="24" t="s">
        <v>270</v>
      </c>
      <c r="D4" s="24" t="s">
        <v>266</v>
      </c>
      <c r="E4" s="26" t="s">
        <v>73</v>
      </c>
      <c r="F4" s="27">
        <v>11200</v>
      </c>
      <c r="H4" s="12" t="s">
        <v>70</v>
      </c>
    </row>
    <row r="5" spans="1:8" hidden="1" x14ac:dyDescent="0.25">
      <c r="A5" s="24" t="s">
        <v>271</v>
      </c>
      <c r="B5" s="25">
        <v>45370</v>
      </c>
      <c r="C5" s="24" t="s">
        <v>270</v>
      </c>
      <c r="D5" s="24" t="s">
        <v>266</v>
      </c>
      <c r="E5" s="26" t="s">
        <v>73</v>
      </c>
      <c r="F5" s="27">
        <v>10200</v>
      </c>
      <c r="H5" t="s">
        <v>120</v>
      </c>
    </row>
    <row r="6" spans="1:8" hidden="1" x14ac:dyDescent="0.25">
      <c r="A6" s="24" t="s">
        <v>272</v>
      </c>
      <c r="B6" s="25">
        <v>45391</v>
      </c>
      <c r="C6" s="24" t="s">
        <v>335</v>
      </c>
      <c r="D6" s="24" t="s">
        <v>266</v>
      </c>
      <c r="E6" s="26" t="s">
        <v>72</v>
      </c>
      <c r="F6" s="27">
        <v>17000</v>
      </c>
    </row>
    <row r="7" spans="1:8" hidden="1" x14ac:dyDescent="0.25">
      <c r="A7" s="24" t="s">
        <v>273</v>
      </c>
      <c r="B7" s="25">
        <v>45404</v>
      </c>
      <c r="C7" s="24" t="s">
        <v>265</v>
      </c>
      <c r="D7" s="24" t="s">
        <v>266</v>
      </c>
      <c r="E7" s="26" t="s">
        <v>72</v>
      </c>
      <c r="F7" s="27">
        <v>17420</v>
      </c>
      <c r="H7" s="29" t="s">
        <v>338</v>
      </c>
    </row>
    <row r="8" spans="1:8" hidden="1" x14ac:dyDescent="0.25">
      <c r="A8" s="24" t="s">
        <v>274</v>
      </c>
      <c r="B8" s="25">
        <v>45417</v>
      </c>
      <c r="C8" s="24" t="s">
        <v>275</v>
      </c>
      <c r="D8" s="24" t="s">
        <v>133</v>
      </c>
      <c r="E8" s="26" t="s">
        <v>72</v>
      </c>
      <c r="F8" s="27">
        <v>3000</v>
      </c>
      <c r="H8" s="29" t="s">
        <v>349</v>
      </c>
    </row>
    <row r="9" spans="1:8" hidden="1" x14ac:dyDescent="0.25">
      <c r="A9" s="24" t="s">
        <v>276</v>
      </c>
      <c r="B9" s="25">
        <v>45419</v>
      </c>
      <c r="C9" s="24" t="s">
        <v>277</v>
      </c>
      <c r="D9" s="24" t="s">
        <v>278</v>
      </c>
      <c r="E9" s="26" t="s">
        <v>279</v>
      </c>
      <c r="F9" s="27">
        <v>8230</v>
      </c>
    </row>
    <row r="10" spans="1:8" hidden="1" x14ac:dyDescent="0.25">
      <c r="A10" s="24" t="s">
        <v>280</v>
      </c>
      <c r="B10" s="25">
        <v>45422</v>
      </c>
      <c r="C10" s="24" t="s">
        <v>277</v>
      </c>
      <c r="D10" s="24" t="s">
        <v>266</v>
      </c>
      <c r="E10" s="26" t="s">
        <v>279</v>
      </c>
      <c r="F10" s="27">
        <v>22800</v>
      </c>
    </row>
    <row r="11" spans="1:8" hidden="1" x14ac:dyDescent="0.25">
      <c r="A11" s="24" t="s">
        <v>281</v>
      </c>
      <c r="B11" s="25">
        <v>45443</v>
      </c>
      <c r="C11" s="24" t="s">
        <v>265</v>
      </c>
      <c r="D11" s="24" t="s">
        <v>266</v>
      </c>
      <c r="E11" s="26" t="s">
        <v>279</v>
      </c>
      <c r="F11" s="27">
        <v>19050</v>
      </c>
    </row>
    <row r="12" spans="1:8" hidden="1" x14ac:dyDescent="0.25">
      <c r="A12" s="24" t="s">
        <v>282</v>
      </c>
      <c r="B12" s="25">
        <v>45469</v>
      </c>
      <c r="C12" s="24" t="s">
        <v>265</v>
      </c>
      <c r="D12" s="24" t="s">
        <v>266</v>
      </c>
      <c r="E12" s="26" t="s">
        <v>267</v>
      </c>
      <c r="F12" s="27">
        <v>34000</v>
      </c>
    </row>
    <row r="13" spans="1:8" hidden="1" x14ac:dyDescent="0.25">
      <c r="A13" s="24" t="s">
        <v>283</v>
      </c>
      <c r="B13" s="25">
        <v>45472</v>
      </c>
      <c r="C13" s="24" t="s">
        <v>335</v>
      </c>
      <c r="D13" s="24" t="s">
        <v>266</v>
      </c>
      <c r="E13" s="26" t="s">
        <v>267</v>
      </c>
      <c r="F13" s="27">
        <v>12540</v>
      </c>
    </row>
    <row r="14" spans="1:8" hidden="1" x14ac:dyDescent="0.25">
      <c r="A14" s="24" t="s">
        <v>284</v>
      </c>
      <c r="B14" s="25">
        <v>45484</v>
      </c>
      <c r="C14" s="24" t="s">
        <v>335</v>
      </c>
      <c r="D14" s="24" t="s">
        <v>266</v>
      </c>
      <c r="E14" s="26" t="s">
        <v>267</v>
      </c>
      <c r="F14" s="27">
        <v>18000</v>
      </c>
    </row>
    <row r="15" spans="1:8" hidden="1" x14ac:dyDescent="0.25">
      <c r="A15" s="24" t="s">
        <v>285</v>
      </c>
      <c r="B15" s="25">
        <v>45495</v>
      </c>
      <c r="C15" s="24" t="s">
        <v>277</v>
      </c>
      <c r="D15" s="24" t="s">
        <v>266</v>
      </c>
      <c r="E15" s="26" t="s">
        <v>73</v>
      </c>
      <c r="F15" s="27">
        <v>15200</v>
      </c>
    </row>
    <row r="16" spans="1:8" hidden="1" x14ac:dyDescent="0.25">
      <c r="A16" s="24" t="s">
        <v>286</v>
      </c>
      <c r="B16" s="25">
        <v>45517</v>
      </c>
      <c r="C16" s="24" t="s">
        <v>287</v>
      </c>
      <c r="D16" s="24" t="s">
        <v>266</v>
      </c>
      <c r="E16" s="26" t="s">
        <v>73</v>
      </c>
      <c r="F16" s="27">
        <v>14000</v>
      </c>
    </row>
    <row r="17" spans="1:6" hidden="1" x14ac:dyDescent="0.25">
      <c r="A17" s="24" t="s">
        <v>288</v>
      </c>
      <c r="B17" s="25">
        <v>45521</v>
      </c>
      <c r="C17" s="24" t="s">
        <v>287</v>
      </c>
      <c r="D17" s="24" t="s">
        <v>266</v>
      </c>
      <c r="E17" s="26" t="s">
        <v>73</v>
      </c>
      <c r="F17" s="27">
        <v>12970</v>
      </c>
    </row>
    <row r="18" spans="1:6" x14ac:dyDescent="0.25">
      <c r="A18" s="24" t="s">
        <v>289</v>
      </c>
      <c r="B18" s="25">
        <v>45540</v>
      </c>
      <c r="C18" s="24" t="s">
        <v>270</v>
      </c>
      <c r="D18" s="24" t="s">
        <v>278</v>
      </c>
      <c r="E18" s="26" t="s">
        <v>72</v>
      </c>
      <c r="F18" s="27">
        <v>-3100</v>
      </c>
    </row>
    <row r="19" spans="1:6" hidden="1" x14ac:dyDescent="0.25">
      <c r="A19" s="24" t="s">
        <v>290</v>
      </c>
      <c r="B19" s="25">
        <v>45547</v>
      </c>
      <c r="C19" s="24" t="s">
        <v>277</v>
      </c>
      <c r="D19" s="24" t="s">
        <v>266</v>
      </c>
      <c r="E19" s="26" t="s">
        <v>72</v>
      </c>
      <c r="F19" s="27">
        <v>28000</v>
      </c>
    </row>
    <row r="20" spans="1:6" hidden="1" x14ac:dyDescent="0.25">
      <c r="A20" s="24" t="s">
        <v>291</v>
      </c>
      <c r="B20" s="25">
        <v>45552</v>
      </c>
      <c r="C20" s="24" t="s">
        <v>275</v>
      </c>
      <c r="D20" s="24" t="s">
        <v>266</v>
      </c>
      <c r="E20" s="26" t="s">
        <v>72</v>
      </c>
      <c r="F20" s="27">
        <v>13200</v>
      </c>
    </row>
    <row r="21" spans="1:6" hidden="1" x14ac:dyDescent="0.25">
      <c r="A21" s="24" t="s">
        <v>292</v>
      </c>
      <c r="B21" s="25">
        <v>45573</v>
      </c>
      <c r="C21" s="24" t="s">
        <v>287</v>
      </c>
      <c r="D21" s="24" t="s">
        <v>278</v>
      </c>
      <c r="E21" s="26" t="s">
        <v>279</v>
      </c>
      <c r="F21" s="27">
        <v>2230</v>
      </c>
    </row>
    <row r="22" spans="1:6" hidden="1" x14ac:dyDescent="0.25">
      <c r="A22" s="24" t="s">
        <v>293</v>
      </c>
      <c r="B22" s="25">
        <v>45573</v>
      </c>
      <c r="C22" s="24" t="s">
        <v>275</v>
      </c>
      <c r="D22" s="24" t="s">
        <v>266</v>
      </c>
      <c r="E22" s="26" t="s">
        <v>279</v>
      </c>
      <c r="F22" s="27">
        <v>28800</v>
      </c>
    </row>
    <row r="23" spans="1:6" hidden="1" x14ac:dyDescent="0.25">
      <c r="A23" s="24" t="s">
        <v>294</v>
      </c>
      <c r="B23" s="25">
        <v>45596</v>
      </c>
      <c r="C23" s="24" t="s">
        <v>287</v>
      </c>
      <c r="D23" s="24" t="s">
        <v>266</v>
      </c>
      <c r="E23" s="26" t="s">
        <v>279</v>
      </c>
      <c r="F23" s="27">
        <v>25500</v>
      </c>
    </row>
    <row r="24" spans="1:6" hidden="1" x14ac:dyDescent="0.25">
      <c r="A24" s="24" t="s">
        <v>295</v>
      </c>
      <c r="B24" s="25">
        <v>45599</v>
      </c>
      <c r="C24" s="24" t="s">
        <v>335</v>
      </c>
      <c r="D24" s="24" t="s">
        <v>266</v>
      </c>
      <c r="E24" s="26" t="s">
        <v>267</v>
      </c>
      <c r="F24" s="27">
        <v>3120</v>
      </c>
    </row>
    <row r="25" spans="1:6" hidden="1" x14ac:dyDescent="0.25">
      <c r="A25" s="24" t="s">
        <v>296</v>
      </c>
      <c r="B25" s="25">
        <v>45411</v>
      </c>
      <c r="C25" s="24" t="s">
        <v>297</v>
      </c>
      <c r="D25" s="24" t="s">
        <v>266</v>
      </c>
      <c r="E25" s="26" t="s">
        <v>267</v>
      </c>
      <c r="F25" s="27">
        <v>15400</v>
      </c>
    </row>
    <row r="26" spans="1:6" hidden="1" x14ac:dyDescent="0.25">
      <c r="A26" s="24" t="s">
        <v>298</v>
      </c>
      <c r="B26" s="25">
        <v>45625</v>
      </c>
      <c r="C26" s="24" t="s">
        <v>265</v>
      </c>
      <c r="D26" s="24" t="s">
        <v>266</v>
      </c>
      <c r="E26" s="26" t="s">
        <v>267</v>
      </c>
      <c r="F26" s="27">
        <v>13200</v>
      </c>
    </row>
    <row r="27" spans="1:6" hidden="1" x14ac:dyDescent="0.25">
      <c r="A27" s="24" t="s">
        <v>299</v>
      </c>
      <c r="B27" s="25">
        <v>45651</v>
      </c>
      <c r="C27" s="24" t="s">
        <v>270</v>
      </c>
      <c r="D27" s="24" t="s">
        <v>266</v>
      </c>
      <c r="E27" s="26" t="s">
        <v>73</v>
      </c>
      <c r="F27" s="27">
        <v>8300</v>
      </c>
    </row>
    <row r="28" spans="1:6" hidden="1" x14ac:dyDescent="0.25">
      <c r="A28" s="24" t="s">
        <v>300</v>
      </c>
      <c r="B28" s="25">
        <v>45310</v>
      </c>
      <c r="C28" s="24" t="s">
        <v>335</v>
      </c>
      <c r="D28" s="24" t="s">
        <v>133</v>
      </c>
      <c r="E28" s="26" t="s">
        <v>73</v>
      </c>
      <c r="F28" s="27">
        <v>14440</v>
      </c>
    </row>
    <row r="29" spans="1:6" hidden="1" x14ac:dyDescent="0.25">
      <c r="A29" s="24" t="s">
        <v>301</v>
      </c>
      <c r="B29" s="25">
        <v>45311</v>
      </c>
      <c r="C29" s="24" t="s">
        <v>275</v>
      </c>
      <c r="D29" s="24" t="s">
        <v>278</v>
      </c>
      <c r="E29" s="26" t="s">
        <v>73</v>
      </c>
      <c r="F29" s="27">
        <v>3400</v>
      </c>
    </row>
    <row r="30" spans="1:6" hidden="1" x14ac:dyDescent="0.25">
      <c r="A30" s="24" t="s">
        <v>302</v>
      </c>
      <c r="B30" s="25">
        <v>45337</v>
      </c>
      <c r="C30" s="24" t="s">
        <v>335</v>
      </c>
      <c r="D30" s="24" t="s">
        <v>266</v>
      </c>
      <c r="E30" s="26" t="s">
        <v>72</v>
      </c>
      <c r="F30" s="27">
        <v>20100</v>
      </c>
    </row>
    <row r="31" spans="1:6" hidden="1" x14ac:dyDescent="0.25">
      <c r="A31" s="26" t="s">
        <v>264</v>
      </c>
      <c r="B31" s="28">
        <v>45444</v>
      </c>
      <c r="C31" s="26" t="s">
        <v>265</v>
      </c>
      <c r="D31" s="26" t="s">
        <v>303</v>
      </c>
      <c r="E31" s="26" t="s">
        <v>73</v>
      </c>
      <c r="F31" s="27">
        <v>8000</v>
      </c>
    </row>
    <row r="32" spans="1:6" hidden="1" x14ac:dyDescent="0.25">
      <c r="A32" s="26" t="s">
        <v>268</v>
      </c>
      <c r="B32" s="28">
        <v>45444</v>
      </c>
      <c r="C32" s="26" t="s">
        <v>265</v>
      </c>
      <c r="D32" s="26" t="s">
        <v>303</v>
      </c>
      <c r="E32" s="26" t="s">
        <v>73</v>
      </c>
      <c r="F32" s="27">
        <v>15000</v>
      </c>
    </row>
    <row r="33" spans="1:6" hidden="1" x14ac:dyDescent="0.25">
      <c r="A33" s="26" t="s">
        <v>269</v>
      </c>
      <c r="B33" s="28">
        <v>45447</v>
      </c>
      <c r="C33" s="26" t="s">
        <v>270</v>
      </c>
      <c r="D33" s="26" t="s">
        <v>266</v>
      </c>
      <c r="E33" s="26" t="s">
        <v>73</v>
      </c>
      <c r="F33" s="27">
        <v>11200</v>
      </c>
    </row>
    <row r="34" spans="1:6" hidden="1" x14ac:dyDescent="0.25">
      <c r="A34" s="26" t="s">
        <v>271</v>
      </c>
      <c r="B34" s="28">
        <v>45447</v>
      </c>
      <c r="C34" s="26" t="s">
        <v>270</v>
      </c>
      <c r="D34" s="26" t="s">
        <v>303</v>
      </c>
      <c r="E34" s="26" t="s">
        <v>72</v>
      </c>
      <c r="F34" s="27">
        <v>10200</v>
      </c>
    </row>
    <row r="35" spans="1:6" hidden="1" x14ac:dyDescent="0.25">
      <c r="A35" s="26" t="s">
        <v>272</v>
      </c>
      <c r="B35" s="28">
        <v>45447</v>
      </c>
      <c r="C35" s="26" t="s">
        <v>335</v>
      </c>
      <c r="D35" s="26" t="s">
        <v>133</v>
      </c>
      <c r="E35" s="26" t="s">
        <v>72</v>
      </c>
      <c r="F35" s="27">
        <v>17000</v>
      </c>
    </row>
    <row r="36" spans="1:6" hidden="1" x14ac:dyDescent="0.25">
      <c r="A36" s="26" t="s">
        <v>274</v>
      </c>
      <c r="B36" s="28">
        <v>45448</v>
      </c>
      <c r="C36" s="26" t="s">
        <v>275</v>
      </c>
      <c r="D36" s="26" t="s">
        <v>266</v>
      </c>
      <c r="E36" s="26" t="s">
        <v>279</v>
      </c>
      <c r="F36" s="27">
        <v>3000</v>
      </c>
    </row>
    <row r="37" spans="1:6" hidden="1" x14ac:dyDescent="0.25">
      <c r="A37" s="26" t="s">
        <v>273</v>
      </c>
      <c r="B37" s="28">
        <v>45448</v>
      </c>
      <c r="C37" s="26" t="s">
        <v>265</v>
      </c>
      <c r="D37" s="26" t="s">
        <v>303</v>
      </c>
      <c r="E37" s="26" t="s">
        <v>72</v>
      </c>
      <c r="F37" s="27">
        <v>17420</v>
      </c>
    </row>
    <row r="38" spans="1:6" hidden="1" x14ac:dyDescent="0.25">
      <c r="A38" s="26" t="s">
        <v>280</v>
      </c>
      <c r="B38" s="28">
        <v>45451</v>
      </c>
      <c r="C38" s="26" t="s">
        <v>277</v>
      </c>
      <c r="D38" s="26" t="s">
        <v>266</v>
      </c>
      <c r="E38" s="26" t="s">
        <v>279</v>
      </c>
      <c r="F38" s="27">
        <v>22800</v>
      </c>
    </row>
    <row r="39" spans="1:6" hidden="1" x14ac:dyDescent="0.25">
      <c r="A39" s="26" t="s">
        <v>276</v>
      </c>
      <c r="B39" s="28">
        <v>45451</v>
      </c>
      <c r="C39" s="26" t="s">
        <v>277</v>
      </c>
      <c r="D39" s="26" t="s">
        <v>303</v>
      </c>
      <c r="E39" s="26" t="s">
        <v>279</v>
      </c>
      <c r="F39" s="27">
        <v>8230</v>
      </c>
    </row>
    <row r="40" spans="1:6" hidden="1" x14ac:dyDescent="0.25">
      <c r="A40" s="26" t="s">
        <v>283</v>
      </c>
      <c r="B40" s="28">
        <v>45452</v>
      </c>
      <c r="C40" s="26" t="s">
        <v>335</v>
      </c>
      <c r="D40" s="26" t="s">
        <v>303</v>
      </c>
      <c r="E40" s="26" t="s">
        <v>267</v>
      </c>
      <c r="F40" s="27">
        <v>12540</v>
      </c>
    </row>
    <row r="41" spans="1:6" hidden="1" x14ac:dyDescent="0.25">
      <c r="A41" s="26" t="s">
        <v>282</v>
      </c>
      <c r="B41" s="28">
        <v>45452</v>
      </c>
      <c r="C41" s="26" t="s">
        <v>265</v>
      </c>
      <c r="D41" s="26" t="s">
        <v>266</v>
      </c>
      <c r="E41" s="26" t="s">
        <v>267</v>
      </c>
      <c r="F41" s="27">
        <v>34000</v>
      </c>
    </row>
    <row r="42" spans="1:6" hidden="1" x14ac:dyDescent="0.25">
      <c r="A42" s="26" t="s">
        <v>281</v>
      </c>
      <c r="B42" s="28">
        <v>45452</v>
      </c>
      <c r="C42" s="26" t="s">
        <v>265</v>
      </c>
      <c r="D42" s="26" t="s">
        <v>303</v>
      </c>
      <c r="E42" s="26" t="s">
        <v>267</v>
      </c>
      <c r="F42" s="27">
        <v>19050</v>
      </c>
    </row>
    <row r="43" spans="1:6" hidden="1" x14ac:dyDescent="0.25">
      <c r="A43" s="26" t="s">
        <v>284</v>
      </c>
      <c r="B43" s="28">
        <v>45454</v>
      </c>
      <c r="C43" s="26" t="s">
        <v>335</v>
      </c>
      <c r="D43" s="26" t="s">
        <v>303</v>
      </c>
      <c r="E43" s="26" t="s">
        <v>73</v>
      </c>
      <c r="F43" s="27">
        <v>18000</v>
      </c>
    </row>
    <row r="44" spans="1:6" hidden="1" x14ac:dyDescent="0.25">
      <c r="A44" s="26" t="s">
        <v>288</v>
      </c>
      <c r="B44" s="28">
        <v>45455</v>
      </c>
      <c r="C44" s="26" t="s">
        <v>287</v>
      </c>
      <c r="D44" s="26" t="s">
        <v>133</v>
      </c>
      <c r="E44" s="26" t="s">
        <v>72</v>
      </c>
      <c r="F44" s="27">
        <v>12970</v>
      </c>
    </row>
    <row r="45" spans="1:6" hidden="1" x14ac:dyDescent="0.25">
      <c r="A45" s="26" t="s">
        <v>286</v>
      </c>
      <c r="B45" s="28">
        <v>45455</v>
      </c>
      <c r="C45" s="26" t="s">
        <v>287</v>
      </c>
      <c r="D45" s="26" t="s">
        <v>303</v>
      </c>
      <c r="E45" s="26" t="s">
        <v>73</v>
      </c>
      <c r="F45" s="27">
        <v>14000</v>
      </c>
    </row>
    <row r="46" spans="1:6" hidden="1" x14ac:dyDescent="0.25">
      <c r="A46" s="26" t="s">
        <v>285</v>
      </c>
      <c r="B46" s="28">
        <v>45455</v>
      </c>
      <c r="C46" s="26" t="s">
        <v>277</v>
      </c>
      <c r="D46" s="26" t="s">
        <v>278</v>
      </c>
      <c r="E46" s="26" t="s">
        <v>73</v>
      </c>
      <c r="F46" s="27">
        <v>15200</v>
      </c>
    </row>
    <row r="47" spans="1:6" x14ac:dyDescent="0.25">
      <c r="A47" s="26" t="s">
        <v>289</v>
      </c>
      <c r="B47" s="28">
        <v>45456</v>
      </c>
      <c r="C47" s="26" t="s">
        <v>270</v>
      </c>
      <c r="D47" s="26" t="s">
        <v>278</v>
      </c>
      <c r="E47" s="26" t="s">
        <v>72</v>
      </c>
      <c r="F47" s="27">
        <v>-3100</v>
      </c>
    </row>
    <row r="48" spans="1:6" hidden="1" x14ac:dyDescent="0.25">
      <c r="A48" s="26" t="s">
        <v>291</v>
      </c>
      <c r="B48" s="28">
        <v>45456</v>
      </c>
      <c r="C48" s="26" t="s">
        <v>275</v>
      </c>
      <c r="D48" s="26" t="s">
        <v>303</v>
      </c>
      <c r="E48" s="26" t="s">
        <v>279</v>
      </c>
      <c r="F48" s="27">
        <v>13200</v>
      </c>
    </row>
    <row r="49" spans="1:6" hidden="1" x14ac:dyDescent="0.25">
      <c r="A49" s="26" t="s">
        <v>290</v>
      </c>
      <c r="B49" s="28">
        <v>45456</v>
      </c>
      <c r="C49" s="26" t="s">
        <v>277</v>
      </c>
      <c r="D49" s="26" t="s">
        <v>303</v>
      </c>
      <c r="E49" s="26" t="s">
        <v>72</v>
      </c>
      <c r="F49" s="27">
        <v>28000</v>
      </c>
    </row>
    <row r="50" spans="1:6" hidden="1" x14ac:dyDescent="0.25">
      <c r="A50" s="26" t="s">
        <v>292</v>
      </c>
      <c r="B50" s="28">
        <v>45457</v>
      </c>
      <c r="C50" s="26" t="s">
        <v>287</v>
      </c>
      <c r="D50" s="26" t="s">
        <v>266</v>
      </c>
      <c r="E50" s="26" t="s">
        <v>279</v>
      </c>
      <c r="F50" s="27">
        <v>2230</v>
      </c>
    </row>
    <row r="51" spans="1:6" hidden="1" x14ac:dyDescent="0.25">
      <c r="A51" s="26" t="s">
        <v>293</v>
      </c>
      <c r="B51" s="28">
        <v>45457</v>
      </c>
      <c r="C51" s="26" t="s">
        <v>275</v>
      </c>
      <c r="D51" s="26" t="s">
        <v>133</v>
      </c>
      <c r="E51" s="26" t="s">
        <v>279</v>
      </c>
      <c r="F51" s="27">
        <v>28800</v>
      </c>
    </row>
    <row r="52" spans="1:6" hidden="1" x14ac:dyDescent="0.25">
      <c r="A52" s="26" t="s">
        <v>294</v>
      </c>
      <c r="B52" s="28">
        <v>45458</v>
      </c>
      <c r="C52" s="26" t="s">
        <v>287</v>
      </c>
      <c r="D52" s="26" t="s">
        <v>303</v>
      </c>
      <c r="E52" s="26" t="s">
        <v>267</v>
      </c>
      <c r="F52" s="27">
        <v>25500</v>
      </c>
    </row>
    <row r="53" spans="1:6" hidden="1" x14ac:dyDescent="0.25">
      <c r="A53" s="26" t="s">
        <v>295</v>
      </c>
      <c r="B53" s="28">
        <v>45459</v>
      </c>
      <c r="C53" s="26" t="s">
        <v>335</v>
      </c>
      <c r="D53" s="26" t="s">
        <v>133</v>
      </c>
      <c r="E53" s="26" t="s">
        <v>267</v>
      </c>
      <c r="F53" s="27">
        <v>3120</v>
      </c>
    </row>
    <row r="54" spans="1:6" x14ac:dyDescent="0.25">
      <c r="A54" s="26" t="s">
        <v>298</v>
      </c>
      <c r="B54" s="28">
        <v>45459</v>
      </c>
      <c r="C54" s="26" t="s">
        <v>265</v>
      </c>
      <c r="D54" s="26" t="s">
        <v>278</v>
      </c>
      <c r="E54" s="26" t="s">
        <v>267</v>
      </c>
      <c r="F54" s="27">
        <v>13200</v>
      </c>
    </row>
    <row r="55" spans="1:6" hidden="1" x14ac:dyDescent="0.25">
      <c r="A55" s="26" t="s">
        <v>296</v>
      </c>
      <c r="B55" s="28">
        <v>45460</v>
      </c>
      <c r="C55" s="26" t="s">
        <v>297</v>
      </c>
      <c r="D55" s="26" t="s">
        <v>303</v>
      </c>
      <c r="E55" s="26" t="s">
        <v>73</v>
      </c>
      <c r="F55" s="27">
        <v>15400</v>
      </c>
    </row>
    <row r="56" spans="1:6" hidden="1" x14ac:dyDescent="0.25">
      <c r="A56" s="26" t="s">
        <v>299</v>
      </c>
      <c r="B56" s="28">
        <v>45462</v>
      </c>
      <c r="C56" s="26" t="s">
        <v>270</v>
      </c>
      <c r="D56" s="26" t="s">
        <v>133</v>
      </c>
      <c r="E56" s="26" t="s">
        <v>73</v>
      </c>
      <c r="F56" s="27">
        <v>8300</v>
      </c>
    </row>
    <row r="57" spans="1:6" hidden="1" x14ac:dyDescent="0.25">
      <c r="A57" s="26" t="s">
        <v>300</v>
      </c>
      <c r="B57" s="28">
        <v>45462</v>
      </c>
      <c r="C57" s="26" t="s">
        <v>335</v>
      </c>
      <c r="D57" s="26" t="s">
        <v>278</v>
      </c>
      <c r="E57" s="26" t="s">
        <v>73</v>
      </c>
      <c r="F57" s="27">
        <v>14440</v>
      </c>
    </row>
    <row r="58" spans="1:6" hidden="1" x14ac:dyDescent="0.25">
      <c r="A58" s="26" t="s">
        <v>302</v>
      </c>
      <c r="B58" s="28">
        <v>45462</v>
      </c>
      <c r="C58" s="26" t="s">
        <v>335</v>
      </c>
      <c r="D58" s="26" t="s">
        <v>303</v>
      </c>
      <c r="E58" s="26" t="s">
        <v>72</v>
      </c>
      <c r="F58" s="27">
        <v>20100</v>
      </c>
    </row>
    <row r="59" spans="1:6" hidden="1" x14ac:dyDescent="0.25">
      <c r="A59" s="26" t="s">
        <v>301</v>
      </c>
      <c r="B59" s="28">
        <v>45462</v>
      </c>
      <c r="C59" s="26" t="s">
        <v>275</v>
      </c>
      <c r="D59" s="26" t="s">
        <v>303</v>
      </c>
      <c r="E59" s="26" t="s">
        <v>72</v>
      </c>
      <c r="F59" s="27">
        <v>3400</v>
      </c>
    </row>
    <row r="60" spans="1:6" hidden="1" x14ac:dyDescent="0.25">
      <c r="A60" s="26" t="s">
        <v>304</v>
      </c>
      <c r="B60" s="28">
        <v>45462</v>
      </c>
      <c r="C60" s="26" t="s">
        <v>297</v>
      </c>
      <c r="D60" s="26" t="s">
        <v>303</v>
      </c>
      <c r="E60" s="26" t="s">
        <v>72</v>
      </c>
      <c r="F60" s="27">
        <v>12000</v>
      </c>
    </row>
    <row r="61" spans="1:6" hidden="1" x14ac:dyDescent="0.25">
      <c r="A61" s="26" t="s">
        <v>305</v>
      </c>
      <c r="B61" s="28">
        <v>45463</v>
      </c>
      <c r="C61" s="26" t="s">
        <v>277</v>
      </c>
      <c r="D61" s="26" t="s">
        <v>303</v>
      </c>
      <c r="E61" s="26" t="s">
        <v>279</v>
      </c>
      <c r="F61" s="27">
        <v>8000</v>
      </c>
    </row>
    <row r="62" spans="1:6" hidden="1" x14ac:dyDescent="0.25">
      <c r="A62" s="26" t="s">
        <v>306</v>
      </c>
      <c r="B62" s="28">
        <v>45463</v>
      </c>
      <c r="C62" s="26" t="s">
        <v>265</v>
      </c>
      <c r="D62" s="26" t="s">
        <v>133</v>
      </c>
      <c r="E62" s="26" t="s">
        <v>279</v>
      </c>
      <c r="F62" s="27">
        <v>15000</v>
      </c>
    </row>
    <row r="63" spans="1:6" x14ac:dyDescent="0.25">
      <c r="A63" s="26" t="s">
        <v>307</v>
      </c>
      <c r="B63" s="28">
        <v>45464</v>
      </c>
      <c r="C63" s="26" t="s">
        <v>265</v>
      </c>
      <c r="D63" s="26" t="s">
        <v>278</v>
      </c>
      <c r="E63" s="26" t="s">
        <v>279</v>
      </c>
      <c r="F63" s="27">
        <v>11200</v>
      </c>
    </row>
    <row r="64" spans="1:6" hidden="1" x14ac:dyDescent="0.25">
      <c r="A64" s="26" t="s">
        <v>308</v>
      </c>
      <c r="B64" s="28">
        <v>45465</v>
      </c>
      <c r="C64" s="26" t="s">
        <v>335</v>
      </c>
      <c r="D64" s="26" t="s">
        <v>303</v>
      </c>
      <c r="E64" s="26" t="s">
        <v>267</v>
      </c>
      <c r="F64" s="27">
        <v>10200</v>
      </c>
    </row>
    <row r="65" spans="1:6" hidden="1" x14ac:dyDescent="0.25">
      <c r="A65" s="26" t="s">
        <v>309</v>
      </c>
      <c r="B65" s="28">
        <v>45465</v>
      </c>
      <c r="C65" s="26" t="s">
        <v>335</v>
      </c>
      <c r="D65" s="26" t="s">
        <v>303</v>
      </c>
      <c r="E65" s="26" t="s">
        <v>267</v>
      </c>
      <c r="F65" s="27">
        <v>17000</v>
      </c>
    </row>
    <row r="66" spans="1:6" hidden="1" x14ac:dyDescent="0.25">
      <c r="A66" s="26" t="s">
        <v>310</v>
      </c>
      <c r="B66" s="28">
        <v>45466</v>
      </c>
      <c r="C66" s="26" t="s">
        <v>287</v>
      </c>
      <c r="D66" s="26" t="s">
        <v>133</v>
      </c>
      <c r="E66" s="26" t="s">
        <v>73</v>
      </c>
      <c r="F66" s="27">
        <v>8230</v>
      </c>
    </row>
    <row r="67" spans="1:6" hidden="1" x14ac:dyDescent="0.25">
      <c r="A67" s="26" t="s">
        <v>311</v>
      </c>
      <c r="B67" s="28">
        <v>45466</v>
      </c>
      <c r="C67" s="26" t="s">
        <v>287</v>
      </c>
      <c r="D67" s="26" t="s">
        <v>303</v>
      </c>
      <c r="E67" s="26" t="s">
        <v>73</v>
      </c>
      <c r="F67" s="27">
        <v>3000</v>
      </c>
    </row>
    <row r="68" spans="1:6" hidden="1" x14ac:dyDescent="0.25">
      <c r="A68" s="26" t="s">
        <v>312</v>
      </c>
      <c r="B68" s="28">
        <v>45466</v>
      </c>
      <c r="C68" s="26" t="s">
        <v>277</v>
      </c>
      <c r="D68" s="26" t="s">
        <v>133</v>
      </c>
      <c r="E68" s="26" t="s">
        <v>267</v>
      </c>
      <c r="F68" s="27">
        <v>17420</v>
      </c>
    </row>
    <row r="69" spans="1:6" hidden="1" x14ac:dyDescent="0.25">
      <c r="A69" s="26" t="s">
        <v>313</v>
      </c>
      <c r="B69" s="28">
        <v>45468</v>
      </c>
      <c r="C69" s="26" t="s">
        <v>270</v>
      </c>
      <c r="D69" s="26" t="s">
        <v>303</v>
      </c>
      <c r="E69" s="26" t="s">
        <v>73</v>
      </c>
      <c r="F69" s="27">
        <v>22800</v>
      </c>
    </row>
    <row r="70" spans="1:6" hidden="1" x14ac:dyDescent="0.25">
      <c r="A70" s="26" t="s">
        <v>314</v>
      </c>
      <c r="B70" s="28">
        <v>45408</v>
      </c>
      <c r="C70" s="26" t="s">
        <v>275</v>
      </c>
      <c r="D70" s="26" t="s">
        <v>303</v>
      </c>
      <c r="E70" s="26" t="s">
        <v>72</v>
      </c>
      <c r="F70" s="27">
        <v>34000</v>
      </c>
    </row>
    <row r="71" spans="1:6" hidden="1" x14ac:dyDescent="0.25">
      <c r="A71" s="26" t="s">
        <v>315</v>
      </c>
      <c r="B71" s="28">
        <v>45468</v>
      </c>
      <c r="C71" s="26" t="s">
        <v>277</v>
      </c>
      <c r="D71" s="26" t="s">
        <v>303</v>
      </c>
      <c r="E71" s="26" t="s">
        <v>72</v>
      </c>
      <c r="F71" s="27">
        <v>19050</v>
      </c>
    </row>
    <row r="72" spans="1:6" hidden="1" x14ac:dyDescent="0.25">
      <c r="A72" s="26" t="s">
        <v>316</v>
      </c>
      <c r="B72" s="28">
        <v>45469</v>
      </c>
      <c r="C72" s="26" t="s">
        <v>335</v>
      </c>
      <c r="D72" s="26" t="s">
        <v>278</v>
      </c>
      <c r="E72" s="26" t="s">
        <v>279</v>
      </c>
      <c r="F72" s="27">
        <v>14000</v>
      </c>
    </row>
    <row r="73" spans="1:6" hidden="1" x14ac:dyDescent="0.25">
      <c r="A73" s="26" t="s">
        <v>317</v>
      </c>
      <c r="B73" s="28">
        <v>45469</v>
      </c>
      <c r="C73" s="26" t="s">
        <v>287</v>
      </c>
      <c r="D73" s="26" t="s">
        <v>266</v>
      </c>
      <c r="E73" s="26" t="s">
        <v>72</v>
      </c>
      <c r="F73" s="27">
        <v>12540</v>
      </c>
    </row>
    <row r="74" spans="1:6" hidden="1" x14ac:dyDescent="0.25">
      <c r="A74" s="26" t="s">
        <v>318</v>
      </c>
      <c r="B74" s="28">
        <v>45469</v>
      </c>
      <c r="C74" s="26" t="s">
        <v>287</v>
      </c>
      <c r="D74" s="26" t="s">
        <v>303</v>
      </c>
      <c r="E74" s="26" t="s">
        <v>279</v>
      </c>
      <c r="F74" s="27">
        <v>15200</v>
      </c>
    </row>
    <row r="75" spans="1:6" hidden="1" x14ac:dyDescent="0.25">
      <c r="A75" s="26" t="s">
        <v>319</v>
      </c>
      <c r="B75" s="28">
        <v>45469</v>
      </c>
      <c r="C75" s="26" t="s">
        <v>275</v>
      </c>
      <c r="D75" s="26" t="s">
        <v>133</v>
      </c>
      <c r="E75" s="26" t="s">
        <v>279</v>
      </c>
      <c r="F75" s="27">
        <v>18000</v>
      </c>
    </row>
    <row r="76" spans="1:6" hidden="1" x14ac:dyDescent="0.25">
      <c r="A76" s="26" t="s">
        <v>320</v>
      </c>
      <c r="B76" s="28">
        <v>45470</v>
      </c>
      <c r="C76" s="26" t="s">
        <v>270</v>
      </c>
      <c r="D76" s="26" t="s">
        <v>303</v>
      </c>
      <c r="E76" s="26" t="s">
        <v>267</v>
      </c>
      <c r="F76" s="27">
        <v>13200</v>
      </c>
    </row>
    <row r="77" spans="1:6" hidden="1" x14ac:dyDescent="0.25">
      <c r="A77" s="26" t="s">
        <v>321</v>
      </c>
      <c r="B77" s="28">
        <v>45470</v>
      </c>
      <c r="C77" s="26" t="s">
        <v>335</v>
      </c>
      <c r="D77" s="26" t="s">
        <v>303</v>
      </c>
      <c r="E77" s="26" t="s">
        <v>73</v>
      </c>
      <c r="F77" s="27">
        <v>2230</v>
      </c>
    </row>
    <row r="78" spans="1:6" hidden="1" x14ac:dyDescent="0.25">
      <c r="A78" s="26" t="s">
        <v>322</v>
      </c>
      <c r="B78" s="28">
        <v>45470</v>
      </c>
      <c r="C78" s="26" t="s">
        <v>275</v>
      </c>
      <c r="D78" s="26" t="s">
        <v>266</v>
      </c>
      <c r="E78" s="26" t="s">
        <v>73</v>
      </c>
      <c r="F78" s="27">
        <v>28800</v>
      </c>
    </row>
    <row r="79" spans="1:6" hidden="1" x14ac:dyDescent="0.25">
      <c r="A79" s="26" t="s">
        <v>323</v>
      </c>
      <c r="B79" s="28">
        <v>45470</v>
      </c>
      <c r="C79" s="26" t="s">
        <v>297</v>
      </c>
      <c r="D79" s="26" t="s">
        <v>133</v>
      </c>
      <c r="E79" s="26" t="s">
        <v>267</v>
      </c>
      <c r="F79" s="27">
        <v>28000</v>
      </c>
    </row>
    <row r="80" spans="1:6" hidden="1" x14ac:dyDescent="0.25">
      <c r="A80" s="26" t="s">
        <v>324</v>
      </c>
      <c r="B80" s="28">
        <v>45470</v>
      </c>
      <c r="C80" s="26" t="s">
        <v>265</v>
      </c>
      <c r="D80" s="26" t="s">
        <v>303</v>
      </c>
      <c r="E80" s="26" t="s">
        <v>267</v>
      </c>
      <c r="F80" s="27">
        <v>12970</v>
      </c>
    </row>
    <row r="81" spans="1:6" hidden="1" x14ac:dyDescent="0.25">
      <c r="A81" s="26" t="s">
        <v>325</v>
      </c>
      <c r="B81" s="28">
        <v>45471</v>
      </c>
      <c r="C81" s="26" t="s">
        <v>335</v>
      </c>
      <c r="D81" s="26" t="s">
        <v>303</v>
      </c>
      <c r="E81" s="26" t="s">
        <v>73</v>
      </c>
      <c r="F81" s="27">
        <v>25500</v>
      </c>
    </row>
    <row r="82" spans="1:6" hidden="1" x14ac:dyDescent="0.25">
      <c r="A82" s="26" t="s">
        <v>326</v>
      </c>
      <c r="B82" s="28">
        <v>45471</v>
      </c>
      <c r="C82" s="26" t="s">
        <v>297</v>
      </c>
      <c r="D82" s="26" t="s">
        <v>133</v>
      </c>
      <c r="E82" s="26" t="s">
        <v>72</v>
      </c>
      <c r="F82" s="27">
        <v>3120</v>
      </c>
    </row>
    <row r="83" spans="1:6" hidden="1" x14ac:dyDescent="0.25">
      <c r="A83" s="26" t="s">
        <v>327</v>
      </c>
      <c r="B83" s="28">
        <v>45471</v>
      </c>
      <c r="C83" s="26" t="s">
        <v>265</v>
      </c>
      <c r="D83" s="26" t="s">
        <v>303</v>
      </c>
      <c r="E83" s="26" t="s">
        <v>72</v>
      </c>
      <c r="F83" s="27">
        <v>13200</v>
      </c>
    </row>
    <row r="84" spans="1:6" hidden="1" x14ac:dyDescent="0.25">
      <c r="A84" s="26" t="s">
        <v>328</v>
      </c>
      <c r="B84" s="28">
        <v>45472</v>
      </c>
      <c r="C84" s="26" t="s">
        <v>287</v>
      </c>
      <c r="D84" s="26" t="s">
        <v>303</v>
      </c>
      <c r="E84" s="26" t="s">
        <v>279</v>
      </c>
      <c r="F84" s="27">
        <v>8300</v>
      </c>
    </row>
    <row r="85" spans="1:6" x14ac:dyDescent="0.25">
      <c r="A85" s="26" t="s">
        <v>329</v>
      </c>
      <c r="B85" s="28">
        <v>45472</v>
      </c>
      <c r="C85" s="26" t="s">
        <v>265</v>
      </c>
      <c r="D85" s="26" t="s">
        <v>278</v>
      </c>
      <c r="E85" s="26" t="s">
        <v>72</v>
      </c>
      <c r="F85" s="27">
        <v>15400</v>
      </c>
    </row>
    <row r="86" spans="1:6" hidden="1" x14ac:dyDescent="0.25">
      <c r="A86" s="26" t="s">
        <v>330</v>
      </c>
      <c r="B86" s="28">
        <v>45473</v>
      </c>
      <c r="C86" s="26" t="s">
        <v>270</v>
      </c>
      <c r="D86" s="26" t="s">
        <v>303</v>
      </c>
      <c r="E86" s="26" t="s">
        <v>267</v>
      </c>
      <c r="F86" s="27">
        <v>12000</v>
      </c>
    </row>
    <row r="87" spans="1:6" hidden="1" x14ac:dyDescent="0.25">
      <c r="A87" s="26" t="s">
        <v>331</v>
      </c>
      <c r="B87" s="28">
        <v>45473</v>
      </c>
      <c r="C87" s="26" t="s">
        <v>335</v>
      </c>
      <c r="D87" s="26" t="s">
        <v>303</v>
      </c>
      <c r="E87" s="26" t="s">
        <v>267</v>
      </c>
      <c r="F87" s="27">
        <v>20100</v>
      </c>
    </row>
    <row r="88" spans="1:6" hidden="1" x14ac:dyDescent="0.25">
      <c r="A88" s="26" t="s">
        <v>332</v>
      </c>
      <c r="B88" s="28">
        <v>45442</v>
      </c>
      <c r="C88" s="26" t="s">
        <v>287</v>
      </c>
      <c r="D88" s="26" t="s">
        <v>303</v>
      </c>
      <c r="E88" s="26" t="s">
        <v>279</v>
      </c>
      <c r="F88" s="27">
        <v>3400</v>
      </c>
    </row>
    <row r="89" spans="1:6" hidden="1" x14ac:dyDescent="0.25">
      <c r="A89" s="26" t="s">
        <v>333</v>
      </c>
      <c r="B89" s="28">
        <v>45473</v>
      </c>
      <c r="C89" s="26" t="s">
        <v>275</v>
      </c>
      <c r="D89" s="26" t="s">
        <v>278</v>
      </c>
      <c r="E89" s="26" t="s">
        <v>279</v>
      </c>
      <c r="F89" s="27">
        <v>14440</v>
      </c>
    </row>
    <row r="90" spans="1:6" hidden="1" x14ac:dyDescent="0.25">
      <c r="A90" s="24" t="s">
        <v>304</v>
      </c>
      <c r="B90" s="25">
        <v>45351</v>
      </c>
      <c r="C90" s="24" t="s">
        <v>297</v>
      </c>
      <c r="D90" s="24" t="s">
        <v>266</v>
      </c>
      <c r="E90" s="26" t="s">
        <v>72</v>
      </c>
      <c r="F90" s="27">
        <v>12000</v>
      </c>
    </row>
  </sheetData>
  <autoFilter ref="A1:F90" xr:uid="{00000000-0001-0000-0000-000000000000}">
    <filterColumn colId="2">
      <filters>
        <filter val="Colombo"/>
        <filter val="TI Sado"/>
      </filters>
    </filterColumn>
    <filterColumn colId="3">
      <filters>
        <filter val="Finança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9BB1-5B38-4C9F-8F08-DCA875CB0DCD}">
  <sheetPr filterMode="1"/>
  <dimension ref="A1:H90"/>
  <sheetViews>
    <sheetView workbookViewId="0"/>
  </sheetViews>
  <sheetFormatPr defaultRowHeight="15" x14ac:dyDescent="0.25"/>
  <cols>
    <col min="1" max="1" width="11.7109375" style="26" customWidth="1"/>
    <col min="2" max="2" width="11.7109375" style="28" customWidth="1"/>
    <col min="3" max="3" width="20.7109375" style="26" customWidth="1"/>
    <col min="4" max="4" width="17.5703125" style="26" bestFit="1" customWidth="1"/>
    <col min="5" max="5" width="14.85546875" style="26" customWidth="1"/>
    <col min="6" max="6" width="14.7109375" style="27" customWidth="1"/>
    <col min="8" max="8" width="25.28515625" customWidth="1"/>
  </cols>
  <sheetData>
    <row r="1" spans="1:8" x14ac:dyDescent="0.25">
      <c r="A1" s="21" t="s">
        <v>262</v>
      </c>
      <c r="B1" s="22" t="s">
        <v>0</v>
      </c>
      <c r="C1" s="21" t="s">
        <v>80</v>
      </c>
      <c r="D1" s="21" t="s">
        <v>263</v>
      </c>
      <c r="E1" s="21" t="s">
        <v>71</v>
      </c>
      <c r="F1" s="23" t="s">
        <v>27</v>
      </c>
      <c r="H1" s="12"/>
    </row>
    <row r="2" spans="1:8" hidden="1" x14ac:dyDescent="0.25">
      <c r="A2" s="24" t="s">
        <v>264</v>
      </c>
      <c r="B2" s="25">
        <v>45314</v>
      </c>
      <c r="C2" s="24" t="s">
        <v>265</v>
      </c>
      <c r="D2" s="24" t="s">
        <v>266</v>
      </c>
      <c r="E2" s="26" t="s">
        <v>267</v>
      </c>
      <c r="F2" s="27">
        <v>8000</v>
      </c>
    </row>
    <row r="3" spans="1:8" hidden="1" x14ac:dyDescent="0.25">
      <c r="A3" s="24" t="s">
        <v>268</v>
      </c>
      <c r="B3" s="25">
        <v>45340</v>
      </c>
      <c r="C3" s="24" t="s">
        <v>265</v>
      </c>
      <c r="D3" s="24" t="s">
        <v>266</v>
      </c>
      <c r="E3" s="26" t="s">
        <v>73</v>
      </c>
      <c r="F3" s="27">
        <v>15000</v>
      </c>
    </row>
    <row r="4" spans="1:8" hidden="1" x14ac:dyDescent="0.25">
      <c r="A4" s="24" t="s">
        <v>269</v>
      </c>
      <c r="B4" s="25">
        <v>45365</v>
      </c>
      <c r="C4" s="24" t="s">
        <v>270</v>
      </c>
      <c r="D4" s="24" t="s">
        <v>266</v>
      </c>
      <c r="E4" s="26" t="s">
        <v>73</v>
      </c>
      <c r="F4" s="27">
        <v>11200</v>
      </c>
      <c r="H4" s="12" t="s">
        <v>70</v>
      </c>
    </row>
    <row r="5" spans="1:8" hidden="1" x14ac:dyDescent="0.25">
      <c r="A5" s="24" t="s">
        <v>271</v>
      </c>
      <c r="B5" s="25">
        <v>45370</v>
      </c>
      <c r="C5" s="24" t="s">
        <v>270</v>
      </c>
      <c r="D5" s="24" t="s">
        <v>266</v>
      </c>
      <c r="E5" s="26" t="s">
        <v>73</v>
      </c>
      <c r="F5" s="27">
        <v>10200</v>
      </c>
      <c r="H5" t="s">
        <v>120</v>
      </c>
    </row>
    <row r="6" spans="1:8" hidden="1" x14ac:dyDescent="0.25">
      <c r="A6" s="24" t="s">
        <v>272</v>
      </c>
      <c r="B6" s="25">
        <v>45391</v>
      </c>
      <c r="C6" s="24" t="s">
        <v>335</v>
      </c>
      <c r="D6" s="24" t="s">
        <v>266</v>
      </c>
      <c r="E6" s="26" t="s">
        <v>72</v>
      </c>
      <c r="F6" s="27">
        <v>17000</v>
      </c>
    </row>
    <row r="7" spans="1:8" hidden="1" x14ac:dyDescent="0.25">
      <c r="A7" s="24" t="s">
        <v>273</v>
      </c>
      <c r="B7" s="25">
        <v>45404</v>
      </c>
      <c r="C7" s="24" t="s">
        <v>265</v>
      </c>
      <c r="D7" s="24" t="s">
        <v>266</v>
      </c>
      <c r="E7" s="26" t="s">
        <v>72</v>
      </c>
      <c r="F7" s="27">
        <v>17420</v>
      </c>
      <c r="H7" s="29" t="s">
        <v>338</v>
      </c>
    </row>
    <row r="8" spans="1:8" x14ac:dyDescent="0.25">
      <c r="A8" s="24" t="s">
        <v>274</v>
      </c>
      <c r="B8" s="25">
        <v>45417</v>
      </c>
      <c r="C8" s="24" t="s">
        <v>275</v>
      </c>
      <c r="D8" s="24" t="s">
        <v>133</v>
      </c>
      <c r="E8" s="26" t="s">
        <v>72</v>
      </c>
      <c r="F8" s="27">
        <v>3000</v>
      </c>
      <c r="H8" s="29" t="s">
        <v>349</v>
      </c>
    </row>
    <row r="9" spans="1:8" x14ac:dyDescent="0.25">
      <c r="A9" s="24" t="s">
        <v>276</v>
      </c>
      <c r="B9" s="25">
        <v>45419</v>
      </c>
      <c r="C9" s="24" t="s">
        <v>277</v>
      </c>
      <c r="D9" s="24" t="s">
        <v>278</v>
      </c>
      <c r="E9" s="26" t="s">
        <v>279</v>
      </c>
      <c r="F9" s="27">
        <v>8230</v>
      </c>
    </row>
    <row r="10" spans="1:8" x14ac:dyDescent="0.25">
      <c r="A10" s="24" t="s">
        <v>280</v>
      </c>
      <c r="B10" s="25">
        <v>45422</v>
      </c>
      <c r="C10" s="24" t="s">
        <v>277</v>
      </c>
      <c r="D10" s="24" t="s">
        <v>266</v>
      </c>
      <c r="E10" s="26" t="s">
        <v>279</v>
      </c>
      <c r="F10" s="27">
        <v>22800</v>
      </c>
    </row>
    <row r="11" spans="1:8" hidden="1" x14ac:dyDescent="0.25">
      <c r="A11" s="24" t="s">
        <v>281</v>
      </c>
      <c r="B11" s="25">
        <v>45443</v>
      </c>
      <c r="C11" s="24" t="s">
        <v>265</v>
      </c>
      <c r="D11" s="24" t="s">
        <v>266</v>
      </c>
      <c r="E11" s="26" t="s">
        <v>279</v>
      </c>
      <c r="F11" s="27">
        <v>19050</v>
      </c>
    </row>
    <row r="12" spans="1:8" hidden="1" x14ac:dyDescent="0.25">
      <c r="A12" s="24" t="s">
        <v>282</v>
      </c>
      <c r="B12" s="25">
        <v>45469</v>
      </c>
      <c r="C12" s="24" t="s">
        <v>265</v>
      </c>
      <c r="D12" s="24" t="s">
        <v>266</v>
      </c>
      <c r="E12" s="26" t="s">
        <v>267</v>
      </c>
      <c r="F12" s="27">
        <v>34000</v>
      </c>
    </row>
    <row r="13" spans="1:8" hidden="1" x14ac:dyDescent="0.25">
      <c r="A13" s="24" t="s">
        <v>283</v>
      </c>
      <c r="B13" s="25">
        <v>45472</v>
      </c>
      <c r="C13" s="24" t="s">
        <v>335</v>
      </c>
      <c r="D13" s="24" t="s">
        <v>266</v>
      </c>
      <c r="E13" s="26" t="s">
        <v>267</v>
      </c>
      <c r="F13" s="27">
        <v>12540</v>
      </c>
    </row>
    <row r="14" spans="1:8" hidden="1" x14ac:dyDescent="0.25">
      <c r="A14" s="24" t="s">
        <v>284</v>
      </c>
      <c r="B14" s="25">
        <v>45484</v>
      </c>
      <c r="C14" s="24" t="s">
        <v>335</v>
      </c>
      <c r="D14" s="24" t="s">
        <v>266</v>
      </c>
      <c r="E14" s="26" t="s">
        <v>267</v>
      </c>
      <c r="F14" s="27">
        <v>18000</v>
      </c>
    </row>
    <row r="15" spans="1:8" hidden="1" x14ac:dyDescent="0.25">
      <c r="A15" s="24" t="s">
        <v>285</v>
      </c>
      <c r="B15" s="25">
        <v>45495</v>
      </c>
      <c r="C15" s="24" t="s">
        <v>277</v>
      </c>
      <c r="D15" s="24" t="s">
        <v>266</v>
      </c>
      <c r="E15" s="26" t="s">
        <v>73</v>
      </c>
      <c r="F15" s="27">
        <v>15200</v>
      </c>
    </row>
    <row r="16" spans="1:8" hidden="1" x14ac:dyDescent="0.25">
      <c r="A16" s="24" t="s">
        <v>286</v>
      </c>
      <c r="B16" s="25">
        <v>45517</v>
      </c>
      <c r="C16" s="24" t="s">
        <v>287</v>
      </c>
      <c r="D16" s="24" t="s">
        <v>266</v>
      </c>
      <c r="E16" s="26" t="s">
        <v>73</v>
      </c>
      <c r="F16" s="27">
        <v>14000</v>
      </c>
    </row>
    <row r="17" spans="1:6" hidden="1" x14ac:dyDescent="0.25">
      <c r="A17" s="24" t="s">
        <v>288</v>
      </c>
      <c r="B17" s="25">
        <v>45521</v>
      </c>
      <c r="C17" s="24" t="s">
        <v>287</v>
      </c>
      <c r="D17" s="24" t="s">
        <v>266</v>
      </c>
      <c r="E17" s="26" t="s">
        <v>73</v>
      </c>
      <c r="F17" s="27">
        <v>12970</v>
      </c>
    </row>
    <row r="18" spans="1:6" hidden="1" x14ac:dyDescent="0.25">
      <c r="A18" s="24" t="s">
        <v>289</v>
      </c>
      <c r="B18" s="25">
        <v>45540</v>
      </c>
      <c r="C18" s="24" t="s">
        <v>270</v>
      </c>
      <c r="D18" s="24" t="s">
        <v>278</v>
      </c>
      <c r="E18" s="26" t="s">
        <v>72</v>
      </c>
      <c r="F18" s="27">
        <v>-3100</v>
      </c>
    </row>
    <row r="19" spans="1:6" hidden="1" x14ac:dyDescent="0.25">
      <c r="A19" s="24" t="s">
        <v>290</v>
      </c>
      <c r="B19" s="25">
        <v>45547</v>
      </c>
      <c r="C19" s="24" t="s">
        <v>277</v>
      </c>
      <c r="D19" s="24" t="s">
        <v>266</v>
      </c>
      <c r="E19" s="26" t="s">
        <v>72</v>
      </c>
      <c r="F19" s="27">
        <v>28000</v>
      </c>
    </row>
    <row r="20" spans="1:6" hidden="1" x14ac:dyDescent="0.25">
      <c r="A20" s="24" t="s">
        <v>291</v>
      </c>
      <c r="B20" s="25">
        <v>45552</v>
      </c>
      <c r="C20" s="24" t="s">
        <v>275</v>
      </c>
      <c r="D20" s="24" t="s">
        <v>266</v>
      </c>
      <c r="E20" s="26" t="s">
        <v>72</v>
      </c>
      <c r="F20" s="27">
        <v>13200</v>
      </c>
    </row>
    <row r="21" spans="1:6" hidden="1" x14ac:dyDescent="0.25">
      <c r="A21" s="24" t="s">
        <v>292</v>
      </c>
      <c r="B21" s="25">
        <v>45573</v>
      </c>
      <c r="C21" s="24" t="s">
        <v>287</v>
      </c>
      <c r="D21" s="24" t="s">
        <v>278</v>
      </c>
      <c r="E21" s="26" t="s">
        <v>279</v>
      </c>
      <c r="F21" s="27">
        <v>2230</v>
      </c>
    </row>
    <row r="22" spans="1:6" hidden="1" x14ac:dyDescent="0.25">
      <c r="A22" s="24" t="s">
        <v>293</v>
      </c>
      <c r="B22" s="25">
        <v>45573</v>
      </c>
      <c r="C22" s="24" t="s">
        <v>275</v>
      </c>
      <c r="D22" s="24" t="s">
        <v>266</v>
      </c>
      <c r="E22" s="26" t="s">
        <v>279</v>
      </c>
      <c r="F22" s="27">
        <v>28800</v>
      </c>
    </row>
    <row r="23" spans="1:6" hidden="1" x14ac:dyDescent="0.25">
      <c r="A23" s="24" t="s">
        <v>294</v>
      </c>
      <c r="B23" s="25">
        <v>45596</v>
      </c>
      <c r="C23" s="24" t="s">
        <v>287</v>
      </c>
      <c r="D23" s="24" t="s">
        <v>266</v>
      </c>
      <c r="E23" s="26" t="s">
        <v>279</v>
      </c>
      <c r="F23" s="27">
        <v>25500</v>
      </c>
    </row>
    <row r="24" spans="1:6" hidden="1" x14ac:dyDescent="0.25">
      <c r="A24" s="24" t="s">
        <v>295</v>
      </c>
      <c r="B24" s="25">
        <v>45599</v>
      </c>
      <c r="C24" s="24" t="s">
        <v>335</v>
      </c>
      <c r="D24" s="24" t="s">
        <v>266</v>
      </c>
      <c r="E24" s="26" t="s">
        <v>267</v>
      </c>
      <c r="F24" s="27">
        <v>3120</v>
      </c>
    </row>
    <row r="25" spans="1:6" x14ac:dyDescent="0.25">
      <c r="A25" s="24" t="s">
        <v>296</v>
      </c>
      <c r="B25" s="25">
        <v>45411</v>
      </c>
      <c r="C25" s="24" t="s">
        <v>297</v>
      </c>
      <c r="D25" s="24" t="s">
        <v>266</v>
      </c>
      <c r="E25" s="26" t="s">
        <v>267</v>
      </c>
      <c r="F25" s="27">
        <v>15400</v>
      </c>
    </row>
    <row r="26" spans="1:6" hidden="1" x14ac:dyDescent="0.25">
      <c r="A26" s="24" t="s">
        <v>298</v>
      </c>
      <c r="B26" s="25">
        <v>45625</v>
      </c>
      <c r="C26" s="24" t="s">
        <v>265</v>
      </c>
      <c r="D26" s="24" t="s">
        <v>266</v>
      </c>
      <c r="E26" s="26" t="s">
        <v>267</v>
      </c>
      <c r="F26" s="27">
        <v>13200</v>
      </c>
    </row>
    <row r="27" spans="1:6" hidden="1" x14ac:dyDescent="0.25">
      <c r="A27" s="24" t="s">
        <v>299</v>
      </c>
      <c r="B27" s="25">
        <v>45651</v>
      </c>
      <c r="C27" s="24" t="s">
        <v>270</v>
      </c>
      <c r="D27" s="24" t="s">
        <v>266</v>
      </c>
      <c r="E27" s="26" t="s">
        <v>73</v>
      </c>
      <c r="F27" s="27">
        <v>8300</v>
      </c>
    </row>
    <row r="28" spans="1:6" hidden="1" x14ac:dyDescent="0.25">
      <c r="A28" s="24" t="s">
        <v>300</v>
      </c>
      <c r="B28" s="25">
        <v>45310</v>
      </c>
      <c r="C28" s="24" t="s">
        <v>335</v>
      </c>
      <c r="D28" s="24" t="s">
        <v>133</v>
      </c>
      <c r="E28" s="26" t="s">
        <v>73</v>
      </c>
      <c r="F28" s="27">
        <v>14440</v>
      </c>
    </row>
    <row r="29" spans="1:6" hidden="1" x14ac:dyDescent="0.25">
      <c r="A29" s="24" t="s">
        <v>301</v>
      </c>
      <c r="B29" s="25">
        <v>45311</v>
      </c>
      <c r="C29" s="24" t="s">
        <v>275</v>
      </c>
      <c r="D29" s="24" t="s">
        <v>278</v>
      </c>
      <c r="E29" s="26" t="s">
        <v>73</v>
      </c>
      <c r="F29" s="27">
        <v>3400</v>
      </c>
    </row>
    <row r="30" spans="1:6" hidden="1" x14ac:dyDescent="0.25">
      <c r="A30" s="24" t="s">
        <v>302</v>
      </c>
      <c r="B30" s="25">
        <v>45337</v>
      </c>
      <c r="C30" s="24" t="s">
        <v>335</v>
      </c>
      <c r="D30" s="24" t="s">
        <v>266</v>
      </c>
      <c r="E30" s="26" t="s">
        <v>72</v>
      </c>
      <c r="F30" s="27">
        <v>20100</v>
      </c>
    </row>
    <row r="31" spans="1:6" hidden="1" x14ac:dyDescent="0.25">
      <c r="A31" s="26" t="s">
        <v>264</v>
      </c>
      <c r="B31" s="28">
        <v>45444</v>
      </c>
      <c r="C31" s="26" t="s">
        <v>265</v>
      </c>
      <c r="D31" s="26" t="s">
        <v>303</v>
      </c>
      <c r="E31" s="26" t="s">
        <v>73</v>
      </c>
      <c r="F31" s="27">
        <v>8000</v>
      </c>
    </row>
    <row r="32" spans="1:6" hidden="1" x14ac:dyDescent="0.25">
      <c r="A32" s="26" t="s">
        <v>268</v>
      </c>
      <c r="B32" s="28">
        <v>45444</v>
      </c>
      <c r="C32" s="26" t="s">
        <v>265</v>
      </c>
      <c r="D32" s="26" t="s">
        <v>303</v>
      </c>
      <c r="E32" s="26" t="s">
        <v>73</v>
      </c>
      <c r="F32" s="27">
        <v>15000</v>
      </c>
    </row>
    <row r="33" spans="1:6" hidden="1" x14ac:dyDescent="0.25">
      <c r="A33" s="26" t="s">
        <v>269</v>
      </c>
      <c r="B33" s="28">
        <v>45447</v>
      </c>
      <c r="C33" s="26" t="s">
        <v>270</v>
      </c>
      <c r="D33" s="26" t="s">
        <v>266</v>
      </c>
      <c r="E33" s="26" t="s">
        <v>73</v>
      </c>
      <c r="F33" s="27">
        <v>11200</v>
      </c>
    </row>
    <row r="34" spans="1:6" hidden="1" x14ac:dyDescent="0.25">
      <c r="A34" s="26" t="s">
        <v>271</v>
      </c>
      <c r="B34" s="28">
        <v>45447</v>
      </c>
      <c r="C34" s="26" t="s">
        <v>270</v>
      </c>
      <c r="D34" s="26" t="s">
        <v>303</v>
      </c>
      <c r="E34" s="26" t="s">
        <v>72</v>
      </c>
      <c r="F34" s="27">
        <v>10200</v>
      </c>
    </row>
    <row r="35" spans="1:6" hidden="1" x14ac:dyDescent="0.25">
      <c r="A35" s="26" t="s">
        <v>272</v>
      </c>
      <c r="B35" s="28">
        <v>45447</v>
      </c>
      <c r="C35" s="26" t="s">
        <v>335</v>
      </c>
      <c r="D35" s="26" t="s">
        <v>133</v>
      </c>
      <c r="E35" s="26" t="s">
        <v>72</v>
      </c>
      <c r="F35" s="27">
        <v>17000</v>
      </c>
    </row>
    <row r="36" spans="1:6" hidden="1" x14ac:dyDescent="0.25">
      <c r="A36" s="26" t="s">
        <v>274</v>
      </c>
      <c r="B36" s="28">
        <v>45448</v>
      </c>
      <c r="C36" s="26" t="s">
        <v>275</v>
      </c>
      <c r="D36" s="26" t="s">
        <v>266</v>
      </c>
      <c r="E36" s="26" t="s">
        <v>279</v>
      </c>
      <c r="F36" s="27">
        <v>3000</v>
      </c>
    </row>
    <row r="37" spans="1:6" hidden="1" x14ac:dyDescent="0.25">
      <c r="A37" s="26" t="s">
        <v>273</v>
      </c>
      <c r="B37" s="28">
        <v>45448</v>
      </c>
      <c r="C37" s="26" t="s">
        <v>265</v>
      </c>
      <c r="D37" s="26" t="s">
        <v>303</v>
      </c>
      <c r="E37" s="26" t="s">
        <v>72</v>
      </c>
      <c r="F37" s="27">
        <v>17420</v>
      </c>
    </row>
    <row r="38" spans="1:6" hidden="1" x14ac:dyDescent="0.25">
      <c r="A38" s="26" t="s">
        <v>280</v>
      </c>
      <c r="B38" s="28">
        <v>45451</v>
      </c>
      <c r="C38" s="26" t="s">
        <v>277</v>
      </c>
      <c r="D38" s="26" t="s">
        <v>266</v>
      </c>
      <c r="E38" s="26" t="s">
        <v>279</v>
      </c>
      <c r="F38" s="27">
        <v>22800</v>
      </c>
    </row>
    <row r="39" spans="1:6" hidden="1" x14ac:dyDescent="0.25">
      <c r="A39" s="26" t="s">
        <v>276</v>
      </c>
      <c r="B39" s="28">
        <v>45451</v>
      </c>
      <c r="C39" s="26" t="s">
        <v>277</v>
      </c>
      <c r="D39" s="26" t="s">
        <v>303</v>
      </c>
      <c r="E39" s="26" t="s">
        <v>279</v>
      </c>
      <c r="F39" s="27">
        <v>8230</v>
      </c>
    </row>
    <row r="40" spans="1:6" hidden="1" x14ac:dyDescent="0.25">
      <c r="A40" s="26" t="s">
        <v>283</v>
      </c>
      <c r="B40" s="28">
        <v>45452</v>
      </c>
      <c r="C40" s="26" t="s">
        <v>335</v>
      </c>
      <c r="D40" s="26" t="s">
        <v>303</v>
      </c>
      <c r="E40" s="26" t="s">
        <v>267</v>
      </c>
      <c r="F40" s="27">
        <v>12540</v>
      </c>
    </row>
    <row r="41" spans="1:6" hidden="1" x14ac:dyDescent="0.25">
      <c r="A41" s="26" t="s">
        <v>282</v>
      </c>
      <c r="B41" s="28">
        <v>45452</v>
      </c>
      <c r="C41" s="26" t="s">
        <v>265</v>
      </c>
      <c r="D41" s="26" t="s">
        <v>266</v>
      </c>
      <c r="E41" s="26" t="s">
        <v>267</v>
      </c>
      <c r="F41" s="27">
        <v>34000</v>
      </c>
    </row>
    <row r="42" spans="1:6" hidden="1" x14ac:dyDescent="0.25">
      <c r="A42" s="26" t="s">
        <v>281</v>
      </c>
      <c r="B42" s="28">
        <v>45452</v>
      </c>
      <c r="C42" s="26" t="s">
        <v>265</v>
      </c>
      <c r="D42" s="26" t="s">
        <v>303</v>
      </c>
      <c r="E42" s="26" t="s">
        <v>267</v>
      </c>
      <c r="F42" s="27">
        <v>19050</v>
      </c>
    </row>
    <row r="43" spans="1:6" hidden="1" x14ac:dyDescent="0.25">
      <c r="A43" s="26" t="s">
        <v>284</v>
      </c>
      <c r="B43" s="28">
        <v>45454</v>
      </c>
      <c r="C43" s="26" t="s">
        <v>335</v>
      </c>
      <c r="D43" s="26" t="s">
        <v>303</v>
      </c>
      <c r="E43" s="26" t="s">
        <v>73</v>
      </c>
      <c r="F43" s="27">
        <v>18000</v>
      </c>
    </row>
    <row r="44" spans="1:6" hidden="1" x14ac:dyDescent="0.25">
      <c r="A44" s="26" t="s">
        <v>288</v>
      </c>
      <c r="B44" s="28">
        <v>45455</v>
      </c>
      <c r="C44" s="26" t="s">
        <v>287</v>
      </c>
      <c r="D44" s="26" t="s">
        <v>133</v>
      </c>
      <c r="E44" s="26" t="s">
        <v>72</v>
      </c>
      <c r="F44" s="27">
        <v>12970</v>
      </c>
    </row>
    <row r="45" spans="1:6" hidden="1" x14ac:dyDescent="0.25">
      <c r="A45" s="26" t="s">
        <v>286</v>
      </c>
      <c r="B45" s="28">
        <v>45455</v>
      </c>
      <c r="C45" s="26" t="s">
        <v>287</v>
      </c>
      <c r="D45" s="26" t="s">
        <v>303</v>
      </c>
      <c r="E45" s="26" t="s">
        <v>73</v>
      </c>
      <c r="F45" s="27">
        <v>14000</v>
      </c>
    </row>
    <row r="46" spans="1:6" hidden="1" x14ac:dyDescent="0.25">
      <c r="A46" s="26" t="s">
        <v>285</v>
      </c>
      <c r="B46" s="28">
        <v>45455</v>
      </c>
      <c r="C46" s="26" t="s">
        <v>277</v>
      </c>
      <c r="D46" s="26" t="s">
        <v>278</v>
      </c>
      <c r="E46" s="26" t="s">
        <v>73</v>
      </c>
      <c r="F46" s="27">
        <v>15200</v>
      </c>
    </row>
    <row r="47" spans="1:6" hidden="1" x14ac:dyDescent="0.25">
      <c r="A47" s="26" t="s">
        <v>289</v>
      </c>
      <c r="B47" s="28">
        <v>45456</v>
      </c>
      <c r="C47" s="26" t="s">
        <v>270</v>
      </c>
      <c r="D47" s="26" t="s">
        <v>278</v>
      </c>
      <c r="E47" s="26" t="s">
        <v>72</v>
      </c>
      <c r="F47" s="27">
        <v>-3100</v>
      </c>
    </row>
    <row r="48" spans="1:6" hidden="1" x14ac:dyDescent="0.25">
      <c r="A48" s="26" t="s">
        <v>291</v>
      </c>
      <c r="B48" s="28">
        <v>45456</v>
      </c>
      <c r="C48" s="26" t="s">
        <v>275</v>
      </c>
      <c r="D48" s="26" t="s">
        <v>303</v>
      </c>
      <c r="E48" s="26" t="s">
        <v>279</v>
      </c>
      <c r="F48" s="27">
        <v>13200</v>
      </c>
    </row>
    <row r="49" spans="1:6" hidden="1" x14ac:dyDescent="0.25">
      <c r="A49" s="26" t="s">
        <v>290</v>
      </c>
      <c r="B49" s="28">
        <v>45456</v>
      </c>
      <c r="C49" s="26" t="s">
        <v>277</v>
      </c>
      <c r="D49" s="26" t="s">
        <v>303</v>
      </c>
      <c r="E49" s="26" t="s">
        <v>72</v>
      </c>
      <c r="F49" s="27">
        <v>28000</v>
      </c>
    </row>
    <row r="50" spans="1:6" hidden="1" x14ac:dyDescent="0.25">
      <c r="A50" s="26" t="s">
        <v>292</v>
      </c>
      <c r="B50" s="28">
        <v>45457</v>
      </c>
      <c r="C50" s="26" t="s">
        <v>287</v>
      </c>
      <c r="D50" s="26" t="s">
        <v>266</v>
      </c>
      <c r="E50" s="26" t="s">
        <v>279</v>
      </c>
      <c r="F50" s="27">
        <v>2230</v>
      </c>
    </row>
    <row r="51" spans="1:6" hidden="1" x14ac:dyDescent="0.25">
      <c r="A51" s="26" t="s">
        <v>293</v>
      </c>
      <c r="B51" s="28">
        <v>45457</v>
      </c>
      <c r="C51" s="26" t="s">
        <v>275</v>
      </c>
      <c r="D51" s="26" t="s">
        <v>133</v>
      </c>
      <c r="E51" s="26" t="s">
        <v>279</v>
      </c>
      <c r="F51" s="27">
        <v>28800</v>
      </c>
    </row>
    <row r="52" spans="1:6" hidden="1" x14ac:dyDescent="0.25">
      <c r="A52" s="26" t="s">
        <v>294</v>
      </c>
      <c r="B52" s="28">
        <v>45458</v>
      </c>
      <c r="C52" s="26" t="s">
        <v>287</v>
      </c>
      <c r="D52" s="26" t="s">
        <v>303</v>
      </c>
      <c r="E52" s="26" t="s">
        <v>267</v>
      </c>
      <c r="F52" s="27">
        <v>25500</v>
      </c>
    </row>
    <row r="53" spans="1:6" hidden="1" x14ac:dyDescent="0.25">
      <c r="A53" s="26" t="s">
        <v>295</v>
      </c>
      <c r="B53" s="28">
        <v>45459</v>
      </c>
      <c r="C53" s="26" t="s">
        <v>335</v>
      </c>
      <c r="D53" s="26" t="s">
        <v>133</v>
      </c>
      <c r="E53" s="26" t="s">
        <v>267</v>
      </c>
      <c r="F53" s="27">
        <v>3120</v>
      </c>
    </row>
    <row r="54" spans="1:6" hidden="1" x14ac:dyDescent="0.25">
      <c r="A54" s="26" t="s">
        <v>298</v>
      </c>
      <c r="B54" s="28">
        <v>45459</v>
      </c>
      <c r="C54" s="26" t="s">
        <v>265</v>
      </c>
      <c r="D54" s="26" t="s">
        <v>278</v>
      </c>
      <c r="E54" s="26" t="s">
        <v>267</v>
      </c>
      <c r="F54" s="27">
        <v>13200</v>
      </c>
    </row>
    <row r="55" spans="1:6" hidden="1" x14ac:dyDescent="0.25">
      <c r="A55" s="26" t="s">
        <v>296</v>
      </c>
      <c r="B55" s="28">
        <v>45460</v>
      </c>
      <c r="C55" s="26" t="s">
        <v>297</v>
      </c>
      <c r="D55" s="26" t="s">
        <v>303</v>
      </c>
      <c r="E55" s="26" t="s">
        <v>73</v>
      </c>
      <c r="F55" s="27">
        <v>15400</v>
      </c>
    </row>
    <row r="56" spans="1:6" hidden="1" x14ac:dyDescent="0.25">
      <c r="A56" s="26" t="s">
        <v>299</v>
      </c>
      <c r="B56" s="28">
        <v>45462</v>
      </c>
      <c r="C56" s="26" t="s">
        <v>270</v>
      </c>
      <c r="D56" s="26" t="s">
        <v>133</v>
      </c>
      <c r="E56" s="26" t="s">
        <v>73</v>
      </c>
      <c r="F56" s="27">
        <v>8300</v>
      </c>
    </row>
    <row r="57" spans="1:6" hidden="1" x14ac:dyDescent="0.25">
      <c r="A57" s="26" t="s">
        <v>300</v>
      </c>
      <c r="B57" s="28">
        <v>45462</v>
      </c>
      <c r="C57" s="26" t="s">
        <v>335</v>
      </c>
      <c r="D57" s="26" t="s">
        <v>278</v>
      </c>
      <c r="E57" s="26" t="s">
        <v>73</v>
      </c>
      <c r="F57" s="27">
        <v>14440</v>
      </c>
    </row>
    <row r="58" spans="1:6" hidden="1" x14ac:dyDescent="0.25">
      <c r="A58" s="26" t="s">
        <v>302</v>
      </c>
      <c r="B58" s="28">
        <v>45462</v>
      </c>
      <c r="C58" s="26" t="s">
        <v>335</v>
      </c>
      <c r="D58" s="26" t="s">
        <v>303</v>
      </c>
      <c r="E58" s="26" t="s">
        <v>72</v>
      </c>
      <c r="F58" s="27">
        <v>20100</v>
      </c>
    </row>
    <row r="59" spans="1:6" hidden="1" x14ac:dyDescent="0.25">
      <c r="A59" s="26" t="s">
        <v>301</v>
      </c>
      <c r="B59" s="28">
        <v>45462</v>
      </c>
      <c r="C59" s="26" t="s">
        <v>275</v>
      </c>
      <c r="D59" s="26" t="s">
        <v>303</v>
      </c>
      <c r="E59" s="26" t="s">
        <v>72</v>
      </c>
      <c r="F59" s="27">
        <v>3400</v>
      </c>
    </row>
    <row r="60" spans="1:6" hidden="1" x14ac:dyDescent="0.25">
      <c r="A60" s="26" t="s">
        <v>304</v>
      </c>
      <c r="B60" s="28">
        <v>45462</v>
      </c>
      <c r="C60" s="26" t="s">
        <v>297</v>
      </c>
      <c r="D60" s="26" t="s">
        <v>303</v>
      </c>
      <c r="E60" s="26" t="s">
        <v>72</v>
      </c>
      <c r="F60" s="27">
        <v>12000</v>
      </c>
    </row>
    <row r="61" spans="1:6" hidden="1" x14ac:dyDescent="0.25">
      <c r="A61" s="26" t="s">
        <v>305</v>
      </c>
      <c r="B61" s="28">
        <v>45463</v>
      </c>
      <c r="C61" s="26" t="s">
        <v>277</v>
      </c>
      <c r="D61" s="26" t="s">
        <v>303</v>
      </c>
      <c r="E61" s="26" t="s">
        <v>279</v>
      </c>
      <c r="F61" s="27">
        <v>8000</v>
      </c>
    </row>
    <row r="62" spans="1:6" hidden="1" x14ac:dyDescent="0.25">
      <c r="A62" s="26" t="s">
        <v>306</v>
      </c>
      <c r="B62" s="28">
        <v>45463</v>
      </c>
      <c r="C62" s="26" t="s">
        <v>265</v>
      </c>
      <c r="D62" s="26" t="s">
        <v>133</v>
      </c>
      <c r="E62" s="26" t="s">
        <v>279</v>
      </c>
      <c r="F62" s="27">
        <v>15000</v>
      </c>
    </row>
    <row r="63" spans="1:6" hidden="1" x14ac:dyDescent="0.25">
      <c r="A63" s="26" t="s">
        <v>307</v>
      </c>
      <c r="B63" s="28">
        <v>45464</v>
      </c>
      <c r="C63" s="26" t="s">
        <v>265</v>
      </c>
      <c r="D63" s="26" t="s">
        <v>278</v>
      </c>
      <c r="E63" s="26" t="s">
        <v>279</v>
      </c>
      <c r="F63" s="27">
        <v>11200</v>
      </c>
    </row>
    <row r="64" spans="1:6" hidden="1" x14ac:dyDescent="0.25">
      <c r="A64" s="26" t="s">
        <v>308</v>
      </c>
      <c r="B64" s="28">
        <v>45465</v>
      </c>
      <c r="C64" s="26" t="s">
        <v>335</v>
      </c>
      <c r="D64" s="26" t="s">
        <v>303</v>
      </c>
      <c r="E64" s="26" t="s">
        <v>267</v>
      </c>
      <c r="F64" s="27">
        <v>10200</v>
      </c>
    </row>
    <row r="65" spans="1:6" hidden="1" x14ac:dyDescent="0.25">
      <c r="A65" s="26" t="s">
        <v>309</v>
      </c>
      <c r="B65" s="28">
        <v>45465</v>
      </c>
      <c r="C65" s="26" t="s">
        <v>335</v>
      </c>
      <c r="D65" s="26" t="s">
        <v>303</v>
      </c>
      <c r="E65" s="26" t="s">
        <v>267</v>
      </c>
      <c r="F65" s="27">
        <v>17000</v>
      </c>
    </row>
    <row r="66" spans="1:6" hidden="1" x14ac:dyDescent="0.25">
      <c r="A66" s="26" t="s">
        <v>310</v>
      </c>
      <c r="B66" s="28">
        <v>45466</v>
      </c>
      <c r="C66" s="26" t="s">
        <v>287</v>
      </c>
      <c r="D66" s="26" t="s">
        <v>133</v>
      </c>
      <c r="E66" s="26" t="s">
        <v>73</v>
      </c>
      <c r="F66" s="27">
        <v>8230</v>
      </c>
    </row>
    <row r="67" spans="1:6" hidden="1" x14ac:dyDescent="0.25">
      <c r="A67" s="26" t="s">
        <v>311</v>
      </c>
      <c r="B67" s="28">
        <v>45466</v>
      </c>
      <c r="C67" s="26" t="s">
        <v>287</v>
      </c>
      <c r="D67" s="26" t="s">
        <v>303</v>
      </c>
      <c r="E67" s="26" t="s">
        <v>73</v>
      </c>
      <c r="F67" s="27">
        <v>3000</v>
      </c>
    </row>
    <row r="68" spans="1:6" hidden="1" x14ac:dyDescent="0.25">
      <c r="A68" s="26" t="s">
        <v>312</v>
      </c>
      <c r="B68" s="28">
        <v>45466</v>
      </c>
      <c r="C68" s="26" t="s">
        <v>277</v>
      </c>
      <c r="D68" s="26" t="s">
        <v>133</v>
      </c>
      <c r="E68" s="26" t="s">
        <v>267</v>
      </c>
      <c r="F68" s="27">
        <v>17420</v>
      </c>
    </row>
    <row r="69" spans="1:6" hidden="1" x14ac:dyDescent="0.25">
      <c r="A69" s="26" t="s">
        <v>313</v>
      </c>
      <c r="B69" s="28">
        <v>45468</v>
      </c>
      <c r="C69" s="26" t="s">
        <v>270</v>
      </c>
      <c r="D69" s="26" t="s">
        <v>303</v>
      </c>
      <c r="E69" s="26" t="s">
        <v>73</v>
      </c>
      <c r="F69" s="27">
        <v>22800</v>
      </c>
    </row>
    <row r="70" spans="1:6" x14ac:dyDescent="0.25">
      <c r="A70" s="26" t="s">
        <v>314</v>
      </c>
      <c r="B70" s="28">
        <v>45408</v>
      </c>
      <c r="C70" s="26" t="s">
        <v>275</v>
      </c>
      <c r="D70" s="26" t="s">
        <v>303</v>
      </c>
      <c r="E70" s="26" t="s">
        <v>72</v>
      </c>
      <c r="F70" s="27">
        <v>34000</v>
      </c>
    </row>
    <row r="71" spans="1:6" hidden="1" x14ac:dyDescent="0.25">
      <c r="A71" s="26" t="s">
        <v>315</v>
      </c>
      <c r="B71" s="28">
        <v>45468</v>
      </c>
      <c r="C71" s="26" t="s">
        <v>277</v>
      </c>
      <c r="D71" s="26" t="s">
        <v>303</v>
      </c>
      <c r="E71" s="26" t="s">
        <v>72</v>
      </c>
      <c r="F71" s="27">
        <v>19050</v>
      </c>
    </row>
    <row r="72" spans="1:6" hidden="1" x14ac:dyDescent="0.25">
      <c r="A72" s="26" t="s">
        <v>316</v>
      </c>
      <c r="B72" s="28">
        <v>45469</v>
      </c>
      <c r="C72" s="26" t="s">
        <v>335</v>
      </c>
      <c r="D72" s="26" t="s">
        <v>278</v>
      </c>
      <c r="E72" s="26" t="s">
        <v>279</v>
      </c>
      <c r="F72" s="27">
        <v>14000</v>
      </c>
    </row>
    <row r="73" spans="1:6" hidden="1" x14ac:dyDescent="0.25">
      <c r="A73" s="26" t="s">
        <v>317</v>
      </c>
      <c r="B73" s="28">
        <v>45469</v>
      </c>
      <c r="C73" s="26" t="s">
        <v>287</v>
      </c>
      <c r="D73" s="26" t="s">
        <v>266</v>
      </c>
      <c r="E73" s="26" t="s">
        <v>72</v>
      </c>
      <c r="F73" s="27">
        <v>12540</v>
      </c>
    </row>
    <row r="74" spans="1:6" hidden="1" x14ac:dyDescent="0.25">
      <c r="A74" s="26" t="s">
        <v>318</v>
      </c>
      <c r="B74" s="28">
        <v>45469</v>
      </c>
      <c r="C74" s="26" t="s">
        <v>287</v>
      </c>
      <c r="D74" s="26" t="s">
        <v>303</v>
      </c>
      <c r="E74" s="26" t="s">
        <v>279</v>
      </c>
      <c r="F74" s="27">
        <v>15200</v>
      </c>
    </row>
    <row r="75" spans="1:6" hidden="1" x14ac:dyDescent="0.25">
      <c r="A75" s="26" t="s">
        <v>319</v>
      </c>
      <c r="B75" s="28">
        <v>45469</v>
      </c>
      <c r="C75" s="26" t="s">
        <v>275</v>
      </c>
      <c r="D75" s="26" t="s">
        <v>133</v>
      </c>
      <c r="E75" s="26" t="s">
        <v>279</v>
      </c>
      <c r="F75" s="27">
        <v>18000</v>
      </c>
    </row>
    <row r="76" spans="1:6" hidden="1" x14ac:dyDescent="0.25">
      <c r="A76" s="26" t="s">
        <v>320</v>
      </c>
      <c r="B76" s="28">
        <v>45470</v>
      </c>
      <c r="C76" s="26" t="s">
        <v>270</v>
      </c>
      <c r="D76" s="26" t="s">
        <v>303</v>
      </c>
      <c r="E76" s="26" t="s">
        <v>267</v>
      </c>
      <c r="F76" s="27">
        <v>13200</v>
      </c>
    </row>
    <row r="77" spans="1:6" hidden="1" x14ac:dyDescent="0.25">
      <c r="A77" s="26" t="s">
        <v>321</v>
      </c>
      <c r="B77" s="28">
        <v>45470</v>
      </c>
      <c r="C77" s="26" t="s">
        <v>335</v>
      </c>
      <c r="D77" s="26" t="s">
        <v>303</v>
      </c>
      <c r="E77" s="26" t="s">
        <v>73</v>
      </c>
      <c r="F77" s="27">
        <v>2230</v>
      </c>
    </row>
    <row r="78" spans="1:6" hidden="1" x14ac:dyDescent="0.25">
      <c r="A78" s="26" t="s">
        <v>322</v>
      </c>
      <c r="B78" s="28">
        <v>45470</v>
      </c>
      <c r="C78" s="26" t="s">
        <v>275</v>
      </c>
      <c r="D78" s="26" t="s">
        <v>266</v>
      </c>
      <c r="E78" s="26" t="s">
        <v>73</v>
      </c>
      <c r="F78" s="27">
        <v>28800</v>
      </c>
    </row>
    <row r="79" spans="1:6" hidden="1" x14ac:dyDescent="0.25">
      <c r="A79" s="26" t="s">
        <v>323</v>
      </c>
      <c r="B79" s="28">
        <v>45470</v>
      </c>
      <c r="C79" s="26" t="s">
        <v>297</v>
      </c>
      <c r="D79" s="26" t="s">
        <v>133</v>
      </c>
      <c r="E79" s="26" t="s">
        <v>267</v>
      </c>
      <c r="F79" s="27">
        <v>28000</v>
      </c>
    </row>
    <row r="80" spans="1:6" hidden="1" x14ac:dyDescent="0.25">
      <c r="A80" s="26" t="s">
        <v>324</v>
      </c>
      <c r="B80" s="28">
        <v>45470</v>
      </c>
      <c r="C80" s="26" t="s">
        <v>265</v>
      </c>
      <c r="D80" s="26" t="s">
        <v>303</v>
      </c>
      <c r="E80" s="26" t="s">
        <v>267</v>
      </c>
      <c r="F80" s="27">
        <v>12970</v>
      </c>
    </row>
    <row r="81" spans="1:6" hidden="1" x14ac:dyDescent="0.25">
      <c r="A81" s="26" t="s">
        <v>325</v>
      </c>
      <c r="B81" s="28">
        <v>45471</v>
      </c>
      <c r="C81" s="26" t="s">
        <v>335</v>
      </c>
      <c r="D81" s="26" t="s">
        <v>303</v>
      </c>
      <c r="E81" s="26" t="s">
        <v>73</v>
      </c>
      <c r="F81" s="27">
        <v>25500</v>
      </c>
    </row>
    <row r="82" spans="1:6" hidden="1" x14ac:dyDescent="0.25">
      <c r="A82" s="26" t="s">
        <v>326</v>
      </c>
      <c r="B82" s="28">
        <v>45471</v>
      </c>
      <c r="C82" s="26" t="s">
        <v>297</v>
      </c>
      <c r="D82" s="26" t="s">
        <v>133</v>
      </c>
      <c r="E82" s="26" t="s">
        <v>72</v>
      </c>
      <c r="F82" s="27">
        <v>3120</v>
      </c>
    </row>
    <row r="83" spans="1:6" hidden="1" x14ac:dyDescent="0.25">
      <c r="A83" s="26" t="s">
        <v>327</v>
      </c>
      <c r="B83" s="28">
        <v>45471</v>
      </c>
      <c r="C83" s="26" t="s">
        <v>265</v>
      </c>
      <c r="D83" s="26" t="s">
        <v>303</v>
      </c>
      <c r="E83" s="26" t="s">
        <v>72</v>
      </c>
      <c r="F83" s="27">
        <v>13200</v>
      </c>
    </row>
    <row r="84" spans="1:6" hidden="1" x14ac:dyDescent="0.25">
      <c r="A84" s="26" t="s">
        <v>328</v>
      </c>
      <c r="B84" s="28">
        <v>45472</v>
      </c>
      <c r="C84" s="26" t="s">
        <v>287</v>
      </c>
      <c r="D84" s="26" t="s">
        <v>303</v>
      </c>
      <c r="E84" s="26" t="s">
        <v>279</v>
      </c>
      <c r="F84" s="27">
        <v>8300</v>
      </c>
    </row>
    <row r="85" spans="1:6" hidden="1" x14ac:dyDescent="0.25">
      <c r="A85" s="26" t="s">
        <v>329</v>
      </c>
      <c r="B85" s="28">
        <v>45472</v>
      </c>
      <c r="C85" s="26" t="s">
        <v>265</v>
      </c>
      <c r="D85" s="26" t="s">
        <v>278</v>
      </c>
      <c r="E85" s="26" t="s">
        <v>72</v>
      </c>
      <c r="F85" s="27">
        <v>15400</v>
      </c>
    </row>
    <row r="86" spans="1:6" hidden="1" x14ac:dyDescent="0.25">
      <c r="A86" s="26" t="s">
        <v>330</v>
      </c>
      <c r="B86" s="28">
        <v>45473</v>
      </c>
      <c r="C86" s="26" t="s">
        <v>270</v>
      </c>
      <c r="D86" s="26" t="s">
        <v>303</v>
      </c>
      <c r="E86" s="26" t="s">
        <v>267</v>
      </c>
      <c r="F86" s="27">
        <v>12000</v>
      </c>
    </row>
    <row r="87" spans="1:6" hidden="1" x14ac:dyDescent="0.25">
      <c r="A87" s="26" t="s">
        <v>331</v>
      </c>
      <c r="B87" s="28">
        <v>45473</v>
      </c>
      <c r="C87" s="26" t="s">
        <v>335</v>
      </c>
      <c r="D87" s="26" t="s">
        <v>303</v>
      </c>
      <c r="E87" s="26" t="s">
        <v>267</v>
      </c>
      <c r="F87" s="27">
        <v>20100</v>
      </c>
    </row>
    <row r="88" spans="1:6" x14ac:dyDescent="0.25">
      <c r="A88" s="26" t="s">
        <v>332</v>
      </c>
      <c r="B88" s="28">
        <v>45442</v>
      </c>
      <c r="C88" s="26" t="s">
        <v>287</v>
      </c>
      <c r="D88" s="26" t="s">
        <v>303</v>
      </c>
      <c r="E88" s="26" t="s">
        <v>279</v>
      </c>
      <c r="F88" s="27">
        <v>3400</v>
      </c>
    </row>
    <row r="89" spans="1:6" hidden="1" x14ac:dyDescent="0.25">
      <c r="A89" s="26" t="s">
        <v>333</v>
      </c>
      <c r="B89" s="28">
        <v>45473</v>
      </c>
      <c r="C89" s="26" t="s">
        <v>275</v>
      </c>
      <c r="D89" s="26" t="s">
        <v>278</v>
      </c>
      <c r="E89" s="26" t="s">
        <v>279</v>
      </c>
      <c r="F89" s="27">
        <v>14440</v>
      </c>
    </row>
    <row r="90" spans="1:6" hidden="1" x14ac:dyDescent="0.25">
      <c r="A90" s="24" t="s">
        <v>304</v>
      </c>
      <c r="B90" s="25">
        <v>45351</v>
      </c>
      <c r="C90" s="24" t="s">
        <v>297</v>
      </c>
      <c r="D90" s="24" t="s">
        <v>266</v>
      </c>
      <c r="E90" s="26" t="s">
        <v>72</v>
      </c>
      <c r="F90" s="27">
        <v>12000</v>
      </c>
    </row>
  </sheetData>
  <autoFilter ref="A1:F90" xr:uid="{A8709BB1-5B38-4C9F-8F08-DCA875CB0DCD}">
    <filterColumn colId="1">
      <customFilters and="1">
        <customFilter operator="greaterThanOrEqual" val="45407"/>
        <customFilter operator="lessThanOrEqual" val="45442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I32"/>
  <sheetViews>
    <sheetView workbookViewId="0">
      <selection activeCell="A3" sqref="A3"/>
    </sheetView>
  </sheetViews>
  <sheetFormatPr defaultRowHeight="15" x14ac:dyDescent="0.25"/>
  <cols>
    <col min="1" max="1" width="12.85546875" customWidth="1"/>
    <col min="2" max="3" width="13.140625" style="2" customWidth="1"/>
    <col min="4" max="4" width="21.42578125" customWidth="1"/>
    <col min="5" max="5" width="12.85546875" customWidth="1"/>
    <col min="6" max="6" width="15" customWidth="1"/>
    <col min="7" max="7" width="14.140625" customWidth="1"/>
    <col min="9" max="9" width="39.28515625" customWidth="1"/>
  </cols>
  <sheetData>
    <row r="1" spans="1:9" ht="15.75" x14ac:dyDescent="0.25">
      <c r="A1" s="1" t="s">
        <v>350</v>
      </c>
    </row>
    <row r="2" spans="1:9" x14ac:dyDescent="0.25">
      <c r="I2" s="12" t="s">
        <v>70</v>
      </c>
    </row>
    <row r="3" spans="1:9" x14ac:dyDescent="0.25">
      <c r="A3" s="3" t="s">
        <v>0</v>
      </c>
      <c r="B3" s="3" t="s">
        <v>1</v>
      </c>
      <c r="C3" s="3" t="s">
        <v>5</v>
      </c>
      <c r="D3" s="3" t="s">
        <v>2</v>
      </c>
      <c r="E3" s="3" t="s">
        <v>3</v>
      </c>
      <c r="F3" s="3" t="s">
        <v>4</v>
      </c>
      <c r="G3" s="10" t="s">
        <v>22</v>
      </c>
    </row>
    <row r="4" spans="1:9" ht="15.75" hidden="1" x14ac:dyDescent="0.25">
      <c r="A4" s="4">
        <v>45794</v>
      </c>
      <c r="B4" s="5" t="s">
        <v>9</v>
      </c>
      <c r="C4" s="8" t="s">
        <v>16</v>
      </c>
      <c r="D4" s="6" t="s">
        <v>7</v>
      </c>
      <c r="E4" s="7">
        <v>39000</v>
      </c>
      <c r="F4" s="9">
        <v>1</v>
      </c>
      <c r="G4" s="11">
        <f t="shared" ref="G4:G32" si="0">E4*F4</f>
        <v>39000</v>
      </c>
    </row>
    <row r="5" spans="1:9" ht="15.75" hidden="1" x14ac:dyDescent="0.25">
      <c r="A5" s="4">
        <v>45943</v>
      </c>
      <c r="B5" s="5" t="s">
        <v>6</v>
      </c>
      <c r="C5" s="8" t="s">
        <v>16</v>
      </c>
      <c r="D5" s="6" t="s">
        <v>7</v>
      </c>
      <c r="E5" s="7">
        <v>39000</v>
      </c>
      <c r="F5" s="9">
        <v>2</v>
      </c>
      <c r="G5" s="11">
        <f t="shared" si="0"/>
        <v>78000</v>
      </c>
      <c r="I5" t="s">
        <v>334</v>
      </c>
    </row>
    <row r="6" spans="1:9" ht="15.75" hidden="1" x14ac:dyDescent="0.25">
      <c r="A6" s="4">
        <v>45969</v>
      </c>
      <c r="B6" s="5" t="s">
        <v>9</v>
      </c>
      <c r="C6" s="8" t="s">
        <v>11</v>
      </c>
      <c r="D6" s="6" t="s">
        <v>10</v>
      </c>
      <c r="E6" s="7">
        <v>30500</v>
      </c>
      <c r="F6" s="9">
        <v>2</v>
      </c>
      <c r="G6" s="11">
        <f t="shared" si="0"/>
        <v>61000</v>
      </c>
    </row>
    <row r="7" spans="1:9" ht="15.75" hidden="1" x14ac:dyDescent="0.25">
      <c r="A7" s="4">
        <v>45732</v>
      </c>
      <c r="B7" s="5" t="s">
        <v>6</v>
      </c>
      <c r="C7" s="8" t="s">
        <v>8</v>
      </c>
      <c r="D7" s="6" t="s">
        <v>10</v>
      </c>
      <c r="E7" s="7">
        <v>30500</v>
      </c>
      <c r="F7" s="9">
        <v>2</v>
      </c>
      <c r="G7" s="11">
        <f t="shared" si="0"/>
        <v>61000</v>
      </c>
    </row>
    <row r="8" spans="1:9" ht="15.75" hidden="1" x14ac:dyDescent="0.25">
      <c r="A8" s="4">
        <v>45736</v>
      </c>
      <c r="B8" s="5" t="s">
        <v>6</v>
      </c>
      <c r="C8" s="8" t="s">
        <v>8</v>
      </c>
      <c r="D8" s="6" t="s">
        <v>18</v>
      </c>
      <c r="E8" s="7">
        <v>58150</v>
      </c>
      <c r="F8" s="9">
        <v>2</v>
      </c>
      <c r="G8" s="11">
        <f t="shared" si="0"/>
        <v>116300</v>
      </c>
    </row>
    <row r="9" spans="1:9" ht="15.75" hidden="1" x14ac:dyDescent="0.25">
      <c r="A9" s="4">
        <v>45970</v>
      </c>
      <c r="B9" s="5" t="s">
        <v>12</v>
      </c>
      <c r="C9" s="8" t="s">
        <v>16</v>
      </c>
      <c r="D9" s="6" t="s">
        <v>13</v>
      </c>
      <c r="E9" s="7">
        <v>41900</v>
      </c>
      <c r="F9" s="9">
        <v>2</v>
      </c>
      <c r="G9" s="11">
        <f t="shared" si="0"/>
        <v>83800</v>
      </c>
    </row>
    <row r="10" spans="1:9" ht="15.75" hidden="1" x14ac:dyDescent="0.25">
      <c r="A10" s="4">
        <v>45836</v>
      </c>
      <c r="B10" s="5" t="s">
        <v>14</v>
      </c>
      <c r="C10" s="8" t="s">
        <v>8</v>
      </c>
      <c r="D10" s="6" t="s">
        <v>15</v>
      </c>
      <c r="E10" s="7">
        <v>35959</v>
      </c>
      <c r="F10" s="9">
        <v>1</v>
      </c>
      <c r="G10" s="11">
        <f>E7*F7</f>
        <v>61000</v>
      </c>
    </row>
    <row r="11" spans="1:9" ht="15.75" hidden="1" x14ac:dyDescent="0.25">
      <c r="A11" s="4">
        <v>45695</v>
      </c>
      <c r="B11" s="5" t="s">
        <v>12</v>
      </c>
      <c r="C11" s="8" t="s">
        <v>16</v>
      </c>
      <c r="D11" s="6" t="s">
        <v>13</v>
      </c>
      <c r="E11" s="7">
        <v>41900</v>
      </c>
      <c r="F11" s="9">
        <v>3</v>
      </c>
      <c r="G11" s="11">
        <f>E5*F5</f>
        <v>78000</v>
      </c>
    </row>
    <row r="12" spans="1:9" ht="15.75" hidden="1" x14ac:dyDescent="0.25">
      <c r="A12" s="4">
        <v>45806</v>
      </c>
      <c r="B12" s="5" t="s">
        <v>6</v>
      </c>
      <c r="C12" s="8" t="s">
        <v>11</v>
      </c>
      <c r="D12" s="6" t="s">
        <v>7</v>
      </c>
      <c r="E12" s="7">
        <v>39000</v>
      </c>
      <c r="F12" s="9">
        <v>4</v>
      </c>
      <c r="G12" s="11">
        <f t="shared" si="0"/>
        <v>156000</v>
      </c>
    </row>
    <row r="13" spans="1:9" ht="15.75" x14ac:dyDescent="0.25">
      <c r="A13" s="4">
        <v>45810</v>
      </c>
      <c r="B13" s="5" t="s">
        <v>9</v>
      </c>
      <c r="C13" s="8" t="s">
        <v>17</v>
      </c>
      <c r="D13" s="6" t="s">
        <v>15</v>
      </c>
      <c r="E13" s="7">
        <v>35959</v>
      </c>
      <c r="F13" s="9">
        <v>2</v>
      </c>
      <c r="G13" s="11">
        <f t="shared" si="0"/>
        <v>71918</v>
      </c>
    </row>
    <row r="14" spans="1:9" ht="15.75" x14ac:dyDescent="0.25">
      <c r="A14" s="4">
        <v>45811</v>
      </c>
      <c r="B14" s="5" t="s">
        <v>12</v>
      </c>
      <c r="C14" s="8" t="s">
        <v>16</v>
      </c>
      <c r="D14" s="6" t="s">
        <v>15</v>
      </c>
      <c r="E14" s="7">
        <v>35959</v>
      </c>
      <c r="F14" s="9">
        <v>1</v>
      </c>
      <c r="G14" s="11">
        <f t="shared" si="0"/>
        <v>35959</v>
      </c>
    </row>
    <row r="15" spans="1:9" ht="15.75" hidden="1" x14ac:dyDescent="0.25">
      <c r="A15" s="4">
        <v>45693</v>
      </c>
      <c r="B15" s="5" t="s">
        <v>14</v>
      </c>
      <c r="C15" s="8" t="s">
        <v>20</v>
      </c>
      <c r="D15" s="6" t="s">
        <v>19</v>
      </c>
      <c r="E15" s="7">
        <v>28900</v>
      </c>
      <c r="F15" s="9">
        <v>4</v>
      </c>
      <c r="G15" s="11">
        <f t="shared" si="0"/>
        <v>115600</v>
      </c>
    </row>
    <row r="16" spans="1:9" ht="15.75" hidden="1" x14ac:dyDescent="0.25">
      <c r="A16" s="4">
        <v>45942</v>
      </c>
      <c r="B16" s="5" t="s">
        <v>12</v>
      </c>
      <c r="C16" s="8" t="s">
        <v>8</v>
      </c>
      <c r="D16" s="6" t="s">
        <v>13</v>
      </c>
      <c r="E16" s="7">
        <v>41900</v>
      </c>
      <c r="F16" s="9">
        <v>4</v>
      </c>
      <c r="G16" s="11">
        <f t="shared" si="0"/>
        <v>167600</v>
      </c>
    </row>
    <row r="17" spans="1:7" ht="15.75" hidden="1" x14ac:dyDescent="0.25">
      <c r="A17" s="4">
        <v>45801</v>
      </c>
      <c r="B17" s="5" t="s">
        <v>6</v>
      </c>
      <c r="C17" s="8" t="s">
        <v>8</v>
      </c>
      <c r="D17" s="6" t="s">
        <v>7</v>
      </c>
      <c r="E17" s="7">
        <v>39000</v>
      </c>
      <c r="F17" s="9">
        <v>5</v>
      </c>
      <c r="G17" s="11">
        <f t="shared" si="0"/>
        <v>195000</v>
      </c>
    </row>
    <row r="18" spans="1:7" ht="15.75" hidden="1" x14ac:dyDescent="0.25">
      <c r="A18" s="4">
        <v>45752</v>
      </c>
      <c r="B18" s="5" t="s">
        <v>6</v>
      </c>
      <c r="C18" s="8" t="s">
        <v>16</v>
      </c>
      <c r="D18" s="6" t="s">
        <v>10</v>
      </c>
      <c r="E18" s="7">
        <v>30500</v>
      </c>
      <c r="F18" s="9">
        <v>1</v>
      </c>
      <c r="G18" s="11">
        <f t="shared" si="0"/>
        <v>30500</v>
      </c>
    </row>
    <row r="19" spans="1:7" ht="15.75" hidden="1" x14ac:dyDescent="0.25">
      <c r="A19" s="4">
        <v>45801</v>
      </c>
      <c r="B19" s="5" t="s">
        <v>14</v>
      </c>
      <c r="C19" s="8" t="s">
        <v>20</v>
      </c>
      <c r="D19" s="6" t="s">
        <v>18</v>
      </c>
      <c r="E19" s="7">
        <v>58150</v>
      </c>
      <c r="F19" s="9">
        <v>2</v>
      </c>
      <c r="G19" s="11">
        <f t="shared" si="0"/>
        <v>116300</v>
      </c>
    </row>
    <row r="20" spans="1:7" ht="15.75" x14ac:dyDescent="0.25">
      <c r="A20" s="4">
        <v>45813</v>
      </c>
      <c r="B20" s="5" t="s">
        <v>9</v>
      </c>
      <c r="C20" s="8" t="s">
        <v>16</v>
      </c>
      <c r="D20" s="6" t="s">
        <v>13</v>
      </c>
      <c r="E20" s="7">
        <v>41900</v>
      </c>
      <c r="F20" s="9">
        <v>5</v>
      </c>
      <c r="G20" s="11">
        <f t="shared" si="0"/>
        <v>209500</v>
      </c>
    </row>
    <row r="21" spans="1:7" ht="15.75" hidden="1" x14ac:dyDescent="0.25">
      <c r="A21" s="4">
        <v>45817</v>
      </c>
      <c r="B21" s="5" t="s">
        <v>12</v>
      </c>
      <c r="C21" s="8" t="s">
        <v>11</v>
      </c>
      <c r="D21" s="6" t="s">
        <v>15</v>
      </c>
      <c r="E21" s="7">
        <v>35959</v>
      </c>
      <c r="F21" s="9">
        <v>6</v>
      </c>
      <c r="G21" s="11">
        <f t="shared" si="0"/>
        <v>215754</v>
      </c>
    </row>
    <row r="22" spans="1:7" ht="15.75" hidden="1" x14ac:dyDescent="0.25">
      <c r="A22" s="4">
        <v>45691</v>
      </c>
      <c r="B22" s="5" t="s">
        <v>14</v>
      </c>
      <c r="C22" s="8" t="s">
        <v>17</v>
      </c>
      <c r="D22" s="6" t="s">
        <v>10</v>
      </c>
      <c r="E22" s="7">
        <v>30500</v>
      </c>
      <c r="F22" s="9">
        <v>1</v>
      </c>
      <c r="G22" s="11">
        <f t="shared" si="0"/>
        <v>30500</v>
      </c>
    </row>
    <row r="23" spans="1:7" ht="15.75" hidden="1" x14ac:dyDescent="0.25">
      <c r="A23" s="4">
        <v>45807</v>
      </c>
      <c r="B23" s="5" t="s">
        <v>12</v>
      </c>
      <c r="C23" s="8" t="s">
        <v>11</v>
      </c>
      <c r="D23" s="6" t="s">
        <v>19</v>
      </c>
      <c r="E23" s="7">
        <v>28900</v>
      </c>
      <c r="F23" s="9">
        <v>6</v>
      </c>
      <c r="G23" s="11">
        <f t="shared" si="0"/>
        <v>173400</v>
      </c>
    </row>
    <row r="24" spans="1:7" ht="15.75" x14ac:dyDescent="0.25">
      <c r="A24" s="4">
        <v>45814</v>
      </c>
      <c r="B24" s="5" t="s">
        <v>14</v>
      </c>
      <c r="C24" s="8" t="s">
        <v>16</v>
      </c>
      <c r="D24" s="6" t="s">
        <v>13</v>
      </c>
      <c r="E24" s="7">
        <v>41900</v>
      </c>
      <c r="F24" s="9">
        <v>2</v>
      </c>
      <c r="G24" s="11">
        <f t="shared" si="0"/>
        <v>83800</v>
      </c>
    </row>
    <row r="25" spans="1:7" ht="15.75" hidden="1" x14ac:dyDescent="0.25">
      <c r="A25" s="4">
        <v>45749</v>
      </c>
      <c r="B25" s="5" t="s">
        <v>14</v>
      </c>
      <c r="C25" s="8" t="s">
        <v>16</v>
      </c>
      <c r="D25" s="6" t="s">
        <v>13</v>
      </c>
      <c r="E25" s="7">
        <v>41900</v>
      </c>
      <c r="F25" s="9">
        <v>7</v>
      </c>
      <c r="G25" s="11">
        <f t="shared" si="0"/>
        <v>293300</v>
      </c>
    </row>
    <row r="26" spans="1:7" ht="15.75" hidden="1" x14ac:dyDescent="0.25">
      <c r="A26" s="4">
        <v>45826</v>
      </c>
      <c r="B26" s="5" t="s">
        <v>6</v>
      </c>
      <c r="C26" s="8" t="s">
        <v>16</v>
      </c>
      <c r="D26" s="6" t="s">
        <v>18</v>
      </c>
      <c r="E26" s="7">
        <v>58150</v>
      </c>
      <c r="F26" s="9">
        <v>1</v>
      </c>
      <c r="G26" s="11">
        <f t="shared" si="0"/>
        <v>58150</v>
      </c>
    </row>
    <row r="27" spans="1:7" ht="15.75" hidden="1" x14ac:dyDescent="0.25">
      <c r="A27" s="4">
        <v>45836</v>
      </c>
      <c r="B27" s="5" t="s">
        <v>9</v>
      </c>
      <c r="C27" s="8" t="s">
        <v>20</v>
      </c>
      <c r="D27" s="6" t="s">
        <v>21</v>
      </c>
      <c r="E27" s="7">
        <v>48990</v>
      </c>
      <c r="F27" s="9">
        <v>8</v>
      </c>
      <c r="G27" s="11">
        <f t="shared" si="0"/>
        <v>391920</v>
      </c>
    </row>
    <row r="28" spans="1:7" ht="15.75" hidden="1" x14ac:dyDescent="0.25">
      <c r="A28" s="4">
        <v>45735</v>
      </c>
      <c r="B28" s="5" t="s">
        <v>14</v>
      </c>
      <c r="C28" s="8" t="s">
        <v>17</v>
      </c>
      <c r="D28" s="6" t="s">
        <v>21</v>
      </c>
      <c r="E28" s="7">
        <v>48990</v>
      </c>
      <c r="F28" s="9">
        <v>2</v>
      </c>
      <c r="G28" s="11">
        <f t="shared" si="0"/>
        <v>97980</v>
      </c>
    </row>
    <row r="29" spans="1:7" ht="15.75" hidden="1" x14ac:dyDescent="0.25">
      <c r="A29" s="4">
        <v>45829</v>
      </c>
      <c r="B29" s="5" t="s">
        <v>9</v>
      </c>
      <c r="C29" s="8" t="s">
        <v>16</v>
      </c>
      <c r="D29" s="6" t="s">
        <v>15</v>
      </c>
      <c r="E29" s="7">
        <v>35959</v>
      </c>
      <c r="F29" s="9">
        <v>9</v>
      </c>
      <c r="G29" s="11">
        <f t="shared" si="0"/>
        <v>323631</v>
      </c>
    </row>
    <row r="30" spans="1:7" ht="15.75" hidden="1" x14ac:dyDescent="0.25">
      <c r="A30" s="4">
        <v>45800</v>
      </c>
      <c r="B30" s="5" t="s">
        <v>9</v>
      </c>
      <c r="C30" s="8" t="s">
        <v>16</v>
      </c>
      <c r="D30" s="6" t="s">
        <v>13</v>
      </c>
      <c r="E30" s="7">
        <v>41900</v>
      </c>
      <c r="F30" s="9">
        <v>5</v>
      </c>
      <c r="G30" s="11">
        <f t="shared" si="0"/>
        <v>209500</v>
      </c>
    </row>
    <row r="31" spans="1:7" ht="15.75" hidden="1" x14ac:dyDescent="0.25">
      <c r="A31" s="4">
        <v>45801</v>
      </c>
      <c r="B31" s="5" t="s">
        <v>12</v>
      </c>
      <c r="C31" s="8" t="s">
        <v>17</v>
      </c>
      <c r="D31" s="6" t="s">
        <v>18</v>
      </c>
      <c r="E31" s="7">
        <v>58150</v>
      </c>
      <c r="F31" s="9">
        <v>2</v>
      </c>
      <c r="G31" s="11">
        <f t="shared" si="0"/>
        <v>116300</v>
      </c>
    </row>
    <row r="32" spans="1:7" ht="15.75" hidden="1" x14ac:dyDescent="0.25">
      <c r="A32" s="4">
        <v>45835</v>
      </c>
      <c r="B32" s="5" t="s">
        <v>12</v>
      </c>
      <c r="C32" s="8" t="s">
        <v>20</v>
      </c>
      <c r="D32" s="6" t="s">
        <v>7</v>
      </c>
      <c r="E32" s="7">
        <v>39000</v>
      </c>
      <c r="F32" s="9">
        <v>14</v>
      </c>
      <c r="G32" s="11">
        <f t="shared" si="0"/>
        <v>546000</v>
      </c>
    </row>
  </sheetData>
  <autoFilter ref="A3:G32" xr:uid="{00000000-0001-0000-0300-000000000000}">
    <filterColumn colId="0">
      <customFilters and="1">
        <customFilter operator="greaterThanOrEqual" val="45810"/>
        <customFilter operator="lessThanOrEqual" val="45816"/>
      </customFilters>
    </filterColumn>
  </autoFilter>
  <sortState xmlns:xlrd2="http://schemas.microsoft.com/office/spreadsheetml/2017/richdata2" ref="A4:G32">
    <sortCondition ref="F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K72"/>
  <sheetViews>
    <sheetView workbookViewId="0">
      <selection activeCell="H3" sqref="H3"/>
    </sheetView>
  </sheetViews>
  <sheetFormatPr defaultColWidth="9" defaultRowHeight="15" x14ac:dyDescent="0.25"/>
  <cols>
    <col min="1" max="1" width="8" style="14" customWidth="1"/>
    <col min="2" max="2" width="14.28515625" style="14" customWidth="1"/>
    <col min="3" max="3" width="14.42578125" style="14" bestFit="1" customWidth="1"/>
    <col min="4" max="4" width="11.42578125" style="14" customWidth="1"/>
    <col min="5" max="5" width="13.140625" style="14" bestFit="1" customWidth="1"/>
    <col min="6" max="6" width="10.85546875" style="32" bestFit="1" customWidth="1"/>
    <col min="7" max="7" width="10.85546875" style="14" bestFit="1" customWidth="1"/>
    <col min="8" max="8" width="27.5703125" style="33" customWidth="1"/>
    <col min="9" max="9" width="6" style="14" customWidth="1"/>
    <col min="10" max="13" width="13.7109375" style="14" customWidth="1"/>
    <col min="14" max="16384" width="9" style="14"/>
  </cols>
  <sheetData>
    <row r="1" spans="1:11" ht="15.75" x14ac:dyDescent="0.25">
      <c r="A1" s="46" t="s">
        <v>404</v>
      </c>
    </row>
    <row r="2" spans="1:11" x14ac:dyDescent="0.25">
      <c r="J2" s="12" t="s">
        <v>70</v>
      </c>
    </row>
    <row r="3" spans="1:11" ht="15" customHeight="1" x14ac:dyDescent="0.25">
      <c r="A3" s="34" t="s">
        <v>74</v>
      </c>
      <c r="B3" s="34" t="s">
        <v>75</v>
      </c>
      <c r="C3" s="34" t="s">
        <v>76</v>
      </c>
      <c r="D3" s="34" t="s">
        <v>77</v>
      </c>
      <c r="E3" s="34" t="s">
        <v>78</v>
      </c>
      <c r="F3" s="35" t="s">
        <v>79</v>
      </c>
      <c r="G3" s="34" t="s">
        <v>340</v>
      </c>
      <c r="H3" s="34" t="s">
        <v>80</v>
      </c>
      <c r="J3" t="s">
        <v>348</v>
      </c>
    </row>
    <row r="4" spans="1:11" ht="15" hidden="1" customHeight="1" x14ac:dyDescent="0.25">
      <c r="A4" s="36" t="s">
        <v>81</v>
      </c>
      <c r="B4" s="36" t="s">
        <v>84</v>
      </c>
      <c r="C4" s="36" t="s">
        <v>106</v>
      </c>
      <c r="D4" s="37">
        <v>45280</v>
      </c>
      <c r="E4" s="38">
        <v>12</v>
      </c>
      <c r="F4" s="39">
        <v>180</v>
      </c>
      <c r="G4" s="38">
        <v>11</v>
      </c>
      <c r="H4" s="40" t="s">
        <v>98</v>
      </c>
      <c r="J4" s="33"/>
      <c r="K4" s="33"/>
    </row>
    <row r="5" spans="1:11" ht="15" hidden="1" customHeight="1" x14ac:dyDescent="0.25">
      <c r="A5" s="36" t="s">
        <v>90</v>
      </c>
      <c r="B5" s="36" t="s">
        <v>84</v>
      </c>
      <c r="C5" s="36" t="s">
        <v>104</v>
      </c>
      <c r="D5" s="37">
        <v>45251</v>
      </c>
      <c r="E5" s="38">
        <v>24</v>
      </c>
      <c r="F5" s="39">
        <v>310</v>
      </c>
      <c r="G5" s="38">
        <v>6</v>
      </c>
      <c r="H5" s="40" t="s">
        <v>85</v>
      </c>
      <c r="J5" s="14" t="s">
        <v>341</v>
      </c>
      <c r="K5" s="33"/>
    </row>
    <row r="6" spans="1:11" ht="15" hidden="1" customHeight="1" x14ac:dyDescent="0.25">
      <c r="A6" s="36" t="s">
        <v>81</v>
      </c>
      <c r="B6" s="36" t="s">
        <v>87</v>
      </c>
      <c r="C6" s="36" t="s">
        <v>106</v>
      </c>
      <c r="D6" s="37">
        <v>45701</v>
      </c>
      <c r="E6" s="38">
        <v>12</v>
      </c>
      <c r="F6" s="39">
        <v>180</v>
      </c>
      <c r="G6" s="38">
        <v>10</v>
      </c>
      <c r="H6" s="40" t="s">
        <v>94</v>
      </c>
      <c r="J6" s="14" t="s">
        <v>339</v>
      </c>
      <c r="K6" s="33"/>
    </row>
    <row r="7" spans="1:11" ht="15" hidden="1" customHeight="1" x14ac:dyDescent="0.25">
      <c r="A7" s="36" t="s">
        <v>90</v>
      </c>
      <c r="B7" s="36" t="s">
        <v>84</v>
      </c>
      <c r="C7" s="36" t="s">
        <v>106</v>
      </c>
      <c r="D7" s="37">
        <v>45744</v>
      </c>
      <c r="E7" s="38">
        <v>24</v>
      </c>
      <c r="F7" s="39">
        <v>310</v>
      </c>
      <c r="G7" s="38">
        <v>12</v>
      </c>
      <c r="H7" s="40" t="s">
        <v>103</v>
      </c>
      <c r="J7" s="14" t="s">
        <v>346</v>
      </c>
      <c r="K7" s="33"/>
    </row>
    <row r="8" spans="1:11" ht="15" hidden="1" customHeight="1" x14ac:dyDescent="0.25">
      <c r="A8" s="36" t="s">
        <v>90</v>
      </c>
      <c r="B8" s="36" t="s">
        <v>84</v>
      </c>
      <c r="C8" s="36" t="s">
        <v>106</v>
      </c>
      <c r="D8" s="37">
        <v>45119</v>
      </c>
      <c r="E8" s="38">
        <v>24</v>
      </c>
      <c r="F8" s="39">
        <v>310</v>
      </c>
      <c r="G8" s="38">
        <v>8</v>
      </c>
      <c r="H8" s="40" t="s">
        <v>102</v>
      </c>
      <c r="J8" s="14" t="s">
        <v>347</v>
      </c>
      <c r="K8" s="33"/>
    </row>
    <row r="9" spans="1:11" ht="15" hidden="1" customHeight="1" x14ac:dyDescent="0.25">
      <c r="A9" s="36" t="s">
        <v>86</v>
      </c>
      <c r="B9" s="36" t="s">
        <v>84</v>
      </c>
      <c r="C9" s="36" t="s">
        <v>106</v>
      </c>
      <c r="D9" s="37">
        <v>45820</v>
      </c>
      <c r="E9" s="38">
        <v>20</v>
      </c>
      <c r="F9" s="39">
        <v>280</v>
      </c>
      <c r="G9" s="38">
        <v>11</v>
      </c>
      <c r="H9" s="40" t="s">
        <v>94</v>
      </c>
      <c r="J9" s="33"/>
      <c r="K9" s="33"/>
    </row>
    <row r="10" spans="1:11" ht="15" hidden="1" customHeight="1" x14ac:dyDescent="0.25">
      <c r="A10" s="36" t="s">
        <v>81</v>
      </c>
      <c r="B10" s="36" t="s">
        <v>84</v>
      </c>
      <c r="C10" s="36" t="s">
        <v>106</v>
      </c>
      <c r="D10" s="37">
        <v>45246</v>
      </c>
      <c r="E10" s="38">
        <v>12</v>
      </c>
      <c r="F10" s="39">
        <v>180</v>
      </c>
      <c r="G10" s="38">
        <v>9</v>
      </c>
      <c r="H10" s="40" t="s">
        <v>89</v>
      </c>
      <c r="J10" s="33"/>
      <c r="K10" s="33"/>
    </row>
    <row r="11" spans="1:11" ht="15" hidden="1" customHeight="1" x14ac:dyDescent="0.25">
      <c r="A11" s="36" t="s">
        <v>96</v>
      </c>
      <c r="B11" s="36" t="s">
        <v>87</v>
      </c>
      <c r="C11" s="36" t="s">
        <v>106</v>
      </c>
      <c r="D11" s="37">
        <v>45219</v>
      </c>
      <c r="E11" s="38">
        <v>16</v>
      </c>
      <c r="F11" s="39">
        <v>250</v>
      </c>
      <c r="G11" s="38">
        <v>9</v>
      </c>
      <c r="H11" s="40" t="s">
        <v>102</v>
      </c>
      <c r="J11" s="33"/>
      <c r="K11" s="33"/>
    </row>
    <row r="12" spans="1:11" ht="15" hidden="1" customHeight="1" x14ac:dyDescent="0.25">
      <c r="A12" s="36" t="s">
        <v>96</v>
      </c>
      <c r="B12" s="36" t="s">
        <v>82</v>
      </c>
      <c r="C12" s="36" t="s">
        <v>106</v>
      </c>
      <c r="D12" s="37">
        <v>45216</v>
      </c>
      <c r="E12" s="38">
        <v>12</v>
      </c>
      <c r="F12" s="39">
        <v>160</v>
      </c>
      <c r="G12" s="38">
        <v>6</v>
      </c>
      <c r="H12" s="40" t="s">
        <v>89</v>
      </c>
      <c r="J12" s="33"/>
      <c r="K12" s="33"/>
    </row>
    <row r="13" spans="1:11" ht="15" hidden="1" customHeight="1" x14ac:dyDescent="0.25">
      <c r="A13" s="36" t="s">
        <v>86</v>
      </c>
      <c r="B13" s="36" t="s">
        <v>87</v>
      </c>
      <c r="C13" s="36" t="s">
        <v>105</v>
      </c>
      <c r="D13" s="37">
        <v>45115</v>
      </c>
      <c r="E13" s="38">
        <v>16</v>
      </c>
      <c r="F13" s="39">
        <v>210</v>
      </c>
      <c r="G13" s="38">
        <v>9</v>
      </c>
      <c r="H13" s="40" t="s">
        <v>83</v>
      </c>
      <c r="J13" s="33"/>
      <c r="K13" s="33"/>
    </row>
    <row r="14" spans="1:11" ht="15" hidden="1" customHeight="1" x14ac:dyDescent="0.25">
      <c r="A14" s="36" t="s">
        <v>93</v>
      </c>
      <c r="B14" s="36" t="s">
        <v>84</v>
      </c>
      <c r="C14" s="36" t="s">
        <v>104</v>
      </c>
      <c r="D14" s="37">
        <v>45819</v>
      </c>
      <c r="E14" s="38">
        <v>20</v>
      </c>
      <c r="F14" s="39">
        <v>200</v>
      </c>
      <c r="G14" s="38">
        <v>7</v>
      </c>
      <c r="H14" s="40" t="s">
        <v>100</v>
      </c>
      <c r="J14" s="33"/>
      <c r="K14" s="33"/>
    </row>
    <row r="15" spans="1:11" ht="15" hidden="1" customHeight="1" x14ac:dyDescent="0.25">
      <c r="A15" s="36" t="s">
        <v>90</v>
      </c>
      <c r="B15" s="36" t="s">
        <v>84</v>
      </c>
      <c r="C15" s="36" t="s">
        <v>104</v>
      </c>
      <c r="D15" s="37">
        <v>45470</v>
      </c>
      <c r="E15" s="38">
        <v>24</v>
      </c>
      <c r="F15" s="39">
        <v>310</v>
      </c>
      <c r="G15" s="38">
        <v>7</v>
      </c>
      <c r="H15" s="40" t="s">
        <v>83</v>
      </c>
      <c r="J15" s="33"/>
      <c r="K15" s="33"/>
    </row>
    <row r="16" spans="1:11" ht="15" customHeight="1" x14ac:dyDescent="0.25">
      <c r="A16" s="36" t="s">
        <v>81</v>
      </c>
      <c r="B16" s="36" t="s">
        <v>84</v>
      </c>
      <c r="C16" s="36" t="s">
        <v>106</v>
      </c>
      <c r="D16" s="37">
        <v>45173</v>
      </c>
      <c r="E16" s="38">
        <v>12</v>
      </c>
      <c r="F16" s="39">
        <v>180</v>
      </c>
      <c r="G16" s="38">
        <v>12</v>
      </c>
      <c r="H16" s="40" t="s">
        <v>95</v>
      </c>
      <c r="J16" s="33"/>
      <c r="K16" s="33"/>
    </row>
    <row r="17" spans="1:11" ht="15" hidden="1" customHeight="1" x14ac:dyDescent="0.25">
      <c r="A17" s="36" t="s">
        <v>90</v>
      </c>
      <c r="B17" s="36" t="s">
        <v>84</v>
      </c>
      <c r="C17" s="36" t="s">
        <v>104</v>
      </c>
      <c r="D17" s="37">
        <v>45253</v>
      </c>
      <c r="E17" s="38">
        <v>24</v>
      </c>
      <c r="F17" s="39">
        <v>310</v>
      </c>
      <c r="G17" s="38">
        <v>7</v>
      </c>
      <c r="H17" s="40" t="s">
        <v>92</v>
      </c>
      <c r="J17" s="33"/>
      <c r="K17"/>
    </row>
    <row r="18" spans="1:11" ht="15" hidden="1" customHeight="1" x14ac:dyDescent="0.25">
      <c r="A18" s="36" t="s">
        <v>90</v>
      </c>
      <c r="B18" s="36" t="s">
        <v>84</v>
      </c>
      <c r="C18" s="36" t="s">
        <v>106</v>
      </c>
      <c r="D18" s="37">
        <v>45820</v>
      </c>
      <c r="E18" s="38">
        <v>24</v>
      </c>
      <c r="F18" s="39">
        <v>310</v>
      </c>
      <c r="G18" s="38">
        <v>11</v>
      </c>
      <c r="H18" s="40" t="s">
        <v>102</v>
      </c>
      <c r="J18"/>
      <c r="K18"/>
    </row>
    <row r="19" spans="1:11" ht="15" hidden="1" customHeight="1" x14ac:dyDescent="0.25">
      <c r="A19" s="36" t="s">
        <v>86</v>
      </c>
      <c r="B19" s="36" t="s">
        <v>82</v>
      </c>
      <c r="C19" s="36" t="s">
        <v>105</v>
      </c>
      <c r="D19" s="37">
        <v>45705</v>
      </c>
      <c r="E19" s="38">
        <v>16</v>
      </c>
      <c r="F19" s="39">
        <v>210</v>
      </c>
      <c r="G19" s="38">
        <v>12</v>
      </c>
      <c r="H19" s="40" t="s">
        <v>85</v>
      </c>
      <c r="J19"/>
      <c r="K19"/>
    </row>
    <row r="20" spans="1:11" ht="15" hidden="1" customHeight="1" x14ac:dyDescent="0.25">
      <c r="A20" s="36" t="s">
        <v>81</v>
      </c>
      <c r="B20" s="36" t="s">
        <v>84</v>
      </c>
      <c r="C20" s="36" t="s">
        <v>88</v>
      </c>
      <c r="D20" s="37">
        <v>45475</v>
      </c>
      <c r="E20" s="38">
        <v>12</v>
      </c>
      <c r="F20" s="39">
        <v>180</v>
      </c>
      <c r="G20" s="38">
        <v>8</v>
      </c>
      <c r="H20" s="40" t="s">
        <v>83</v>
      </c>
      <c r="J20"/>
      <c r="K20"/>
    </row>
    <row r="21" spans="1:11" ht="15" hidden="1" customHeight="1" x14ac:dyDescent="0.25">
      <c r="A21" s="36" t="s">
        <v>90</v>
      </c>
      <c r="B21" s="36" t="s">
        <v>84</v>
      </c>
      <c r="C21" s="36" t="s">
        <v>106</v>
      </c>
      <c r="D21" s="37">
        <v>45743</v>
      </c>
      <c r="E21" s="38">
        <v>24</v>
      </c>
      <c r="F21" s="39">
        <v>310</v>
      </c>
      <c r="G21" s="38">
        <v>12</v>
      </c>
      <c r="H21" s="40" t="s">
        <v>91</v>
      </c>
      <c r="J21"/>
      <c r="K21"/>
    </row>
    <row r="22" spans="1:11" ht="15" hidden="1" customHeight="1" x14ac:dyDescent="0.25">
      <c r="A22" s="36" t="s">
        <v>90</v>
      </c>
      <c r="B22" s="36" t="s">
        <v>82</v>
      </c>
      <c r="C22" s="36" t="s">
        <v>106</v>
      </c>
      <c r="D22" s="37">
        <v>45127</v>
      </c>
      <c r="E22" s="38">
        <v>24</v>
      </c>
      <c r="F22" s="39">
        <v>310</v>
      </c>
      <c r="G22" s="38">
        <v>6</v>
      </c>
      <c r="H22" s="40" t="s">
        <v>89</v>
      </c>
      <c r="J22"/>
      <c r="K22"/>
    </row>
    <row r="23" spans="1:11" ht="15" hidden="1" customHeight="1" x14ac:dyDescent="0.25">
      <c r="A23" s="36" t="s">
        <v>90</v>
      </c>
      <c r="B23" s="36" t="s">
        <v>84</v>
      </c>
      <c r="C23" s="36" t="s">
        <v>88</v>
      </c>
      <c r="D23" s="37">
        <v>45820</v>
      </c>
      <c r="E23" s="38">
        <v>24</v>
      </c>
      <c r="F23" s="39">
        <v>310</v>
      </c>
      <c r="G23" s="38">
        <v>6</v>
      </c>
      <c r="H23" s="40" t="s">
        <v>85</v>
      </c>
      <c r="J23"/>
      <c r="K23"/>
    </row>
    <row r="24" spans="1:11" ht="15" customHeight="1" x14ac:dyDescent="0.25">
      <c r="A24" s="36" t="s">
        <v>96</v>
      </c>
      <c r="B24" s="36" t="s">
        <v>87</v>
      </c>
      <c r="C24" s="36" t="s">
        <v>88</v>
      </c>
      <c r="D24" s="37">
        <v>45108</v>
      </c>
      <c r="E24" s="38">
        <v>16</v>
      </c>
      <c r="F24" s="39">
        <v>250</v>
      </c>
      <c r="G24" s="38">
        <v>10</v>
      </c>
      <c r="H24" s="40" t="s">
        <v>99</v>
      </c>
      <c r="J24"/>
      <c r="K24"/>
    </row>
    <row r="25" spans="1:11" ht="15" hidden="1" customHeight="1" x14ac:dyDescent="0.25">
      <c r="A25" s="36" t="s">
        <v>90</v>
      </c>
      <c r="B25" s="36" t="s">
        <v>87</v>
      </c>
      <c r="C25" s="36" t="s">
        <v>104</v>
      </c>
      <c r="D25" s="37">
        <v>45246</v>
      </c>
      <c r="E25" s="38">
        <v>16</v>
      </c>
      <c r="F25" s="39">
        <v>380</v>
      </c>
      <c r="G25" s="38">
        <v>10</v>
      </c>
      <c r="H25" s="40" t="s">
        <v>94</v>
      </c>
      <c r="J25"/>
      <c r="K25"/>
    </row>
    <row r="26" spans="1:11" ht="15" hidden="1" customHeight="1" x14ac:dyDescent="0.25">
      <c r="A26" s="36" t="s">
        <v>81</v>
      </c>
      <c r="B26" s="36" t="s">
        <v>84</v>
      </c>
      <c r="C26" s="36" t="s">
        <v>88</v>
      </c>
      <c r="D26" s="37">
        <v>45701</v>
      </c>
      <c r="E26" s="38">
        <v>12</v>
      </c>
      <c r="F26" s="39">
        <v>180</v>
      </c>
      <c r="G26" s="38">
        <v>6</v>
      </c>
      <c r="H26" s="40" t="s">
        <v>94</v>
      </c>
      <c r="J26"/>
      <c r="K26"/>
    </row>
    <row r="27" spans="1:11" ht="15" customHeight="1" x14ac:dyDescent="0.25">
      <c r="A27" s="36" t="s">
        <v>90</v>
      </c>
      <c r="B27" s="36" t="s">
        <v>84</v>
      </c>
      <c r="C27" s="36" t="s">
        <v>104</v>
      </c>
      <c r="D27" s="37">
        <v>45115</v>
      </c>
      <c r="E27" s="38">
        <v>24</v>
      </c>
      <c r="F27" s="39">
        <v>310</v>
      </c>
      <c r="G27" s="38">
        <v>7</v>
      </c>
      <c r="H27" s="40" t="s">
        <v>99</v>
      </c>
      <c r="J27"/>
      <c r="K27"/>
    </row>
    <row r="28" spans="1:11" ht="15" hidden="1" customHeight="1" x14ac:dyDescent="0.25">
      <c r="A28" s="36" t="s">
        <v>81</v>
      </c>
      <c r="B28" s="36" t="s">
        <v>84</v>
      </c>
      <c r="C28" s="36" t="s">
        <v>106</v>
      </c>
      <c r="D28" s="37">
        <v>45217</v>
      </c>
      <c r="E28" s="38">
        <v>12</v>
      </c>
      <c r="F28" s="39">
        <v>180</v>
      </c>
      <c r="G28" s="38">
        <v>9</v>
      </c>
      <c r="H28" s="40" t="s">
        <v>102</v>
      </c>
      <c r="J28"/>
      <c r="K28"/>
    </row>
    <row r="29" spans="1:11" ht="15" hidden="1" customHeight="1" x14ac:dyDescent="0.25">
      <c r="A29" s="36" t="s">
        <v>90</v>
      </c>
      <c r="B29" s="36" t="s">
        <v>82</v>
      </c>
      <c r="C29" s="36" t="s">
        <v>104</v>
      </c>
      <c r="D29" s="37">
        <v>45831</v>
      </c>
      <c r="E29" s="38">
        <v>16</v>
      </c>
      <c r="F29" s="39">
        <v>380</v>
      </c>
      <c r="G29" s="38">
        <v>11</v>
      </c>
      <c r="H29" s="40" t="s">
        <v>92</v>
      </c>
      <c r="J29"/>
      <c r="K29"/>
    </row>
    <row r="30" spans="1:11" ht="15" hidden="1" customHeight="1" x14ac:dyDescent="0.25">
      <c r="A30" s="36" t="s">
        <v>90</v>
      </c>
      <c r="B30" s="36" t="s">
        <v>84</v>
      </c>
      <c r="C30" s="36" t="s">
        <v>106</v>
      </c>
      <c r="D30" s="37">
        <v>45747</v>
      </c>
      <c r="E30" s="38">
        <v>24</v>
      </c>
      <c r="F30" s="39">
        <v>310</v>
      </c>
      <c r="G30" s="38">
        <v>7</v>
      </c>
      <c r="H30" s="40" t="s">
        <v>89</v>
      </c>
      <c r="J30"/>
      <c r="K30"/>
    </row>
    <row r="31" spans="1:11" ht="15" hidden="1" customHeight="1" x14ac:dyDescent="0.25">
      <c r="A31" s="36" t="s">
        <v>86</v>
      </c>
      <c r="B31" s="36" t="s">
        <v>82</v>
      </c>
      <c r="C31" s="36" t="s">
        <v>106</v>
      </c>
      <c r="D31" s="37">
        <v>45828</v>
      </c>
      <c r="E31" s="38">
        <v>16</v>
      </c>
      <c r="F31" s="39">
        <v>210</v>
      </c>
      <c r="G31" s="38">
        <v>11</v>
      </c>
      <c r="H31" s="40" t="s">
        <v>92</v>
      </c>
      <c r="J31"/>
      <c r="K31"/>
    </row>
    <row r="32" spans="1:11" ht="15" customHeight="1" x14ac:dyDescent="0.25">
      <c r="A32" s="36" t="s">
        <v>86</v>
      </c>
      <c r="B32" s="36" t="s">
        <v>84</v>
      </c>
      <c r="C32" s="36" t="s">
        <v>88</v>
      </c>
      <c r="D32" s="37">
        <v>45700</v>
      </c>
      <c r="E32" s="38">
        <v>20</v>
      </c>
      <c r="F32" s="39">
        <v>280</v>
      </c>
      <c r="G32" s="38">
        <v>9</v>
      </c>
      <c r="H32" s="40" t="s">
        <v>99</v>
      </c>
      <c r="J32"/>
      <c r="K32"/>
    </row>
    <row r="33" spans="1:11" ht="15" hidden="1" customHeight="1" x14ac:dyDescent="0.25">
      <c r="A33" s="36" t="s">
        <v>81</v>
      </c>
      <c r="B33" s="36" t="s">
        <v>84</v>
      </c>
      <c r="C33" s="36" t="s">
        <v>106</v>
      </c>
      <c r="D33" s="37">
        <v>45114</v>
      </c>
      <c r="E33" s="38">
        <v>12</v>
      </c>
      <c r="F33" s="39">
        <v>180</v>
      </c>
      <c r="G33" s="38">
        <v>8</v>
      </c>
      <c r="H33" s="40" t="s">
        <v>89</v>
      </c>
      <c r="J33"/>
      <c r="K33"/>
    </row>
    <row r="34" spans="1:11" ht="15" hidden="1" customHeight="1" x14ac:dyDescent="0.25">
      <c r="A34" s="36" t="s">
        <v>86</v>
      </c>
      <c r="B34" s="36" t="s">
        <v>82</v>
      </c>
      <c r="C34" s="36" t="s">
        <v>105</v>
      </c>
      <c r="D34" s="37">
        <v>45092</v>
      </c>
      <c r="E34" s="38">
        <v>16</v>
      </c>
      <c r="F34" s="39">
        <v>210</v>
      </c>
      <c r="G34" s="38">
        <v>7</v>
      </c>
      <c r="H34" s="40" t="s">
        <v>102</v>
      </c>
      <c r="J34"/>
      <c r="K34"/>
    </row>
    <row r="35" spans="1:11" ht="15" hidden="1" customHeight="1" x14ac:dyDescent="0.25">
      <c r="A35" s="36" t="s">
        <v>90</v>
      </c>
      <c r="B35" s="36" t="s">
        <v>84</v>
      </c>
      <c r="C35" s="36" t="s">
        <v>106</v>
      </c>
      <c r="D35" s="37">
        <v>45079</v>
      </c>
      <c r="E35" s="38">
        <v>24</v>
      </c>
      <c r="F35" s="39">
        <v>310</v>
      </c>
      <c r="G35" s="38">
        <v>9</v>
      </c>
      <c r="H35" s="40" t="s">
        <v>83</v>
      </c>
      <c r="J35"/>
      <c r="K35"/>
    </row>
    <row r="36" spans="1:11" ht="15" customHeight="1" x14ac:dyDescent="0.25">
      <c r="A36" s="36" t="s">
        <v>86</v>
      </c>
      <c r="B36" s="36" t="s">
        <v>84</v>
      </c>
      <c r="C36" s="36" t="s">
        <v>88</v>
      </c>
      <c r="D36" s="37">
        <v>45469</v>
      </c>
      <c r="E36" s="38">
        <v>20</v>
      </c>
      <c r="F36" s="39">
        <v>280</v>
      </c>
      <c r="G36" s="38">
        <v>8</v>
      </c>
      <c r="H36" s="40" t="s">
        <v>99</v>
      </c>
      <c r="J36"/>
      <c r="K36"/>
    </row>
    <row r="37" spans="1:11" ht="15" hidden="1" customHeight="1" x14ac:dyDescent="0.25">
      <c r="A37" s="36" t="s">
        <v>86</v>
      </c>
      <c r="B37" s="36" t="s">
        <v>87</v>
      </c>
      <c r="C37" s="36" t="s">
        <v>106</v>
      </c>
      <c r="D37" s="37">
        <v>45479</v>
      </c>
      <c r="E37" s="38">
        <v>20</v>
      </c>
      <c r="F37" s="39">
        <v>280</v>
      </c>
      <c r="G37" s="38">
        <v>8</v>
      </c>
      <c r="H37" s="40" t="s">
        <v>94</v>
      </c>
      <c r="J37"/>
      <c r="K37"/>
    </row>
    <row r="38" spans="1:11" ht="15" customHeight="1" x14ac:dyDescent="0.25">
      <c r="A38" s="36" t="s">
        <v>90</v>
      </c>
      <c r="B38" s="36" t="s">
        <v>84</v>
      </c>
      <c r="C38" s="36" t="s">
        <v>104</v>
      </c>
      <c r="D38" s="37">
        <v>45705</v>
      </c>
      <c r="E38" s="38">
        <v>24</v>
      </c>
      <c r="F38" s="39">
        <v>310</v>
      </c>
      <c r="G38" s="38">
        <v>7</v>
      </c>
      <c r="H38" s="40" t="s">
        <v>95</v>
      </c>
      <c r="J38"/>
      <c r="K38"/>
    </row>
    <row r="39" spans="1:11" ht="15" hidden="1" customHeight="1" x14ac:dyDescent="0.25">
      <c r="A39" s="36" t="s">
        <v>93</v>
      </c>
      <c r="B39" s="36" t="s">
        <v>82</v>
      </c>
      <c r="C39" s="36" t="s">
        <v>104</v>
      </c>
      <c r="D39" s="37">
        <v>45225</v>
      </c>
      <c r="E39" s="38">
        <v>20</v>
      </c>
      <c r="F39" s="39">
        <v>200</v>
      </c>
      <c r="G39" s="38">
        <v>7</v>
      </c>
      <c r="H39" s="40" t="s">
        <v>101</v>
      </c>
      <c r="J39"/>
      <c r="K39"/>
    </row>
    <row r="40" spans="1:11" ht="15" hidden="1" customHeight="1" x14ac:dyDescent="0.25">
      <c r="A40" s="36" t="s">
        <v>86</v>
      </c>
      <c r="B40" s="36" t="s">
        <v>87</v>
      </c>
      <c r="C40" s="36" t="s">
        <v>104</v>
      </c>
      <c r="D40" s="37">
        <v>45819</v>
      </c>
      <c r="E40" s="38">
        <v>20</v>
      </c>
      <c r="F40" s="39">
        <v>320</v>
      </c>
      <c r="G40" s="38">
        <v>11</v>
      </c>
      <c r="H40" s="40" t="s">
        <v>92</v>
      </c>
      <c r="J40"/>
      <c r="K40"/>
    </row>
    <row r="41" spans="1:11" ht="15" hidden="1" customHeight="1" x14ac:dyDescent="0.25">
      <c r="A41" s="36" t="s">
        <v>86</v>
      </c>
      <c r="B41" s="36" t="s">
        <v>84</v>
      </c>
      <c r="C41" s="36" t="s">
        <v>106</v>
      </c>
      <c r="D41" s="37">
        <v>45119</v>
      </c>
      <c r="E41" s="38">
        <v>20</v>
      </c>
      <c r="F41" s="39">
        <v>280</v>
      </c>
      <c r="G41" s="38">
        <v>8</v>
      </c>
      <c r="H41" s="40" t="s">
        <v>89</v>
      </c>
      <c r="J41"/>
      <c r="K41"/>
    </row>
    <row r="42" spans="1:11" ht="15" hidden="1" customHeight="1" x14ac:dyDescent="0.25">
      <c r="A42" s="36" t="s">
        <v>86</v>
      </c>
      <c r="B42" s="36" t="s">
        <v>82</v>
      </c>
      <c r="C42" s="36" t="s">
        <v>105</v>
      </c>
      <c r="D42" s="37">
        <v>45749</v>
      </c>
      <c r="E42" s="38">
        <v>16</v>
      </c>
      <c r="F42" s="39">
        <v>210</v>
      </c>
      <c r="G42" s="38">
        <v>8</v>
      </c>
      <c r="H42" s="40" t="s">
        <v>89</v>
      </c>
      <c r="J42"/>
      <c r="K42"/>
    </row>
    <row r="43" spans="1:11" ht="15" customHeight="1" x14ac:dyDescent="0.25">
      <c r="A43" s="36" t="s">
        <v>90</v>
      </c>
      <c r="B43" s="36" t="s">
        <v>84</v>
      </c>
      <c r="C43" s="36" t="s">
        <v>104</v>
      </c>
      <c r="D43" s="37">
        <v>45744</v>
      </c>
      <c r="E43" s="38">
        <v>24</v>
      </c>
      <c r="F43" s="39">
        <v>310</v>
      </c>
      <c r="G43" s="38">
        <v>12</v>
      </c>
      <c r="H43" s="40" t="s">
        <v>95</v>
      </c>
      <c r="J43"/>
      <c r="K43"/>
    </row>
    <row r="44" spans="1:11" ht="15" hidden="1" customHeight="1" x14ac:dyDescent="0.25">
      <c r="A44" s="36" t="s">
        <v>90</v>
      </c>
      <c r="B44" s="36" t="s">
        <v>84</v>
      </c>
      <c r="C44" s="36" t="s">
        <v>104</v>
      </c>
      <c r="D44" s="37">
        <v>45828</v>
      </c>
      <c r="E44" s="38">
        <v>24</v>
      </c>
      <c r="F44" s="39">
        <v>310</v>
      </c>
      <c r="G44" s="38">
        <v>12</v>
      </c>
      <c r="H44" s="40" t="s">
        <v>102</v>
      </c>
      <c r="J44"/>
      <c r="K44"/>
    </row>
    <row r="45" spans="1:11" ht="15" customHeight="1" x14ac:dyDescent="0.25">
      <c r="A45" s="36" t="s">
        <v>86</v>
      </c>
      <c r="B45" s="36" t="s">
        <v>84</v>
      </c>
      <c r="C45" s="36" t="s">
        <v>88</v>
      </c>
      <c r="D45" s="37">
        <v>45034</v>
      </c>
      <c r="E45" s="38">
        <v>20</v>
      </c>
      <c r="F45" s="39">
        <v>280</v>
      </c>
      <c r="G45" s="38">
        <v>11</v>
      </c>
      <c r="H45" s="40" t="s">
        <v>95</v>
      </c>
      <c r="J45"/>
      <c r="K45"/>
    </row>
    <row r="46" spans="1:11" ht="15" hidden="1" customHeight="1" x14ac:dyDescent="0.25">
      <c r="A46" s="36" t="s">
        <v>90</v>
      </c>
      <c r="B46" s="36" t="s">
        <v>87</v>
      </c>
      <c r="C46" s="36" t="s">
        <v>104</v>
      </c>
      <c r="D46" s="37">
        <v>45706</v>
      </c>
      <c r="E46" s="38">
        <v>16</v>
      </c>
      <c r="F46" s="39">
        <v>380</v>
      </c>
      <c r="G46" s="38">
        <v>8</v>
      </c>
      <c r="H46" s="40" t="s">
        <v>89</v>
      </c>
      <c r="J46"/>
      <c r="K46"/>
    </row>
    <row r="47" spans="1:11" ht="15" hidden="1" customHeight="1" x14ac:dyDescent="0.25">
      <c r="A47" s="36" t="s">
        <v>90</v>
      </c>
      <c r="B47" s="36" t="s">
        <v>84</v>
      </c>
      <c r="C47" s="36" t="s">
        <v>104</v>
      </c>
      <c r="D47" s="37">
        <v>45743</v>
      </c>
      <c r="E47" s="38">
        <v>24</v>
      </c>
      <c r="F47" s="39">
        <v>310</v>
      </c>
      <c r="G47" s="38">
        <v>8</v>
      </c>
      <c r="H47" s="40" t="s">
        <v>85</v>
      </c>
      <c r="J47"/>
      <c r="K47"/>
    </row>
    <row r="48" spans="1:11" ht="15" hidden="1" customHeight="1" x14ac:dyDescent="0.25">
      <c r="A48" s="36" t="s">
        <v>90</v>
      </c>
      <c r="B48" s="36" t="s">
        <v>84</v>
      </c>
      <c r="C48" s="36" t="s">
        <v>104</v>
      </c>
      <c r="D48" s="37">
        <v>45114</v>
      </c>
      <c r="E48" s="38">
        <v>24</v>
      </c>
      <c r="F48" s="39">
        <v>310</v>
      </c>
      <c r="G48" s="38">
        <v>10</v>
      </c>
      <c r="H48" s="40" t="s">
        <v>97</v>
      </c>
      <c r="J48"/>
      <c r="K48"/>
    </row>
    <row r="49" spans="1:11" ht="15" hidden="1" customHeight="1" x14ac:dyDescent="0.25">
      <c r="A49" s="36" t="s">
        <v>86</v>
      </c>
      <c r="B49" s="36" t="s">
        <v>87</v>
      </c>
      <c r="C49" s="36" t="s">
        <v>104</v>
      </c>
      <c r="D49" s="37">
        <v>45751</v>
      </c>
      <c r="E49" s="38">
        <v>20</v>
      </c>
      <c r="F49" s="39">
        <v>320</v>
      </c>
      <c r="G49" s="38">
        <v>10</v>
      </c>
      <c r="H49" s="40" t="s">
        <v>97</v>
      </c>
      <c r="J49"/>
      <c r="K49"/>
    </row>
    <row r="50" spans="1:11" ht="15" hidden="1" customHeight="1" x14ac:dyDescent="0.25">
      <c r="A50" s="36" t="s">
        <v>86</v>
      </c>
      <c r="B50" s="36" t="s">
        <v>84</v>
      </c>
      <c r="C50" s="36" t="s">
        <v>106</v>
      </c>
      <c r="D50" s="37">
        <v>45246</v>
      </c>
      <c r="E50" s="38">
        <v>20</v>
      </c>
      <c r="F50" s="39">
        <v>280</v>
      </c>
      <c r="G50" s="38">
        <v>12</v>
      </c>
      <c r="H50" s="40" t="s">
        <v>89</v>
      </c>
      <c r="J50"/>
      <c r="K50"/>
    </row>
    <row r="51" spans="1:11" ht="15" hidden="1" customHeight="1" x14ac:dyDescent="0.25">
      <c r="A51" s="36" t="s">
        <v>86</v>
      </c>
      <c r="B51" s="36" t="s">
        <v>84</v>
      </c>
      <c r="C51" s="36" t="s">
        <v>106</v>
      </c>
      <c r="D51" s="37">
        <v>45016</v>
      </c>
      <c r="E51" s="38">
        <v>20</v>
      </c>
      <c r="F51" s="39">
        <v>280</v>
      </c>
      <c r="G51" s="38">
        <v>8</v>
      </c>
      <c r="H51" s="40" t="s">
        <v>101</v>
      </c>
      <c r="J51"/>
      <c r="K51"/>
    </row>
    <row r="52" spans="1:11" ht="15" hidden="1" customHeight="1" x14ac:dyDescent="0.25">
      <c r="A52" s="36" t="s">
        <v>86</v>
      </c>
      <c r="B52" s="36" t="s">
        <v>84</v>
      </c>
      <c r="C52" s="36" t="s">
        <v>106</v>
      </c>
      <c r="D52" s="37">
        <v>45216</v>
      </c>
      <c r="E52" s="38">
        <v>20</v>
      </c>
      <c r="F52" s="39">
        <v>280</v>
      </c>
      <c r="G52" s="38">
        <v>11</v>
      </c>
      <c r="H52" s="40" t="s">
        <v>89</v>
      </c>
      <c r="J52"/>
      <c r="K52"/>
    </row>
    <row r="53" spans="1:11" ht="15" hidden="1" customHeight="1" x14ac:dyDescent="0.25">
      <c r="A53" s="36" t="s">
        <v>90</v>
      </c>
      <c r="B53" s="36" t="s">
        <v>84</v>
      </c>
      <c r="C53" s="36" t="s">
        <v>104</v>
      </c>
      <c r="D53" s="37">
        <v>45008</v>
      </c>
      <c r="E53" s="38">
        <v>24</v>
      </c>
      <c r="F53" s="39">
        <v>310</v>
      </c>
      <c r="G53" s="38">
        <v>11</v>
      </c>
      <c r="H53" s="40" t="s">
        <v>89</v>
      </c>
      <c r="J53"/>
      <c r="K53"/>
    </row>
    <row r="54" spans="1:11" ht="15" hidden="1" customHeight="1" x14ac:dyDescent="0.25">
      <c r="A54" s="36" t="s">
        <v>93</v>
      </c>
      <c r="B54" s="36" t="s">
        <v>84</v>
      </c>
      <c r="C54" s="36" t="s">
        <v>104</v>
      </c>
      <c r="D54" s="37">
        <v>45254</v>
      </c>
      <c r="E54" s="38">
        <v>20</v>
      </c>
      <c r="F54" s="39">
        <v>200</v>
      </c>
      <c r="G54" s="38">
        <v>7</v>
      </c>
      <c r="H54" s="40" t="s">
        <v>83</v>
      </c>
      <c r="J54"/>
      <c r="K54"/>
    </row>
    <row r="55" spans="1:11" ht="15" hidden="1" customHeight="1" x14ac:dyDescent="0.25">
      <c r="A55" s="36" t="s">
        <v>96</v>
      </c>
      <c r="B55" s="36" t="s">
        <v>82</v>
      </c>
      <c r="C55" s="36" t="s">
        <v>88</v>
      </c>
      <c r="D55" s="37">
        <v>45700</v>
      </c>
      <c r="E55" s="38">
        <v>12</v>
      </c>
      <c r="F55" s="39">
        <v>160</v>
      </c>
      <c r="G55" s="38">
        <v>8</v>
      </c>
      <c r="H55" s="40" t="s">
        <v>100</v>
      </c>
      <c r="J55"/>
      <c r="K55"/>
    </row>
    <row r="56" spans="1:11" ht="15" hidden="1" customHeight="1" x14ac:dyDescent="0.25">
      <c r="A56" s="36" t="s">
        <v>86</v>
      </c>
      <c r="B56" s="36" t="s">
        <v>87</v>
      </c>
      <c r="C56" s="36" t="s">
        <v>105</v>
      </c>
      <c r="D56" s="37">
        <v>45744</v>
      </c>
      <c r="E56" s="38">
        <v>16</v>
      </c>
      <c r="F56" s="39">
        <v>210</v>
      </c>
      <c r="G56" s="38">
        <v>9</v>
      </c>
      <c r="H56" s="40" t="s">
        <v>98</v>
      </c>
      <c r="J56"/>
      <c r="K56"/>
    </row>
    <row r="57" spans="1:11" ht="15" hidden="1" customHeight="1" x14ac:dyDescent="0.25">
      <c r="A57" s="36" t="s">
        <v>90</v>
      </c>
      <c r="B57" s="36" t="s">
        <v>87</v>
      </c>
      <c r="C57" s="36" t="s">
        <v>106</v>
      </c>
      <c r="D57" s="37">
        <v>45247</v>
      </c>
      <c r="E57" s="38">
        <v>16</v>
      </c>
      <c r="F57" s="39">
        <v>380</v>
      </c>
      <c r="G57" s="38">
        <v>7</v>
      </c>
      <c r="H57" s="40" t="s">
        <v>89</v>
      </c>
      <c r="J57"/>
      <c r="K57"/>
    </row>
    <row r="58" spans="1:11" ht="15" hidden="1" customHeight="1" x14ac:dyDescent="0.25">
      <c r="A58" s="36" t="s">
        <v>86</v>
      </c>
      <c r="B58" s="36" t="s">
        <v>87</v>
      </c>
      <c r="C58" s="36" t="s">
        <v>88</v>
      </c>
      <c r="D58" s="37">
        <v>45469</v>
      </c>
      <c r="E58" s="38">
        <v>16</v>
      </c>
      <c r="F58" s="39">
        <v>210</v>
      </c>
      <c r="G58" s="38">
        <v>7</v>
      </c>
      <c r="H58" s="40" t="s">
        <v>89</v>
      </c>
      <c r="J58"/>
      <c r="K58"/>
    </row>
    <row r="59" spans="1:11" ht="15" customHeight="1" x14ac:dyDescent="0.25">
      <c r="A59" s="36" t="s">
        <v>86</v>
      </c>
      <c r="B59" s="36" t="s">
        <v>87</v>
      </c>
      <c r="C59" s="36" t="s">
        <v>106</v>
      </c>
      <c r="D59" s="37">
        <v>44988</v>
      </c>
      <c r="E59" s="38">
        <v>16</v>
      </c>
      <c r="F59" s="39">
        <v>210</v>
      </c>
      <c r="G59" s="38">
        <v>7</v>
      </c>
      <c r="H59" s="40" t="s">
        <v>99</v>
      </c>
      <c r="J59"/>
      <c r="K59"/>
    </row>
    <row r="60" spans="1:11" ht="15" hidden="1" customHeight="1" x14ac:dyDescent="0.25">
      <c r="A60" s="36" t="s">
        <v>90</v>
      </c>
      <c r="B60" s="36" t="s">
        <v>84</v>
      </c>
      <c r="C60" s="36" t="s">
        <v>106</v>
      </c>
      <c r="D60" s="37">
        <v>44986</v>
      </c>
      <c r="E60" s="38">
        <v>24</v>
      </c>
      <c r="F60" s="39">
        <v>310</v>
      </c>
      <c r="G60" s="38">
        <v>7</v>
      </c>
      <c r="H60" s="40" t="s">
        <v>83</v>
      </c>
      <c r="J60"/>
      <c r="K60"/>
    </row>
    <row r="61" spans="1:11" ht="15" hidden="1" customHeight="1" x14ac:dyDescent="0.25">
      <c r="A61" s="36" t="s">
        <v>90</v>
      </c>
      <c r="B61" s="36" t="s">
        <v>87</v>
      </c>
      <c r="C61" s="36" t="s">
        <v>106</v>
      </c>
      <c r="D61" s="37">
        <v>45707</v>
      </c>
      <c r="E61" s="38">
        <v>16</v>
      </c>
      <c r="F61" s="39">
        <v>380</v>
      </c>
      <c r="G61" s="38">
        <v>10</v>
      </c>
      <c r="H61" s="40" t="s">
        <v>89</v>
      </c>
      <c r="J61"/>
      <c r="K61"/>
    </row>
    <row r="62" spans="1:11" ht="15" hidden="1" customHeight="1" x14ac:dyDescent="0.25">
      <c r="A62" s="36" t="s">
        <v>93</v>
      </c>
      <c r="B62" s="36" t="s">
        <v>84</v>
      </c>
      <c r="C62" s="36" t="s">
        <v>104</v>
      </c>
      <c r="D62" s="37">
        <v>45255</v>
      </c>
      <c r="E62" s="38">
        <v>20</v>
      </c>
      <c r="F62" s="39">
        <v>200</v>
      </c>
      <c r="G62" s="38">
        <v>6</v>
      </c>
      <c r="H62" s="40" t="s">
        <v>98</v>
      </c>
      <c r="J62"/>
      <c r="K62"/>
    </row>
    <row r="63" spans="1:11" ht="15" hidden="1" customHeight="1" x14ac:dyDescent="0.25">
      <c r="A63" s="36" t="s">
        <v>96</v>
      </c>
      <c r="B63" s="36" t="s">
        <v>82</v>
      </c>
      <c r="C63" s="36" t="s">
        <v>106</v>
      </c>
      <c r="D63" s="37">
        <v>44976</v>
      </c>
      <c r="E63" s="38">
        <v>12</v>
      </c>
      <c r="F63" s="39">
        <v>160</v>
      </c>
      <c r="G63" s="38">
        <v>10</v>
      </c>
      <c r="H63" s="40" t="s">
        <v>97</v>
      </c>
      <c r="J63"/>
      <c r="K63"/>
    </row>
    <row r="64" spans="1:11" ht="15" customHeight="1" x14ac:dyDescent="0.25">
      <c r="A64" s="36" t="s">
        <v>90</v>
      </c>
      <c r="B64" s="36" t="s">
        <v>84</v>
      </c>
      <c r="C64" s="36" t="s">
        <v>104</v>
      </c>
      <c r="D64" s="37">
        <v>45115</v>
      </c>
      <c r="E64" s="38">
        <v>24</v>
      </c>
      <c r="F64" s="39">
        <v>310</v>
      </c>
      <c r="G64" s="38">
        <v>7</v>
      </c>
      <c r="H64" s="40" t="s">
        <v>95</v>
      </c>
      <c r="J64"/>
      <c r="K64"/>
    </row>
    <row r="65" spans="1:11" ht="15" hidden="1" customHeight="1" x14ac:dyDescent="0.25">
      <c r="A65" s="36" t="s">
        <v>90</v>
      </c>
      <c r="B65" s="36" t="s">
        <v>84</v>
      </c>
      <c r="C65" s="36" t="s">
        <v>106</v>
      </c>
      <c r="D65" s="37">
        <v>44962</v>
      </c>
      <c r="E65" s="38">
        <v>24</v>
      </c>
      <c r="F65" s="39">
        <v>310</v>
      </c>
      <c r="G65" s="38">
        <v>9</v>
      </c>
      <c r="H65" s="40" t="s">
        <v>92</v>
      </c>
      <c r="J65"/>
      <c r="K65"/>
    </row>
    <row r="66" spans="1:11" ht="15" hidden="1" customHeight="1" x14ac:dyDescent="0.25">
      <c r="A66" s="36" t="s">
        <v>93</v>
      </c>
      <c r="B66" s="36" t="s">
        <v>84</v>
      </c>
      <c r="C66" s="36" t="s">
        <v>104</v>
      </c>
      <c r="D66" s="37">
        <v>45216</v>
      </c>
      <c r="E66" s="38">
        <v>20</v>
      </c>
      <c r="F66" s="39">
        <v>200</v>
      </c>
      <c r="G66" s="38">
        <v>7</v>
      </c>
      <c r="H66" s="40" t="s">
        <v>94</v>
      </c>
      <c r="J66"/>
      <c r="K66"/>
    </row>
    <row r="67" spans="1:11" ht="15" hidden="1" customHeight="1" x14ac:dyDescent="0.25">
      <c r="A67" s="36" t="s">
        <v>90</v>
      </c>
      <c r="B67" s="36" t="s">
        <v>84</v>
      </c>
      <c r="C67" s="36" t="s">
        <v>106</v>
      </c>
      <c r="D67" s="37">
        <v>45752</v>
      </c>
      <c r="E67" s="38">
        <v>24</v>
      </c>
      <c r="F67" s="39">
        <v>310</v>
      </c>
      <c r="G67" s="38">
        <v>8</v>
      </c>
      <c r="H67" s="40" t="s">
        <v>91</v>
      </c>
      <c r="J67"/>
      <c r="K67"/>
    </row>
    <row r="68" spans="1:11" ht="15" hidden="1" customHeight="1" x14ac:dyDescent="0.25">
      <c r="A68" s="36" t="s">
        <v>90</v>
      </c>
      <c r="B68" s="36" t="s">
        <v>84</v>
      </c>
      <c r="C68" s="36" t="s">
        <v>104</v>
      </c>
      <c r="D68" s="37">
        <v>44950</v>
      </c>
      <c r="E68" s="38">
        <v>24</v>
      </c>
      <c r="F68" s="39">
        <v>310</v>
      </c>
      <c r="G68" s="38">
        <v>8</v>
      </c>
      <c r="H68" s="40" t="s">
        <v>92</v>
      </c>
      <c r="J68"/>
      <c r="K68"/>
    </row>
    <row r="69" spans="1:11" ht="15" hidden="1" customHeight="1" x14ac:dyDescent="0.25">
      <c r="A69" s="36" t="s">
        <v>81</v>
      </c>
      <c r="B69" s="36" t="s">
        <v>84</v>
      </c>
      <c r="C69" s="36" t="s">
        <v>106</v>
      </c>
      <c r="D69" s="37">
        <v>44948</v>
      </c>
      <c r="E69" s="38">
        <v>12</v>
      </c>
      <c r="F69" s="39">
        <v>180</v>
      </c>
      <c r="G69" s="38">
        <v>9</v>
      </c>
      <c r="H69" s="40" t="s">
        <v>89</v>
      </c>
      <c r="J69"/>
      <c r="K69"/>
    </row>
    <row r="70" spans="1:11" ht="15" hidden="1" customHeight="1" x14ac:dyDescent="0.25">
      <c r="A70" s="36" t="s">
        <v>86</v>
      </c>
      <c r="B70" s="36" t="s">
        <v>87</v>
      </c>
      <c r="C70" s="36" t="s">
        <v>88</v>
      </c>
      <c r="D70" s="37">
        <v>45743</v>
      </c>
      <c r="E70" s="38">
        <v>20</v>
      </c>
      <c r="F70" s="39">
        <v>280</v>
      </c>
      <c r="G70" s="38">
        <v>12</v>
      </c>
      <c r="H70" s="40" t="s">
        <v>89</v>
      </c>
      <c r="J70"/>
      <c r="K70"/>
    </row>
    <row r="71" spans="1:11" ht="15" hidden="1" customHeight="1" x14ac:dyDescent="0.25">
      <c r="A71" s="36" t="s">
        <v>81</v>
      </c>
      <c r="B71" s="36" t="s">
        <v>84</v>
      </c>
      <c r="C71" s="36" t="s">
        <v>106</v>
      </c>
      <c r="D71" s="37">
        <v>45819</v>
      </c>
      <c r="E71" s="38">
        <v>12</v>
      </c>
      <c r="F71" s="39">
        <v>180</v>
      </c>
      <c r="G71" s="38">
        <v>10</v>
      </c>
      <c r="H71" s="40" t="s">
        <v>85</v>
      </c>
      <c r="J71"/>
      <c r="K71"/>
    </row>
    <row r="72" spans="1:11" ht="15" hidden="1" customHeight="1" x14ac:dyDescent="0.25">
      <c r="A72" s="41" t="s">
        <v>81</v>
      </c>
      <c r="B72" s="41" t="s">
        <v>82</v>
      </c>
      <c r="C72" s="41" t="s">
        <v>106</v>
      </c>
      <c r="D72" s="42">
        <v>44952</v>
      </c>
      <c r="E72" s="43">
        <v>12</v>
      </c>
      <c r="F72" s="44">
        <v>180</v>
      </c>
      <c r="G72" s="43">
        <v>7</v>
      </c>
      <c r="H72" s="45" t="s">
        <v>83</v>
      </c>
      <c r="J72"/>
      <c r="K72"/>
    </row>
  </sheetData>
  <autoFilter ref="A3:H72" xr:uid="{00000000-0001-0000-0700-000000000000}">
    <filterColumn colId="7">
      <customFilters>
        <customFilter val="*Solutions*"/>
      </customFilters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988B-C317-4680-B81B-521685A57490}">
  <sheetPr filterMode="1"/>
  <dimension ref="A1:K72"/>
  <sheetViews>
    <sheetView workbookViewId="0">
      <selection activeCell="K75" sqref="K75"/>
    </sheetView>
  </sheetViews>
  <sheetFormatPr defaultColWidth="9" defaultRowHeight="15" x14ac:dyDescent="0.25"/>
  <cols>
    <col min="1" max="1" width="8" style="14" customWidth="1"/>
    <col min="2" max="2" width="14.28515625" style="14" customWidth="1"/>
    <col min="3" max="3" width="14.42578125" style="14" bestFit="1" customWidth="1"/>
    <col min="4" max="4" width="11.42578125" style="14" customWidth="1"/>
    <col min="5" max="5" width="13.140625" style="14" bestFit="1" customWidth="1"/>
    <col min="6" max="6" width="10.85546875" style="32" bestFit="1" customWidth="1"/>
    <col min="7" max="7" width="10.85546875" style="14" bestFit="1" customWidth="1"/>
    <col min="8" max="8" width="27.5703125" style="33" customWidth="1"/>
    <col min="9" max="9" width="6" style="14" customWidth="1"/>
    <col min="10" max="13" width="13.7109375" style="14" customWidth="1"/>
    <col min="14" max="16384" width="9" style="14"/>
  </cols>
  <sheetData>
    <row r="1" spans="1:11" ht="15.75" x14ac:dyDescent="0.25">
      <c r="A1" s="46" t="s">
        <v>404</v>
      </c>
    </row>
    <row r="2" spans="1:11" x14ac:dyDescent="0.25">
      <c r="J2" s="12" t="s">
        <v>70</v>
      </c>
    </row>
    <row r="3" spans="1:11" ht="15" customHeight="1" x14ac:dyDescent="0.25">
      <c r="A3" s="34" t="s">
        <v>74</v>
      </c>
      <c r="B3" s="34" t="s">
        <v>75</v>
      </c>
      <c r="C3" s="34" t="s">
        <v>76</v>
      </c>
      <c r="D3" s="34" t="s">
        <v>77</v>
      </c>
      <c r="E3" s="34" t="s">
        <v>78</v>
      </c>
      <c r="F3" s="35" t="s">
        <v>79</v>
      </c>
      <c r="G3" s="34" t="s">
        <v>340</v>
      </c>
      <c r="H3" s="34" t="s">
        <v>80</v>
      </c>
      <c r="J3" t="s">
        <v>348</v>
      </c>
    </row>
    <row r="4" spans="1:11" ht="15" hidden="1" customHeight="1" x14ac:dyDescent="0.25">
      <c r="A4" s="36" t="s">
        <v>81</v>
      </c>
      <c r="B4" s="36" t="s">
        <v>84</v>
      </c>
      <c r="C4" s="36" t="s">
        <v>106</v>
      </c>
      <c r="D4" s="37">
        <v>45280</v>
      </c>
      <c r="E4" s="38">
        <v>12</v>
      </c>
      <c r="F4" s="39">
        <v>180</v>
      </c>
      <c r="G4" s="38">
        <v>11</v>
      </c>
      <c r="H4" s="40" t="s">
        <v>98</v>
      </c>
      <c r="J4" s="33"/>
      <c r="K4" s="33"/>
    </row>
    <row r="5" spans="1:11" ht="15" hidden="1" customHeight="1" x14ac:dyDescent="0.25">
      <c r="A5" s="36" t="s">
        <v>90</v>
      </c>
      <c r="B5" s="36" t="s">
        <v>84</v>
      </c>
      <c r="C5" s="36" t="s">
        <v>104</v>
      </c>
      <c r="D5" s="37">
        <v>45251</v>
      </c>
      <c r="E5" s="38">
        <v>24</v>
      </c>
      <c r="F5" s="39">
        <v>310</v>
      </c>
      <c r="G5" s="38">
        <v>6</v>
      </c>
      <c r="H5" s="40" t="s">
        <v>85</v>
      </c>
      <c r="J5" s="14" t="s">
        <v>341</v>
      </c>
      <c r="K5" s="33"/>
    </row>
    <row r="6" spans="1:11" ht="15" hidden="1" customHeight="1" x14ac:dyDescent="0.25">
      <c r="A6" s="36" t="s">
        <v>81</v>
      </c>
      <c r="B6" s="36" t="s">
        <v>87</v>
      </c>
      <c r="C6" s="36" t="s">
        <v>106</v>
      </c>
      <c r="D6" s="37">
        <v>45701</v>
      </c>
      <c r="E6" s="38">
        <v>12</v>
      </c>
      <c r="F6" s="39">
        <v>180</v>
      </c>
      <c r="G6" s="38">
        <v>10</v>
      </c>
      <c r="H6" s="40" t="s">
        <v>94</v>
      </c>
      <c r="J6" s="14" t="s">
        <v>339</v>
      </c>
      <c r="K6" s="33"/>
    </row>
    <row r="7" spans="1:11" ht="15" hidden="1" customHeight="1" x14ac:dyDescent="0.25">
      <c r="A7" s="36" t="s">
        <v>90</v>
      </c>
      <c r="B7" s="36" t="s">
        <v>84</v>
      </c>
      <c r="C7" s="36" t="s">
        <v>106</v>
      </c>
      <c r="D7" s="37">
        <v>45744</v>
      </c>
      <c r="E7" s="38">
        <v>24</v>
      </c>
      <c r="F7" s="39">
        <v>310</v>
      </c>
      <c r="G7" s="38">
        <v>12</v>
      </c>
      <c r="H7" s="40" t="s">
        <v>103</v>
      </c>
      <c r="J7" s="14" t="s">
        <v>346</v>
      </c>
      <c r="K7" s="33"/>
    </row>
    <row r="8" spans="1:11" ht="15" hidden="1" customHeight="1" x14ac:dyDescent="0.25">
      <c r="A8" s="36" t="s">
        <v>90</v>
      </c>
      <c r="B8" s="36" t="s">
        <v>84</v>
      </c>
      <c r="C8" s="36" t="s">
        <v>106</v>
      </c>
      <c r="D8" s="37">
        <v>45119</v>
      </c>
      <c r="E8" s="38">
        <v>24</v>
      </c>
      <c r="F8" s="39">
        <v>310</v>
      </c>
      <c r="G8" s="38">
        <v>8</v>
      </c>
      <c r="H8" s="40" t="s">
        <v>102</v>
      </c>
      <c r="J8" s="14" t="s">
        <v>347</v>
      </c>
      <c r="K8" s="33"/>
    </row>
    <row r="9" spans="1:11" ht="15" customHeight="1" x14ac:dyDescent="0.25">
      <c r="A9" s="36" t="s">
        <v>86</v>
      </c>
      <c r="B9" s="36" t="s">
        <v>84</v>
      </c>
      <c r="C9" s="36" t="s">
        <v>106</v>
      </c>
      <c r="D9" s="37">
        <v>45820</v>
      </c>
      <c r="E9" s="38">
        <v>20</v>
      </c>
      <c r="F9" s="39">
        <v>280</v>
      </c>
      <c r="G9" s="38">
        <v>11</v>
      </c>
      <c r="H9" s="40" t="s">
        <v>94</v>
      </c>
      <c r="J9" s="33"/>
      <c r="K9" s="33"/>
    </row>
    <row r="10" spans="1:11" ht="15" hidden="1" customHeight="1" x14ac:dyDescent="0.25">
      <c r="A10" s="36" t="s">
        <v>81</v>
      </c>
      <c r="B10" s="36" t="s">
        <v>84</v>
      </c>
      <c r="C10" s="36" t="s">
        <v>106</v>
      </c>
      <c r="D10" s="37">
        <v>45246</v>
      </c>
      <c r="E10" s="38">
        <v>12</v>
      </c>
      <c r="F10" s="39">
        <v>180</v>
      </c>
      <c r="G10" s="38">
        <v>9</v>
      </c>
      <c r="H10" s="40" t="s">
        <v>89</v>
      </c>
      <c r="J10" s="33"/>
      <c r="K10" s="33"/>
    </row>
    <row r="11" spans="1:11" ht="15" hidden="1" customHeight="1" x14ac:dyDescent="0.25">
      <c r="A11" s="36" t="s">
        <v>96</v>
      </c>
      <c r="B11" s="36" t="s">
        <v>87</v>
      </c>
      <c r="C11" s="36" t="s">
        <v>106</v>
      </c>
      <c r="D11" s="37">
        <v>45219</v>
      </c>
      <c r="E11" s="38">
        <v>16</v>
      </c>
      <c r="F11" s="39">
        <v>250</v>
      </c>
      <c r="G11" s="38">
        <v>9</v>
      </c>
      <c r="H11" s="40" t="s">
        <v>102</v>
      </c>
      <c r="J11" s="33"/>
      <c r="K11" s="33"/>
    </row>
    <row r="12" spans="1:11" ht="15" hidden="1" customHeight="1" x14ac:dyDescent="0.25">
      <c r="A12" s="36" t="s">
        <v>96</v>
      </c>
      <c r="B12" s="36" t="s">
        <v>82</v>
      </c>
      <c r="C12" s="36" t="s">
        <v>106</v>
      </c>
      <c r="D12" s="37">
        <v>45216</v>
      </c>
      <c r="E12" s="38">
        <v>12</v>
      </c>
      <c r="F12" s="39">
        <v>160</v>
      </c>
      <c r="G12" s="38">
        <v>6</v>
      </c>
      <c r="H12" s="40" t="s">
        <v>89</v>
      </c>
      <c r="J12" s="33"/>
      <c r="K12" s="33"/>
    </row>
    <row r="13" spans="1:11" ht="15" hidden="1" customHeight="1" x14ac:dyDescent="0.25">
      <c r="A13" s="36" t="s">
        <v>86</v>
      </c>
      <c r="B13" s="36" t="s">
        <v>87</v>
      </c>
      <c r="C13" s="36" t="s">
        <v>105</v>
      </c>
      <c r="D13" s="37">
        <v>45115</v>
      </c>
      <c r="E13" s="38">
        <v>16</v>
      </c>
      <c r="F13" s="39">
        <v>210</v>
      </c>
      <c r="G13" s="38">
        <v>9</v>
      </c>
      <c r="H13" s="40" t="s">
        <v>83</v>
      </c>
      <c r="J13" s="33"/>
      <c r="K13" s="33"/>
    </row>
    <row r="14" spans="1:11" ht="15" hidden="1" customHeight="1" x14ac:dyDescent="0.25">
      <c r="A14" s="36" t="s">
        <v>93</v>
      </c>
      <c r="B14" s="36" t="s">
        <v>84</v>
      </c>
      <c r="C14" s="36" t="s">
        <v>104</v>
      </c>
      <c r="D14" s="37">
        <v>45819</v>
      </c>
      <c r="E14" s="38">
        <v>20</v>
      </c>
      <c r="F14" s="39">
        <v>200</v>
      </c>
      <c r="G14" s="38">
        <v>7</v>
      </c>
      <c r="H14" s="40" t="s">
        <v>100</v>
      </c>
      <c r="J14" s="33"/>
      <c r="K14" s="33"/>
    </row>
    <row r="15" spans="1:11" ht="15" hidden="1" customHeight="1" x14ac:dyDescent="0.25">
      <c r="A15" s="36" t="s">
        <v>90</v>
      </c>
      <c r="B15" s="36" t="s">
        <v>84</v>
      </c>
      <c r="C15" s="36" t="s">
        <v>104</v>
      </c>
      <c r="D15" s="37">
        <v>45470</v>
      </c>
      <c r="E15" s="38">
        <v>24</v>
      </c>
      <c r="F15" s="39">
        <v>310</v>
      </c>
      <c r="G15" s="38">
        <v>7</v>
      </c>
      <c r="H15" s="40" t="s">
        <v>83</v>
      </c>
      <c r="J15" s="33"/>
      <c r="K15" s="33"/>
    </row>
    <row r="16" spans="1:11" ht="15" hidden="1" customHeight="1" x14ac:dyDescent="0.25">
      <c r="A16" s="36" t="s">
        <v>81</v>
      </c>
      <c r="B16" s="36" t="s">
        <v>84</v>
      </c>
      <c r="C16" s="36" t="s">
        <v>106</v>
      </c>
      <c r="D16" s="37">
        <v>45173</v>
      </c>
      <c r="E16" s="38">
        <v>12</v>
      </c>
      <c r="F16" s="39">
        <v>180</v>
      </c>
      <c r="G16" s="38">
        <v>12</v>
      </c>
      <c r="H16" s="40" t="s">
        <v>95</v>
      </c>
      <c r="J16" s="33"/>
      <c r="K16" s="33"/>
    </row>
    <row r="17" spans="1:11" ht="15" hidden="1" customHeight="1" x14ac:dyDescent="0.25">
      <c r="A17" s="36" t="s">
        <v>90</v>
      </c>
      <c r="B17" s="36" t="s">
        <v>84</v>
      </c>
      <c r="C17" s="36" t="s">
        <v>104</v>
      </c>
      <c r="D17" s="37">
        <v>45253</v>
      </c>
      <c r="E17" s="38">
        <v>24</v>
      </c>
      <c r="F17" s="39">
        <v>310</v>
      </c>
      <c r="G17" s="38">
        <v>7</v>
      </c>
      <c r="H17" s="40" t="s">
        <v>92</v>
      </c>
      <c r="J17" s="33"/>
      <c r="K17"/>
    </row>
    <row r="18" spans="1:11" ht="15" customHeight="1" x14ac:dyDescent="0.25">
      <c r="A18" s="36" t="s">
        <v>90</v>
      </c>
      <c r="B18" s="36" t="s">
        <v>84</v>
      </c>
      <c r="C18" s="36" t="s">
        <v>106</v>
      </c>
      <c r="D18" s="37">
        <v>45820</v>
      </c>
      <c r="E18" s="38">
        <v>24</v>
      </c>
      <c r="F18" s="39">
        <v>310</v>
      </c>
      <c r="G18" s="38">
        <v>11</v>
      </c>
      <c r="H18" s="40" t="s">
        <v>102</v>
      </c>
      <c r="J18"/>
      <c r="K18"/>
    </row>
    <row r="19" spans="1:11" ht="15" hidden="1" customHeight="1" x14ac:dyDescent="0.25">
      <c r="A19" s="36" t="s">
        <v>86</v>
      </c>
      <c r="B19" s="36" t="s">
        <v>82</v>
      </c>
      <c r="C19" s="36" t="s">
        <v>105</v>
      </c>
      <c r="D19" s="37">
        <v>45705</v>
      </c>
      <c r="E19" s="38">
        <v>16</v>
      </c>
      <c r="F19" s="39">
        <v>210</v>
      </c>
      <c r="G19" s="38">
        <v>12</v>
      </c>
      <c r="H19" s="40" t="s">
        <v>85</v>
      </c>
      <c r="J19"/>
      <c r="K19"/>
    </row>
    <row r="20" spans="1:11" ht="15" hidden="1" customHeight="1" x14ac:dyDescent="0.25">
      <c r="A20" s="36" t="s">
        <v>81</v>
      </c>
      <c r="B20" s="36" t="s">
        <v>84</v>
      </c>
      <c r="C20" s="36" t="s">
        <v>88</v>
      </c>
      <c r="D20" s="37">
        <v>45475</v>
      </c>
      <c r="E20" s="38">
        <v>12</v>
      </c>
      <c r="F20" s="39">
        <v>180</v>
      </c>
      <c r="G20" s="38">
        <v>8</v>
      </c>
      <c r="H20" s="40" t="s">
        <v>83</v>
      </c>
      <c r="J20"/>
      <c r="K20"/>
    </row>
    <row r="21" spans="1:11" ht="15" hidden="1" customHeight="1" x14ac:dyDescent="0.25">
      <c r="A21" s="36" t="s">
        <v>90</v>
      </c>
      <c r="B21" s="36" t="s">
        <v>84</v>
      </c>
      <c r="C21" s="36" t="s">
        <v>106</v>
      </c>
      <c r="D21" s="37">
        <v>45743</v>
      </c>
      <c r="E21" s="38">
        <v>24</v>
      </c>
      <c r="F21" s="39">
        <v>310</v>
      </c>
      <c r="G21" s="38">
        <v>12</v>
      </c>
      <c r="H21" s="40" t="s">
        <v>91</v>
      </c>
      <c r="J21"/>
      <c r="K21"/>
    </row>
    <row r="22" spans="1:11" ht="15" hidden="1" customHeight="1" x14ac:dyDescent="0.25">
      <c r="A22" s="36" t="s">
        <v>90</v>
      </c>
      <c r="B22" s="36" t="s">
        <v>82</v>
      </c>
      <c r="C22" s="36" t="s">
        <v>106</v>
      </c>
      <c r="D22" s="37">
        <v>45127</v>
      </c>
      <c r="E22" s="38">
        <v>24</v>
      </c>
      <c r="F22" s="39">
        <v>310</v>
      </c>
      <c r="G22" s="38">
        <v>6</v>
      </c>
      <c r="H22" s="40" t="s">
        <v>89</v>
      </c>
      <c r="J22"/>
      <c r="K22"/>
    </row>
    <row r="23" spans="1:11" ht="15" customHeight="1" x14ac:dyDescent="0.25">
      <c r="A23" s="36" t="s">
        <v>90</v>
      </c>
      <c r="B23" s="36" t="s">
        <v>84</v>
      </c>
      <c r="C23" s="36" t="s">
        <v>88</v>
      </c>
      <c r="D23" s="37">
        <v>45820</v>
      </c>
      <c r="E23" s="38">
        <v>24</v>
      </c>
      <c r="F23" s="39">
        <v>310</v>
      </c>
      <c r="G23" s="38">
        <v>6</v>
      </c>
      <c r="H23" s="40" t="s">
        <v>85</v>
      </c>
      <c r="J23"/>
      <c r="K23"/>
    </row>
    <row r="24" spans="1:11" ht="15" hidden="1" customHeight="1" x14ac:dyDescent="0.25">
      <c r="A24" s="36" t="s">
        <v>96</v>
      </c>
      <c r="B24" s="36" t="s">
        <v>87</v>
      </c>
      <c r="C24" s="36" t="s">
        <v>88</v>
      </c>
      <c r="D24" s="37">
        <v>45108</v>
      </c>
      <c r="E24" s="38">
        <v>16</v>
      </c>
      <c r="F24" s="39">
        <v>250</v>
      </c>
      <c r="G24" s="38">
        <v>10</v>
      </c>
      <c r="H24" s="40" t="s">
        <v>99</v>
      </c>
      <c r="J24"/>
      <c r="K24"/>
    </row>
    <row r="25" spans="1:11" ht="15" hidden="1" customHeight="1" x14ac:dyDescent="0.25">
      <c r="A25" s="36" t="s">
        <v>90</v>
      </c>
      <c r="B25" s="36" t="s">
        <v>87</v>
      </c>
      <c r="C25" s="36" t="s">
        <v>104</v>
      </c>
      <c r="D25" s="37">
        <v>45246</v>
      </c>
      <c r="E25" s="38">
        <v>16</v>
      </c>
      <c r="F25" s="39">
        <v>380</v>
      </c>
      <c r="G25" s="38">
        <v>10</v>
      </c>
      <c r="H25" s="40" t="s">
        <v>94</v>
      </c>
      <c r="J25"/>
      <c r="K25"/>
    </row>
    <row r="26" spans="1:11" ht="15" hidden="1" customHeight="1" x14ac:dyDescent="0.25">
      <c r="A26" s="36" t="s">
        <v>81</v>
      </c>
      <c r="B26" s="36" t="s">
        <v>84</v>
      </c>
      <c r="C26" s="36" t="s">
        <v>88</v>
      </c>
      <c r="D26" s="37">
        <v>45701</v>
      </c>
      <c r="E26" s="38">
        <v>12</v>
      </c>
      <c r="F26" s="39">
        <v>180</v>
      </c>
      <c r="G26" s="38">
        <v>6</v>
      </c>
      <c r="H26" s="40" t="s">
        <v>94</v>
      </c>
      <c r="J26"/>
      <c r="K26"/>
    </row>
    <row r="27" spans="1:11" ht="15" hidden="1" customHeight="1" x14ac:dyDescent="0.25">
      <c r="A27" s="36" t="s">
        <v>90</v>
      </c>
      <c r="B27" s="36" t="s">
        <v>84</v>
      </c>
      <c r="C27" s="36" t="s">
        <v>104</v>
      </c>
      <c r="D27" s="37">
        <v>45115</v>
      </c>
      <c r="E27" s="38">
        <v>24</v>
      </c>
      <c r="F27" s="39">
        <v>310</v>
      </c>
      <c r="G27" s="38">
        <v>7</v>
      </c>
      <c r="H27" s="40" t="s">
        <v>99</v>
      </c>
      <c r="J27"/>
      <c r="K27"/>
    </row>
    <row r="28" spans="1:11" ht="15" hidden="1" customHeight="1" x14ac:dyDescent="0.25">
      <c r="A28" s="36" t="s">
        <v>81</v>
      </c>
      <c r="B28" s="36" t="s">
        <v>84</v>
      </c>
      <c r="C28" s="36" t="s">
        <v>106</v>
      </c>
      <c r="D28" s="37">
        <v>45217</v>
      </c>
      <c r="E28" s="38">
        <v>12</v>
      </c>
      <c r="F28" s="39">
        <v>180</v>
      </c>
      <c r="G28" s="38">
        <v>9</v>
      </c>
      <c r="H28" s="40" t="s">
        <v>102</v>
      </c>
      <c r="J28"/>
      <c r="K28"/>
    </row>
    <row r="29" spans="1:11" ht="15" hidden="1" customHeight="1" x14ac:dyDescent="0.25">
      <c r="A29" s="36" t="s">
        <v>90</v>
      </c>
      <c r="B29" s="36" t="s">
        <v>82</v>
      </c>
      <c r="C29" s="36" t="s">
        <v>104</v>
      </c>
      <c r="D29" s="37">
        <v>45831</v>
      </c>
      <c r="E29" s="38">
        <v>16</v>
      </c>
      <c r="F29" s="39">
        <v>380</v>
      </c>
      <c r="G29" s="38">
        <v>11</v>
      </c>
      <c r="H29" s="40" t="s">
        <v>92</v>
      </c>
      <c r="J29"/>
      <c r="K29"/>
    </row>
    <row r="30" spans="1:11" ht="15" hidden="1" customHeight="1" x14ac:dyDescent="0.25">
      <c r="A30" s="36" t="s">
        <v>90</v>
      </c>
      <c r="B30" s="36" t="s">
        <v>84</v>
      </c>
      <c r="C30" s="36" t="s">
        <v>106</v>
      </c>
      <c r="D30" s="37">
        <v>45747</v>
      </c>
      <c r="E30" s="38">
        <v>24</v>
      </c>
      <c r="F30" s="39">
        <v>310</v>
      </c>
      <c r="G30" s="38">
        <v>7</v>
      </c>
      <c r="H30" s="40" t="s">
        <v>89</v>
      </c>
      <c r="J30"/>
      <c r="K30"/>
    </row>
    <row r="31" spans="1:11" ht="15" hidden="1" customHeight="1" x14ac:dyDescent="0.25">
      <c r="A31" s="36" t="s">
        <v>86</v>
      </c>
      <c r="B31" s="36" t="s">
        <v>82</v>
      </c>
      <c r="C31" s="36" t="s">
        <v>106</v>
      </c>
      <c r="D31" s="37">
        <v>45828</v>
      </c>
      <c r="E31" s="38">
        <v>16</v>
      </c>
      <c r="F31" s="39">
        <v>210</v>
      </c>
      <c r="G31" s="38">
        <v>11</v>
      </c>
      <c r="H31" s="40" t="s">
        <v>92</v>
      </c>
      <c r="J31"/>
      <c r="K31"/>
    </row>
    <row r="32" spans="1:11" ht="15" hidden="1" customHeight="1" x14ac:dyDescent="0.25">
      <c r="A32" s="36" t="s">
        <v>86</v>
      </c>
      <c r="B32" s="36" t="s">
        <v>84</v>
      </c>
      <c r="C32" s="36" t="s">
        <v>88</v>
      </c>
      <c r="D32" s="37">
        <v>45700</v>
      </c>
      <c r="E32" s="38">
        <v>20</v>
      </c>
      <c r="F32" s="39">
        <v>280</v>
      </c>
      <c r="G32" s="38">
        <v>9</v>
      </c>
      <c r="H32" s="40" t="s">
        <v>99</v>
      </c>
      <c r="J32"/>
      <c r="K32"/>
    </row>
    <row r="33" spans="1:11" ht="15" hidden="1" customHeight="1" x14ac:dyDescent="0.25">
      <c r="A33" s="36" t="s">
        <v>81</v>
      </c>
      <c r="B33" s="36" t="s">
        <v>84</v>
      </c>
      <c r="C33" s="36" t="s">
        <v>106</v>
      </c>
      <c r="D33" s="37">
        <v>45114</v>
      </c>
      <c r="E33" s="38">
        <v>12</v>
      </c>
      <c r="F33" s="39">
        <v>180</v>
      </c>
      <c r="G33" s="38">
        <v>8</v>
      </c>
      <c r="H33" s="40" t="s">
        <v>89</v>
      </c>
      <c r="J33"/>
      <c r="K33"/>
    </row>
    <row r="34" spans="1:11" ht="15" hidden="1" customHeight="1" x14ac:dyDescent="0.25">
      <c r="A34" s="36" t="s">
        <v>86</v>
      </c>
      <c r="B34" s="36" t="s">
        <v>82</v>
      </c>
      <c r="C34" s="36" t="s">
        <v>105</v>
      </c>
      <c r="D34" s="37">
        <v>45092</v>
      </c>
      <c r="E34" s="38">
        <v>16</v>
      </c>
      <c r="F34" s="39">
        <v>210</v>
      </c>
      <c r="G34" s="38">
        <v>7</v>
      </c>
      <c r="H34" s="40" t="s">
        <v>102</v>
      </c>
      <c r="J34"/>
      <c r="K34"/>
    </row>
    <row r="35" spans="1:11" ht="15" hidden="1" customHeight="1" x14ac:dyDescent="0.25">
      <c r="A35" s="36" t="s">
        <v>90</v>
      </c>
      <c r="B35" s="36" t="s">
        <v>84</v>
      </c>
      <c r="C35" s="36" t="s">
        <v>106</v>
      </c>
      <c r="D35" s="37">
        <v>45079</v>
      </c>
      <c r="E35" s="38">
        <v>24</v>
      </c>
      <c r="F35" s="39">
        <v>310</v>
      </c>
      <c r="G35" s="38">
        <v>9</v>
      </c>
      <c r="H35" s="40" t="s">
        <v>83</v>
      </c>
      <c r="J35"/>
      <c r="K35"/>
    </row>
    <row r="36" spans="1:11" ht="15" hidden="1" customHeight="1" x14ac:dyDescent="0.25">
      <c r="A36" s="36" t="s">
        <v>86</v>
      </c>
      <c r="B36" s="36" t="s">
        <v>84</v>
      </c>
      <c r="C36" s="36" t="s">
        <v>88</v>
      </c>
      <c r="D36" s="37">
        <v>45469</v>
      </c>
      <c r="E36" s="38">
        <v>20</v>
      </c>
      <c r="F36" s="39">
        <v>280</v>
      </c>
      <c r="G36" s="38">
        <v>8</v>
      </c>
      <c r="H36" s="40" t="s">
        <v>99</v>
      </c>
      <c r="J36"/>
      <c r="K36"/>
    </row>
    <row r="37" spans="1:11" ht="15" hidden="1" customHeight="1" x14ac:dyDescent="0.25">
      <c r="A37" s="36" t="s">
        <v>86</v>
      </c>
      <c r="B37" s="36" t="s">
        <v>87</v>
      </c>
      <c r="C37" s="36" t="s">
        <v>106</v>
      </c>
      <c r="D37" s="37">
        <v>45479</v>
      </c>
      <c r="E37" s="38">
        <v>20</v>
      </c>
      <c r="F37" s="39">
        <v>280</v>
      </c>
      <c r="G37" s="38">
        <v>8</v>
      </c>
      <c r="H37" s="40" t="s">
        <v>94</v>
      </c>
      <c r="J37"/>
      <c r="K37"/>
    </row>
    <row r="38" spans="1:11" ht="15" hidden="1" customHeight="1" x14ac:dyDescent="0.25">
      <c r="A38" s="36" t="s">
        <v>90</v>
      </c>
      <c r="B38" s="36" t="s">
        <v>84</v>
      </c>
      <c r="C38" s="36" t="s">
        <v>104</v>
      </c>
      <c r="D38" s="37">
        <v>45705</v>
      </c>
      <c r="E38" s="38">
        <v>24</v>
      </c>
      <c r="F38" s="39">
        <v>310</v>
      </c>
      <c r="G38" s="38">
        <v>7</v>
      </c>
      <c r="H38" s="40" t="s">
        <v>95</v>
      </c>
      <c r="J38"/>
      <c r="K38"/>
    </row>
    <row r="39" spans="1:11" ht="15" hidden="1" customHeight="1" x14ac:dyDescent="0.25">
      <c r="A39" s="36" t="s">
        <v>93</v>
      </c>
      <c r="B39" s="36" t="s">
        <v>82</v>
      </c>
      <c r="C39" s="36" t="s">
        <v>104</v>
      </c>
      <c r="D39" s="37">
        <v>45225</v>
      </c>
      <c r="E39" s="38">
        <v>20</v>
      </c>
      <c r="F39" s="39">
        <v>200</v>
      </c>
      <c r="G39" s="38">
        <v>7</v>
      </c>
      <c r="H39" s="40" t="s">
        <v>101</v>
      </c>
      <c r="J39"/>
      <c r="K39"/>
    </row>
    <row r="40" spans="1:11" ht="15" hidden="1" customHeight="1" x14ac:dyDescent="0.25">
      <c r="A40" s="36" t="s">
        <v>86</v>
      </c>
      <c r="B40" s="36" t="s">
        <v>87</v>
      </c>
      <c r="C40" s="36" t="s">
        <v>104</v>
      </c>
      <c r="D40" s="37">
        <v>45819</v>
      </c>
      <c r="E40" s="38">
        <v>20</v>
      </c>
      <c r="F40" s="39">
        <v>320</v>
      </c>
      <c r="G40" s="38">
        <v>11</v>
      </c>
      <c r="H40" s="40" t="s">
        <v>92</v>
      </c>
      <c r="J40"/>
      <c r="K40"/>
    </row>
    <row r="41" spans="1:11" ht="15" hidden="1" customHeight="1" x14ac:dyDescent="0.25">
      <c r="A41" s="36" t="s">
        <v>86</v>
      </c>
      <c r="B41" s="36" t="s">
        <v>84</v>
      </c>
      <c r="C41" s="36" t="s">
        <v>106</v>
      </c>
      <c r="D41" s="37">
        <v>45119</v>
      </c>
      <c r="E41" s="38">
        <v>20</v>
      </c>
      <c r="F41" s="39">
        <v>280</v>
      </c>
      <c r="G41" s="38">
        <v>8</v>
      </c>
      <c r="H41" s="40" t="s">
        <v>89</v>
      </c>
      <c r="J41"/>
      <c r="K41"/>
    </row>
    <row r="42" spans="1:11" ht="15" hidden="1" customHeight="1" x14ac:dyDescent="0.25">
      <c r="A42" s="36" t="s">
        <v>86</v>
      </c>
      <c r="B42" s="36" t="s">
        <v>82</v>
      </c>
      <c r="C42" s="36" t="s">
        <v>105</v>
      </c>
      <c r="D42" s="37">
        <v>45749</v>
      </c>
      <c r="E42" s="38">
        <v>16</v>
      </c>
      <c r="F42" s="39">
        <v>210</v>
      </c>
      <c r="G42" s="38">
        <v>8</v>
      </c>
      <c r="H42" s="40" t="s">
        <v>89</v>
      </c>
      <c r="J42"/>
      <c r="K42"/>
    </row>
    <row r="43" spans="1:11" ht="15" hidden="1" customHeight="1" x14ac:dyDescent="0.25">
      <c r="A43" s="36" t="s">
        <v>90</v>
      </c>
      <c r="B43" s="36" t="s">
        <v>84</v>
      </c>
      <c r="C43" s="36" t="s">
        <v>104</v>
      </c>
      <c r="D43" s="37">
        <v>45744</v>
      </c>
      <c r="E43" s="38">
        <v>24</v>
      </c>
      <c r="F43" s="39">
        <v>310</v>
      </c>
      <c r="G43" s="38">
        <v>12</v>
      </c>
      <c r="H43" s="40" t="s">
        <v>95</v>
      </c>
      <c r="J43"/>
      <c r="K43"/>
    </row>
    <row r="44" spans="1:11" ht="15" hidden="1" customHeight="1" x14ac:dyDescent="0.25">
      <c r="A44" s="36" t="s">
        <v>90</v>
      </c>
      <c r="B44" s="36" t="s">
        <v>84</v>
      </c>
      <c r="C44" s="36" t="s">
        <v>104</v>
      </c>
      <c r="D44" s="37">
        <v>45828</v>
      </c>
      <c r="E44" s="38">
        <v>24</v>
      </c>
      <c r="F44" s="39">
        <v>310</v>
      </c>
      <c r="G44" s="38">
        <v>12</v>
      </c>
      <c r="H44" s="40" t="s">
        <v>102</v>
      </c>
      <c r="J44"/>
      <c r="K44"/>
    </row>
    <row r="45" spans="1:11" ht="15" hidden="1" customHeight="1" x14ac:dyDescent="0.25">
      <c r="A45" s="36" t="s">
        <v>86</v>
      </c>
      <c r="B45" s="36" t="s">
        <v>84</v>
      </c>
      <c r="C45" s="36" t="s">
        <v>88</v>
      </c>
      <c r="D45" s="37">
        <v>45034</v>
      </c>
      <c r="E45" s="38">
        <v>20</v>
      </c>
      <c r="F45" s="39">
        <v>280</v>
      </c>
      <c r="G45" s="38">
        <v>11</v>
      </c>
      <c r="H45" s="40" t="s">
        <v>95</v>
      </c>
      <c r="J45"/>
      <c r="K45"/>
    </row>
    <row r="46" spans="1:11" ht="15" hidden="1" customHeight="1" x14ac:dyDescent="0.25">
      <c r="A46" s="36" t="s">
        <v>90</v>
      </c>
      <c r="B46" s="36" t="s">
        <v>87</v>
      </c>
      <c r="C46" s="36" t="s">
        <v>104</v>
      </c>
      <c r="D46" s="37">
        <v>45706</v>
      </c>
      <c r="E46" s="38">
        <v>16</v>
      </c>
      <c r="F46" s="39">
        <v>380</v>
      </c>
      <c r="G46" s="38">
        <v>8</v>
      </c>
      <c r="H46" s="40" t="s">
        <v>89</v>
      </c>
      <c r="J46"/>
      <c r="K46"/>
    </row>
    <row r="47" spans="1:11" ht="15" hidden="1" customHeight="1" x14ac:dyDescent="0.25">
      <c r="A47" s="36" t="s">
        <v>90</v>
      </c>
      <c r="B47" s="36" t="s">
        <v>84</v>
      </c>
      <c r="C47" s="36" t="s">
        <v>104</v>
      </c>
      <c r="D47" s="37">
        <v>45743</v>
      </c>
      <c r="E47" s="38">
        <v>24</v>
      </c>
      <c r="F47" s="39">
        <v>310</v>
      </c>
      <c r="G47" s="38">
        <v>8</v>
      </c>
      <c r="H47" s="40" t="s">
        <v>85</v>
      </c>
      <c r="J47"/>
      <c r="K47"/>
    </row>
    <row r="48" spans="1:11" ht="15" hidden="1" customHeight="1" x14ac:dyDescent="0.25">
      <c r="A48" s="36" t="s">
        <v>90</v>
      </c>
      <c r="B48" s="36" t="s">
        <v>84</v>
      </c>
      <c r="C48" s="36" t="s">
        <v>104</v>
      </c>
      <c r="D48" s="37">
        <v>45114</v>
      </c>
      <c r="E48" s="38">
        <v>24</v>
      </c>
      <c r="F48" s="39">
        <v>310</v>
      </c>
      <c r="G48" s="38">
        <v>10</v>
      </c>
      <c r="H48" s="40" t="s">
        <v>97</v>
      </c>
      <c r="J48"/>
      <c r="K48"/>
    </row>
    <row r="49" spans="1:11" ht="15" hidden="1" customHeight="1" x14ac:dyDescent="0.25">
      <c r="A49" s="36" t="s">
        <v>86</v>
      </c>
      <c r="B49" s="36" t="s">
        <v>87</v>
      </c>
      <c r="C49" s="36" t="s">
        <v>104</v>
      </c>
      <c r="D49" s="37">
        <v>45751</v>
      </c>
      <c r="E49" s="38">
        <v>20</v>
      </c>
      <c r="F49" s="39">
        <v>320</v>
      </c>
      <c r="G49" s="38">
        <v>10</v>
      </c>
      <c r="H49" s="40" t="s">
        <v>97</v>
      </c>
      <c r="J49"/>
      <c r="K49"/>
    </row>
    <row r="50" spans="1:11" ht="15" hidden="1" customHeight="1" x14ac:dyDescent="0.25">
      <c r="A50" s="36" t="s">
        <v>86</v>
      </c>
      <c r="B50" s="36" t="s">
        <v>84</v>
      </c>
      <c r="C50" s="36" t="s">
        <v>106</v>
      </c>
      <c r="D50" s="37">
        <v>45246</v>
      </c>
      <c r="E50" s="38">
        <v>20</v>
      </c>
      <c r="F50" s="39">
        <v>280</v>
      </c>
      <c r="G50" s="38">
        <v>12</v>
      </c>
      <c r="H50" s="40" t="s">
        <v>89</v>
      </c>
      <c r="J50"/>
      <c r="K50"/>
    </row>
    <row r="51" spans="1:11" ht="15" hidden="1" customHeight="1" x14ac:dyDescent="0.25">
      <c r="A51" s="36" t="s">
        <v>86</v>
      </c>
      <c r="B51" s="36" t="s">
        <v>84</v>
      </c>
      <c r="C51" s="36" t="s">
        <v>106</v>
      </c>
      <c r="D51" s="37">
        <v>45016</v>
      </c>
      <c r="E51" s="38">
        <v>20</v>
      </c>
      <c r="F51" s="39">
        <v>280</v>
      </c>
      <c r="G51" s="38">
        <v>8</v>
      </c>
      <c r="H51" s="40" t="s">
        <v>101</v>
      </c>
      <c r="J51"/>
      <c r="K51"/>
    </row>
    <row r="52" spans="1:11" ht="15" hidden="1" customHeight="1" x14ac:dyDescent="0.25">
      <c r="A52" s="36" t="s">
        <v>86</v>
      </c>
      <c r="B52" s="36" t="s">
        <v>84</v>
      </c>
      <c r="C52" s="36" t="s">
        <v>106</v>
      </c>
      <c r="D52" s="37">
        <v>45216</v>
      </c>
      <c r="E52" s="38">
        <v>20</v>
      </c>
      <c r="F52" s="39">
        <v>280</v>
      </c>
      <c r="G52" s="38">
        <v>11</v>
      </c>
      <c r="H52" s="40" t="s">
        <v>89</v>
      </c>
      <c r="J52"/>
      <c r="K52"/>
    </row>
    <row r="53" spans="1:11" ht="15" hidden="1" customHeight="1" x14ac:dyDescent="0.25">
      <c r="A53" s="36" t="s">
        <v>90</v>
      </c>
      <c r="B53" s="36" t="s">
        <v>84</v>
      </c>
      <c r="C53" s="36" t="s">
        <v>104</v>
      </c>
      <c r="D53" s="37">
        <v>45008</v>
      </c>
      <c r="E53" s="38">
        <v>24</v>
      </c>
      <c r="F53" s="39">
        <v>310</v>
      </c>
      <c r="G53" s="38">
        <v>11</v>
      </c>
      <c r="H53" s="40" t="s">
        <v>89</v>
      </c>
      <c r="J53"/>
      <c r="K53"/>
    </row>
    <row r="54" spans="1:11" ht="15" hidden="1" customHeight="1" x14ac:dyDescent="0.25">
      <c r="A54" s="36" t="s">
        <v>93</v>
      </c>
      <c r="B54" s="36" t="s">
        <v>84</v>
      </c>
      <c r="C54" s="36" t="s">
        <v>104</v>
      </c>
      <c r="D54" s="37">
        <v>45254</v>
      </c>
      <c r="E54" s="38">
        <v>20</v>
      </c>
      <c r="F54" s="39">
        <v>200</v>
      </c>
      <c r="G54" s="38">
        <v>7</v>
      </c>
      <c r="H54" s="40" t="s">
        <v>83</v>
      </c>
      <c r="J54"/>
      <c r="K54"/>
    </row>
    <row r="55" spans="1:11" ht="15" hidden="1" customHeight="1" x14ac:dyDescent="0.25">
      <c r="A55" s="36" t="s">
        <v>96</v>
      </c>
      <c r="B55" s="36" t="s">
        <v>82</v>
      </c>
      <c r="C55" s="36" t="s">
        <v>88</v>
      </c>
      <c r="D55" s="37">
        <v>45700</v>
      </c>
      <c r="E55" s="38">
        <v>12</v>
      </c>
      <c r="F55" s="39">
        <v>160</v>
      </c>
      <c r="G55" s="38">
        <v>8</v>
      </c>
      <c r="H55" s="40" t="s">
        <v>100</v>
      </c>
      <c r="J55"/>
      <c r="K55"/>
    </row>
    <row r="56" spans="1:11" ht="15" hidden="1" customHeight="1" x14ac:dyDescent="0.25">
      <c r="A56" s="36" t="s">
        <v>86</v>
      </c>
      <c r="B56" s="36" t="s">
        <v>87</v>
      </c>
      <c r="C56" s="36" t="s">
        <v>105</v>
      </c>
      <c r="D56" s="37">
        <v>45744</v>
      </c>
      <c r="E56" s="38">
        <v>16</v>
      </c>
      <c r="F56" s="39">
        <v>210</v>
      </c>
      <c r="G56" s="38">
        <v>9</v>
      </c>
      <c r="H56" s="40" t="s">
        <v>98</v>
      </c>
      <c r="J56"/>
      <c r="K56"/>
    </row>
    <row r="57" spans="1:11" ht="15" hidden="1" customHeight="1" x14ac:dyDescent="0.25">
      <c r="A57" s="36" t="s">
        <v>90</v>
      </c>
      <c r="B57" s="36" t="s">
        <v>87</v>
      </c>
      <c r="C57" s="36" t="s">
        <v>106</v>
      </c>
      <c r="D57" s="37">
        <v>45247</v>
      </c>
      <c r="E57" s="38">
        <v>16</v>
      </c>
      <c r="F57" s="39">
        <v>380</v>
      </c>
      <c r="G57" s="38">
        <v>7</v>
      </c>
      <c r="H57" s="40" t="s">
        <v>89</v>
      </c>
      <c r="J57"/>
      <c r="K57"/>
    </row>
    <row r="58" spans="1:11" ht="15" hidden="1" customHeight="1" x14ac:dyDescent="0.25">
      <c r="A58" s="36" t="s">
        <v>86</v>
      </c>
      <c r="B58" s="36" t="s">
        <v>87</v>
      </c>
      <c r="C58" s="36" t="s">
        <v>88</v>
      </c>
      <c r="D58" s="37">
        <v>45469</v>
      </c>
      <c r="E58" s="38">
        <v>16</v>
      </c>
      <c r="F58" s="39">
        <v>210</v>
      </c>
      <c r="G58" s="38">
        <v>7</v>
      </c>
      <c r="H58" s="40" t="s">
        <v>89</v>
      </c>
      <c r="J58"/>
      <c r="K58"/>
    </row>
    <row r="59" spans="1:11" ht="15" hidden="1" customHeight="1" x14ac:dyDescent="0.25">
      <c r="A59" s="36" t="s">
        <v>86</v>
      </c>
      <c r="B59" s="36" t="s">
        <v>87</v>
      </c>
      <c r="C59" s="36" t="s">
        <v>106</v>
      </c>
      <c r="D59" s="37">
        <v>44988</v>
      </c>
      <c r="E59" s="38">
        <v>16</v>
      </c>
      <c r="F59" s="39">
        <v>210</v>
      </c>
      <c r="G59" s="38">
        <v>7</v>
      </c>
      <c r="H59" s="40" t="s">
        <v>99</v>
      </c>
      <c r="J59"/>
      <c r="K59"/>
    </row>
    <row r="60" spans="1:11" ht="15" hidden="1" customHeight="1" x14ac:dyDescent="0.25">
      <c r="A60" s="36" t="s">
        <v>90</v>
      </c>
      <c r="B60" s="36" t="s">
        <v>84</v>
      </c>
      <c r="C60" s="36" t="s">
        <v>106</v>
      </c>
      <c r="D60" s="37">
        <v>44986</v>
      </c>
      <c r="E60" s="38">
        <v>24</v>
      </c>
      <c r="F60" s="39">
        <v>310</v>
      </c>
      <c r="G60" s="38">
        <v>7</v>
      </c>
      <c r="H60" s="40" t="s">
        <v>83</v>
      </c>
      <c r="J60"/>
      <c r="K60"/>
    </row>
    <row r="61" spans="1:11" ht="15" hidden="1" customHeight="1" x14ac:dyDescent="0.25">
      <c r="A61" s="36" t="s">
        <v>90</v>
      </c>
      <c r="B61" s="36" t="s">
        <v>87</v>
      </c>
      <c r="C61" s="36" t="s">
        <v>106</v>
      </c>
      <c r="D61" s="37">
        <v>45707</v>
      </c>
      <c r="E61" s="38">
        <v>16</v>
      </c>
      <c r="F61" s="39">
        <v>380</v>
      </c>
      <c r="G61" s="38">
        <v>10</v>
      </c>
      <c r="H61" s="40" t="s">
        <v>89</v>
      </c>
      <c r="J61"/>
      <c r="K61"/>
    </row>
    <row r="62" spans="1:11" ht="15" hidden="1" customHeight="1" x14ac:dyDescent="0.25">
      <c r="A62" s="36" t="s">
        <v>93</v>
      </c>
      <c r="B62" s="36" t="s">
        <v>84</v>
      </c>
      <c r="C62" s="36" t="s">
        <v>104</v>
      </c>
      <c r="D62" s="37">
        <v>45255</v>
      </c>
      <c r="E62" s="38">
        <v>20</v>
      </c>
      <c r="F62" s="39">
        <v>200</v>
      </c>
      <c r="G62" s="38">
        <v>6</v>
      </c>
      <c r="H62" s="40" t="s">
        <v>98</v>
      </c>
      <c r="J62"/>
      <c r="K62"/>
    </row>
    <row r="63" spans="1:11" ht="15" hidden="1" customHeight="1" x14ac:dyDescent="0.25">
      <c r="A63" s="36" t="s">
        <v>96</v>
      </c>
      <c r="B63" s="36" t="s">
        <v>82</v>
      </c>
      <c r="C63" s="36" t="s">
        <v>106</v>
      </c>
      <c r="D63" s="37">
        <v>44976</v>
      </c>
      <c r="E63" s="38">
        <v>12</v>
      </c>
      <c r="F63" s="39">
        <v>160</v>
      </c>
      <c r="G63" s="38">
        <v>10</v>
      </c>
      <c r="H63" s="40" t="s">
        <v>97</v>
      </c>
      <c r="J63"/>
      <c r="K63"/>
    </row>
    <row r="64" spans="1:11" ht="15" hidden="1" customHeight="1" x14ac:dyDescent="0.25">
      <c r="A64" s="36" t="s">
        <v>90</v>
      </c>
      <c r="B64" s="36" t="s">
        <v>84</v>
      </c>
      <c r="C64" s="36" t="s">
        <v>104</v>
      </c>
      <c r="D64" s="37">
        <v>45115</v>
      </c>
      <c r="E64" s="38">
        <v>24</v>
      </c>
      <c r="F64" s="39">
        <v>310</v>
      </c>
      <c r="G64" s="38">
        <v>7</v>
      </c>
      <c r="H64" s="40" t="s">
        <v>95</v>
      </c>
      <c r="J64"/>
      <c r="K64"/>
    </row>
    <row r="65" spans="1:11" ht="15" hidden="1" customHeight="1" x14ac:dyDescent="0.25">
      <c r="A65" s="36" t="s">
        <v>90</v>
      </c>
      <c r="B65" s="36" t="s">
        <v>84</v>
      </c>
      <c r="C65" s="36" t="s">
        <v>106</v>
      </c>
      <c r="D65" s="37">
        <v>44962</v>
      </c>
      <c r="E65" s="38">
        <v>24</v>
      </c>
      <c r="F65" s="39">
        <v>310</v>
      </c>
      <c r="G65" s="38">
        <v>9</v>
      </c>
      <c r="H65" s="40" t="s">
        <v>92</v>
      </c>
      <c r="J65"/>
      <c r="K65"/>
    </row>
    <row r="66" spans="1:11" ht="15" hidden="1" customHeight="1" x14ac:dyDescent="0.25">
      <c r="A66" s="36" t="s">
        <v>93</v>
      </c>
      <c r="B66" s="36" t="s">
        <v>84</v>
      </c>
      <c r="C66" s="36" t="s">
        <v>104</v>
      </c>
      <c r="D66" s="37">
        <v>45216</v>
      </c>
      <c r="E66" s="38">
        <v>20</v>
      </c>
      <c r="F66" s="39">
        <v>200</v>
      </c>
      <c r="G66" s="38">
        <v>7</v>
      </c>
      <c r="H66" s="40" t="s">
        <v>94</v>
      </c>
      <c r="J66"/>
      <c r="K66"/>
    </row>
    <row r="67" spans="1:11" ht="15" hidden="1" customHeight="1" x14ac:dyDescent="0.25">
      <c r="A67" s="36" t="s">
        <v>90</v>
      </c>
      <c r="B67" s="36" t="s">
        <v>84</v>
      </c>
      <c r="C67" s="36" t="s">
        <v>106</v>
      </c>
      <c r="D67" s="37">
        <v>45752</v>
      </c>
      <c r="E67" s="38">
        <v>24</v>
      </c>
      <c r="F67" s="39">
        <v>310</v>
      </c>
      <c r="G67" s="38">
        <v>8</v>
      </c>
      <c r="H67" s="40" t="s">
        <v>91</v>
      </c>
      <c r="J67"/>
      <c r="K67"/>
    </row>
    <row r="68" spans="1:11" ht="15" hidden="1" customHeight="1" x14ac:dyDescent="0.25">
      <c r="A68" s="36" t="s">
        <v>90</v>
      </c>
      <c r="B68" s="36" t="s">
        <v>84</v>
      </c>
      <c r="C68" s="36" t="s">
        <v>104</v>
      </c>
      <c r="D68" s="37">
        <v>44950</v>
      </c>
      <c r="E68" s="38">
        <v>24</v>
      </c>
      <c r="F68" s="39">
        <v>310</v>
      </c>
      <c r="G68" s="38">
        <v>8</v>
      </c>
      <c r="H68" s="40" t="s">
        <v>92</v>
      </c>
      <c r="J68"/>
      <c r="K68"/>
    </row>
    <row r="69" spans="1:11" ht="15" hidden="1" customHeight="1" x14ac:dyDescent="0.25">
      <c r="A69" s="36" t="s">
        <v>81</v>
      </c>
      <c r="B69" s="36" t="s">
        <v>84</v>
      </c>
      <c r="C69" s="36" t="s">
        <v>106</v>
      </c>
      <c r="D69" s="37">
        <v>44948</v>
      </c>
      <c r="E69" s="38">
        <v>12</v>
      </c>
      <c r="F69" s="39">
        <v>180</v>
      </c>
      <c r="G69" s="38">
        <v>9</v>
      </c>
      <c r="H69" s="40" t="s">
        <v>89</v>
      </c>
      <c r="J69"/>
      <c r="K69"/>
    </row>
    <row r="70" spans="1:11" ht="15" hidden="1" customHeight="1" x14ac:dyDescent="0.25">
      <c r="A70" s="36" t="s">
        <v>86</v>
      </c>
      <c r="B70" s="36" t="s">
        <v>87</v>
      </c>
      <c r="C70" s="36" t="s">
        <v>88</v>
      </c>
      <c r="D70" s="37">
        <v>45743</v>
      </c>
      <c r="E70" s="38">
        <v>20</v>
      </c>
      <c r="F70" s="39">
        <v>280</v>
      </c>
      <c r="G70" s="38">
        <v>12</v>
      </c>
      <c r="H70" s="40" t="s">
        <v>89</v>
      </c>
      <c r="J70"/>
      <c r="K70"/>
    </row>
    <row r="71" spans="1:11" ht="15" hidden="1" customHeight="1" x14ac:dyDescent="0.25">
      <c r="A71" s="36" t="s">
        <v>81</v>
      </c>
      <c r="B71" s="36" t="s">
        <v>84</v>
      </c>
      <c r="C71" s="36" t="s">
        <v>106</v>
      </c>
      <c r="D71" s="37">
        <v>45819</v>
      </c>
      <c r="E71" s="38">
        <v>12</v>
      </c>
      <c r="F71" s="39">
        <v>180</v>
      </c>
      <c r="G71" s="38">
        <v>10</v>
      </c>
      <c r="H71" s="40" t="s">
        <v>85</v>
      </c>
      <c r="J71"/>
      <c r="K71"/>
    </row>
    <row r="72" spans="1:11" ht="15" hidden="1" customHeight="1" x14ac:dyDescent="0.25">
      <c r="A72" s="41" t="s">
        <v>81</v>
      </c>
      <c r="B72" s="41" t="s">
        <v>82</v>
      </c>
      <c r="C72" s="41" t="s">
        <v>106</v>
      </c>
      <c r="D72" s="42">
        <v>44952</v>
      </c>
      <c r="E72" s="43">
        <v>12</v>
      </c>
      <c r="F72" s="44">
        <v>180</v>
      </c>
      <c r="G72" s="43">
        <v>7</v>
      </c>
      <c r="H72" s="45" t="s">
        <v>83</v>
      </c>
      <c r="J72"/>
      <c r="K72"/>
    </row>
  </sheetData>
  <autoFilter ref="A3:H72" xr:uid="{AF10988B-C317-4680-B81B-521685A57490}">
    <filterColumn colId="3">
      <dynamicFilter type="tomorrow" val="45820" maxVal="45821"/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2447-310A-488F-8690-00962CC645A3}">
  <sheetPr filterMode="1"/>
  <dimension ref="A1:K72"/>
  <sheetViews>
    <sheetView workbookViewId="0">
      <selection activeCell="D3" sqref="D3"/>
    </sheetView>
  </sheetViews>
  <sheetFormatPr defaultColWidth="9" defaultRowHeight="15" x14ac:dyDescent="0.25"/>
  <cols>
    <col min="1" max="1" width="8" style="14" customWidth="1"/>
    <col min="2" max="2" width="14.28515625" style="14" customWidth="1"/>
    <col min="3" max="3" width="14.42578125" style="14" bestFit="1" customWidth="1"/>
    <col min="4" max="4" width="11.42578125" style="14" customWidth="1"/>
    <col min="5" max="5" width="13.140625" style="14" bestFit="1" customWidth="1"/>
    <col min="6" max="6" width="10.85546875" style="32" bestFit="1" customWidth="1"/>
    <col min="7" max="7" width="10.85546875" style="14" bestFit="1" customWidth="1"/>
    <col min="8" max="8" width="27.5703125" style="33" customWidth="1"/>
    <col min="9" max="9" width="6" style="14" customWidth="1"/>
    <col min="10" max="13" width="13.7109375" style="14" customWidth="1"/>
    <col min="14" max="16384" width="9" style="14"/>
  </cols>
  <sheetData>
    <row r="1" spans="1:11" ht="15.75" x14ac:dyDescent="0.25">
      <c r="A1" s="46" t="s">
        <v>404</v>
      </c>
    </row>
    <row r="2" spans="1:11" x14ac:dyDescent="0.25">
      <c r="J2" s="12" t="s">
        <v>70</v>
      </c>
    </row>
    <row r="3" spans="1:11" ht="15" customHeight="1" x14ac:dyDescent="0.25">
      <c r="A3" s="34" t="s">
        <v>74</v>
      </c>
      <c r="B3" s="34" t="s">
        <v>75</v>
      </c>
      <c r="C3" s="34" t="s">
        <v>76</v>
      </c>
      <c r="D3" s="34" t="s">
        <v>77</v>
      </c>
      <c r="E3" s="34" t="s">
        <v>78</v>
      </c>
      <c r="F3" s="35" t="s">
        <v>79</v>
      </c>
      <c r="G3" s="34" t="s">
        <v>340</v>
      </c>
      <c r="H3" s="34" t="s">
        <v>80</v>
      </c>
      <c r="J3" t="s">
        <v>348</v>
      </c>
    </row>
    <row r="4" spans="1:11" ht="15" hidden="1" customHeight="1" x14ac:dyDescent="0.25">
      <c r="A4" s="36" t="s">
        <v>81</v>
      </c>
      <c r="B4" s="36" t="s">
        <v>84</v>
      </c>
      <c r="C4" s="36" t="s">
        <v>106</v>
      </c>
      <c r="D4" s="37">
        <v>45280</v>
      </c>
      <c r="E4" s="38">
        <v>12</v>
      </c>
      <c r="F4" s="39">
        <v>180</v>
      </c>
      <c r="G4" s="38">
        <v>11</v>
      </c>
      <c r="H4" s="40" t="s">
        <v>98</v>
      </c>
      <c r="J4" s="33"/>
      <c r="K4" s="33"/>
    </row>
    <row r="5" spans="1:11" ht="15" hidden="1" customHeight="1" x14ac:dyDescent="0.25">
      <c r="A5" s="36" t="s">
        <v>90</v>
      </c>
      <c r="B5" s="36" t="s">
        <v>84</v>
      </c>
      <c r="C5" s="36" t="s">
        <v>104</v>
      </c>
      <c r="D5" s="37">
        <v>45251</v>
      </c>
      <c r="E5" s="38">
        <v>24</v>
      </c>
      <c r="F5" s="39">
        <v>310</v>
      </c>
      <c r="G5" s="38">
        <v>6</v>
      </c>
      <c r="H5" s="40" t="s">
        <v>85</v>
      </c>
      <c r="J5" s="14" t="s">
        <v>341</v>
      </c>
      <c r="K5" s="33"/>
    </row>
    <row r="6" spans="1:11" ht="15" hidden="1" customHeight="1" x14ac:dyDescent="0.25">
      <c r="A6" s="36" t="s">
        <v>81</v>
      </c>
      <c r="B6" s="36" t="s">
        <v>87</v>
      </c>
      <c r="C6" s="36" t="s">
        <v>106</v>
      </c>
      <c r="D6" s="37">
        <v>45701</v>
      </c>
      <c r="E6" s="38">
        <v>12</v>
      </c>
      <c r="F6" s="39">
        <v>180</v>
      </c>
      <c r="G6" s="38">
        <v>10</v>
      </c>
      <c r="H6" s="40" t="s">
        <v>94</v>
      </c>
      <c r="J6" s="14" t="s">
        <v>339</v>
      </c>
      <c r="K6" s="33"/>
    </row>
    <row r="7" spans="1:11" ht="15" hidden="1" customHeight="1" x14ac:dyDescent="0.25">
      <c r="A7" s="36" t="s">
        <v>90</v>
      </c>
      <c r="B7" s="36" t="s">
        <v>84</v>
      </c>
      <c r="C7" s="36" t="s">
        <v>106</v>
      </c>
      <c r="D7" s="37">
        <v>45744</v>
      </c>
      <c r="E7" s="38">
        <v>24</v>
      </c>
      <c r="F7" s="39">
        <v>310</v>
      </c>
      <c r="G7" s="38">
        <v>12</v>
      </c>
      <c r="H7" s="40" t="s">
        <v>103</v>
      </c>
      <c r="J7" s="14" t="s">
        <v>346</v>
      </c>
      <c r="K7" s="33"/>
    </row>
    <row r="8" spans="1:11" ht="15" hidden="1" customHeight="1" x14ac:dyDescent="0.25">
      <c r="A8" s="36" t="s">
        <v>90</v>
      </c>
      <c r="B8" s="36" t="s">
        <v>84</v>
      </c>
      <c r="C8" s="36" t="s">
        <v>106</v>
      </c>
      <c r="D8" s="37">
        <v>45119</v>
      </c>
      <c r="E8" s="38">
        <v>24</v>
      </c>
      <c r="F8" s="39">
        <v>310</v>
      </c>
      <c r="G8" s="38">
        <v>8</v>
      </c>
      <c r="H8" s="40" t="s">
        <v>102</v>
      </c>
      <c r="J8" s="14" t="s">
        <v>347</v>
      </c>
      <c r="K8" s="33"/>
    </row>
    <row r="9" spans="1:11" ht="15" hidden="1" customHeight="1" x14ac:dyDescent="0.25">
      <c r="A9" s="36" t="s">
        <v>86</v>
      </c>
      <c r="B9" s="36" t="s">
        <v>84</v>
      </c>
      <c r="C9" s="36" t="s">
        <v>106</v>
      </c>
      <c r="D9" s="37">
        <v>45820</v>
      </c>
      <c r="E9" s="38">
        <v>20</v>
      </c>
      <c r="F9" s="39">
        <v>280</v>
      </c>
      <c r="G9" s="38">
        <v>11</v>
      </c>
      <c r="H9" s="40" t="s">
        <v>94</v>
      </c>
      <c r="J9" s="33"/>
      <c r="K9" s="33"/>
    </row>
    <row r="10" spans="1:11" ht="15" hidden="1" customHeight="1" x14ac:dyDescent="0.25">
      <c r="A10" s="36" t="s">
        <v>81</v>
      </c>
      <c r="B10" s="36" t="s">
        <v>84</v>
      </c>
      <c r="C10" s="36" t="s">
        <v>106</v>
      </c>
      <c r="D10" s="37">
        <v>45246</v>
      </c>
      <c r="E10" s="38">
        <v>12</v>
      </c>
      <c r="F10" s="39">
        <v>180</v>
      </c>
      <c r="G10" s="38">
        <v>9</v>
      </c>
      <c r="H10" s="40" t="s">
        <v>89</v>
      </c>
      <c r="J10" s="33"/>
      <c r="K10" s="33"/>
    </row>
    <row r="11" spans="1:11" ht="15" hidden="1" customHeight="1" x14ac:dyDescent="0.25">
      <c r="A11" s="36" t="s">
        <v>96</v>
      </c>
      <c r="B11" s="36" t="s">
        <v>87</v>
      </c>
      <c r="C11" s="36" t="s">
        <v>106</v>
      </c>
      <c r="D11" s="37">
        <v>45219</v>
      </c>
      <c r="E11" s="38">
        <v>16</v>
      </c>
      <c r="F11" s="39">
        <v>250</v>
      </c>
      <c r="G11" s="38">
        <v>9</v>
      </c>
      <c r="H11" s="40" t="s">
        <v>102</v>
      </c>
      <c r="J11" s="33"/>
      <c r="K11" s="33"/>
    </row>
    <row r="12" spans="1:11" ht="15" hidden="1" customHeight="1" x14ac:dyDescent="0.25">
      <c r="A12" s="36" t="s">
        <v>96</v>
      </c>
      <c r="B12" s="36" t="s">
        <v>82</v>
      </c>
      <c r="C12" s="36" t="s">
        <v>106</v>
      </c>
      <c r="D12" s="37">
        <v>45216</v>
      </c>
      <c r="E12" s="38">
        <v>12</v>
      </c>
      <c r="F12" s="39">
        <v>160</v>
      </c>
      <c r="G12" s="38">
        <v>6</v>
      </c>
      <c r="H12" s="40" t="s">
        <v>89</v>
      </c>
      <c r="J12" s="33"/>
      <c r="K12" s="33"/>
    </row>
    <row r="13" spans="1:11" ht="15" hidden="1" customHeight="1" x14ac:dyDescent="0.25">
      <c r="A13" s="36" t="s">
        <v>86</v>
      </c>
      <c r="B13" s="36" t="s">
        <v>87</v>
      </c>
      <c r="C13" s="36" t="s">
        <v>105</v>
      </c>
      <c r="D13" s="37">
        <v>45115</v>
      </c>
      <c r="E13" s="38">
        <v>16</v>
      </c>
      <c r="F13" s="39">
        <v>210</v>
      </c>
      <c r="G13" s="38">
        <v>9</v>
      </c>
      <c r="H13" s="40" t="s">
        <v>83</v>
      </c>
      <c r="J13" s="33"/>
      <c r="K13" s="33"/>
    </row>
    <row r="14" spans="1:11" ht="15" customHeight="1" x14ac:dyDescent="0.25">
      <c r="A14" s="36" t="s">
        <v>93</v>
      </c>
      <c r="B14" s="36" t="s">
        <v>84</v>
      </c>
      <c r="C14" s="36" t="s">
        <v>104</v>
      </c>
      <c r="D14" s="37">
        <v>45819</v>
      </c>
      <c r="E14" s="38">
        <v>20</v>
      </c>
      <c r="F14" s="39">
        <v>200</v>
      </c>
      <c r="G14" s="38">
        <v>7</v>
      </c>
      <c r="H14" s="40" t="s">
        <v>100</v>
      </c>
      <c r="J14" s="33"/>
      <c r="K14" s="33"/>
    </row>
    <row r="15" spans="1:11" ht="15" hidden="1" customHeight="1" x14ac:dyDescent="0.25">
      <c r="A15" s="36" t="s">
        <v>90</v>
      </c>
      <c r="B15" s="36" t="s">
        <v>84</v>
      </c>
      <c r="C15" s="36" t="s">
        <v>104</v>
      </c>
      <c r="D15" s="37">
        <v>45470</v>
      </c>
      <c r="E15" s="38">
        <v>24</v>
      </c>
      <c r="F15" s="39">
        <v>310</v>
      </c>
      <c r="G15" s="38">
        <v>7</v>
      </c>
      <c r="H15" s="40" t="s">
        <v>83</v>
      </c>
      <c r="J15" s="33"/>
      <c r="K15" s="33"/>
    </row>
    <row r="16" spans="1:11" ht="15" hidden="1" customHeight="1" x14ac:dyDescent="0.25">
      <c r="A16" s="36" t="s">
        <v>81</v>
      </c>
      <c r="B16" s="36" t="s">
        <v>84</v>
      </c>
      <c r="C16" s="36" t="s">
        <v>106</v>
      </c>
      <c r="D16" s="37">
        <v>45173</v>
      </c>
      <c r="E16" s="38">
        <v>12</v>
      </c>
      <c r="F16" s="39">
        <v>180</v>
      </c>
      <c r="G16" s="38">
        <v>12</v>
      </c>
      <c r="H16" s="40" t="s">
        <v>95</v>
      </c>
      <c r="J16" s="33"/>
      <c r="K16" s="33"/>
    </row>
    <row r="17" spans="1:11" ht="15" hidden="1" customHeight="1" x14ac:dyDescent="0.25">
      <c r="A17" s="36" t="s">
        <v>90</v>
      </c>
      <c r="B17" s="36" t="s">
        <v>84</v>
      </c>
      <c r="C17" s="36" t="s">
        <v>104</v>
      </c>
      <c r="D17" s="37">
        <v>45253</v>
      </c>
      <c r="E17" s="38">
        <v>24</v>
      </c>
      <c r="F17" s="39">
        <v>310</v>
      </c>
      <c r="G17" s="38">
        <v>7</v>
      </c>
      <c r="H17" s="40" t="s">
        <v>92</v>
      </c>
      <c r="J17" s="33"/>
      <c r="K17"/>
    </row>
    <row r="18" spans="1:11" ht="15" hidden="1" customHeight="1" x14ac:dyDescent="0.25">
      <c r="A18" s="36" t="s">
        <v>90</v>
      </c>
      <c r="B18" s="36" t="s">
        <v>84</v>
      </c>
      <c r="C18" s="36" t="s">
        <v>106</v>
      </c>
      <c r="D18" s="37">
        <v>45820</v>
      </c>
      <c r="E18" s="38">
        <v>24</v>
      </c>
      <c r="F18" s="39">
        <v>310</v>
      </c>
      <c r="G18" s="38">
        <v>11</v>
      </c>
      <c r="H18" s="40" t="s">
        <v>102</v>
      </c>
      <c r="J18"/>
      <c r="K18"/>
    </row>
    <row r="19" spans="1:11" ht="15" hidden="1" customHeight="1" x14ac:dyDescent="0.25">
      <c r="A19" s="36" t="s">
        <v>86</v>
      </c>
      <c r="B19" s="36" t="s">
        <v>82</v>
      </c>
      <c r="C19" s="36" t="s">
        <v>105</v>
      </c>
      <c r="D19" s="37">
        <v>45705</v>
      </c>
      <c r="E19" s="38">
        <v>16</v>
      </c>
      <c r="F19" s="39">
        <v>210</v>
      </c>
      <c r="G19" s="38">
        <v>12</v>
      </c>
      <c r="H19" s="40" t="s">
        <v>85</v>
      </c>
      <c r="J19"/>
      <c r="K19"/>
    </row>
    <row r="20" spans="1:11" ht="15" hidden="1" customHeight="1" x14ac:dyDescent="0.25">
      <c r="A20" s="36" t="s">
        <v>81</v>
      </c>
      <c r="B20" s="36" t="s">
        <v>84</v>
      </c>
      <c r="C20" s="36" t="s">
        <v>88</v>
      </c>
      <c r="D20" s="37">
        <v>45475</v>
      </c>
      <c r="E20" s="38">
        <v>12</v>
      </c>
      <c r="F20" s="39">
        <v>180</v>
      </c>
      <c r="G20" s="38">
        <v>8</v>
      </c>
      <c r="H20" s="40" t="s">
        <v>83</v>
      </c>
      <c r="J20"/>
      <c r="K20"/>
    </row>
    <row r="21" spans="1:11" ht="15" hidden="1" customHeight="1" x14ac:dyDescent="0.25">
      <c r="A21" s="36" t="s">
        <v>90</v>
      </c>
      <c r="B21" s="36" t="s">
        <v>84</v>
      </c>
      <c r="C21" s="36" t="s">
        <v>106</v>
      </c>
      <c r="D21" s="37">
        <v>45743</v>
      </c>
      <c r="E21" s="38">
        <v>24</v>
      </c>
      <c r="F21" s="39">
        <v>310</v>
      </c>
      <c r="G21" s="38">
        <v>12</v>
      </c>
      <c r="H21" s="40" t="s">
        <v>91</v>
      </c>
      <c r="J21"/>
      <c r="K21"/>
    </row>
    <row r="22" spans="1:11" ht="15" hidden="1" customHeight="1" x14ac:dyDescent="0.25">
      <c r="A22" s="36" t="s">
        <v>90</v>
      </c>
      <c r="B22" s="36" t="s">
        <v>82</v>
      </c>
      <c r="C22" s="36" t="s">
        <v>106</v>
      </c>
      <c r="D22" s="37">
        <v>45127</v>
      </c>
      <c r="E22" s="38">
        <v>24</v>
      </c>
      <c r="F22" s="39">
        <v>310</v>
      </c>
      <c r="G22" s="38">
        <v>6</v>
      </c>
      <c r="H22" s="40" t="s">
        <v>89</v>
      </c>
      <c r="J22"/>
      <c r="K22"/>
    </row>
    <row r="23" spans="1:11" ht="15" hidden="1" customHeight="1" x14ac:dyDescent="0.25">
      <c r="A23" s="36" t="s">
        <v>90</v>
      </c>
      <c r="B23" s="36" t="s">
        <v>84</v>
      </c>
      <c r="C23" s="36" t="s">
        <v>88</v>
      </c>
      <c r="D23" s="37">
        <v>45820</v>
      </c>
      <c r="E23" s="38">
        <v>24</v>
      </c>
      <c r="F23" s="39">
        <v>310</v>
      </c>
      <c r="G23" s="38">
        <v>6</v>
      </c>
      <c r="H23" s="40" t="s">
        <v>85</v>
      </c>
      <c r="J23"/>
      <c r="K23"/>
    </row>
    <row r="24" spans="1:11" ht="15" hidden="1" customHeight="1" x14ac:dyDescent="0.25">
      <c r="A24" s="36" t="s">
        <v>96</v>
      </c>
      <c r="B24" s="36" t="s">
        <v>87</v>
      </c>
      <c r="C24" s="36" t="s">
        <v>88</v>
      </c>
      <c r="D24" s="37">
        <v>45108</v>
      </c>
      <c r="E24" s="38">
        <v>16</v>
      </c>
      <c r="F24" s="39">
        <v>250</v>
      </c>
      <c r="G24" s="38">
        <v>10</v>
      </c>
      <c r="H24" s="40" t="s">
        <v>99</v>
      </c>
      <c r="J24"/>
      <c r="K24"/>
    </row>
    <row r="25" spans="1:11" ht="15" hidden="1" customHeight="1" x14ac:dyDescent="0.25">
      <c r="A25" s="36" t="s">
        <v>90</v>
      </c>
      <c r="B25" s="36" t="s">
        <v>87</v>
      </c>
      <c r="C25" s="36" t="s">
        <v>104</v>
      </c>
      <c r="D25" s="37">
        <v>45246</v>
      </c>
      <c r="E25" s="38">
        <v>16</v>
      </c>
      <c r="F25" s="39">
        <v>380</v>
      </c>
      <c r="G25" s="38">
        <v>10</v>
      </c>
      <c r="H25" s="40" t="s">
        <v>94</v>
      </c>
      <c r="J25"/>
      <c r="K25"/>
    </row>
    <row r="26" spans="1:11" ht="15" hidden="1" customHeight="1" x14ac:dyDescent="0.25">
      <c r="A26" s="36" t="s">
        <v>81</v>
      </c>
      <c r="B26" s="36" t="s">
        <v>84</v>
      </c>
      <c r="C26" s="36" t="s">
        <v>88</v>
      </c>
      <c r="D26" s="37">
        <v>45701</v>
      </c>
      <c r="E26" s="38">
        <v>12</v>
      </c>
      <c r="F26" s="39">
        <v>180</v>
      </c>
      <c r="G26" s="38">
        <v>6</v>
      </c>
      <c r="H26" s="40" t="s">
        <v>94</v>
      </c>
      <c r="J26"/>
      <c r="K26"/>
    </row>
    <row r="27" spans="1:11" ht="15" hidden="1" customHeight="1" x14ac:dyDescent="0.25">
      <c r="A27" s="36" t="s">
        <v>90</v>
      </c>
      <c r="B27" s="36" t="s">
        <v>84</v>
      </c>
      <c r="C27" s="36" t="s">
        <v>104</v>
      </c>
      <c r="D27" s="37">
        <v>45115</v>
      </c>
      <c r="E27" s="38">
        <v>24</v>
      </c>
      <c r="F27" s="39">
        <v>310</v>
      </c>
      <c r="G27" s="38">
        <v>7</v>
      </c>
      <c r="H27" s="40" t="s">
        <v>99</v>
      </c>
      <c r="J27"/>
      <c r="K27"/>
    </row>
    <row r="28" spans="1:11" ht="15" hidden="1" customHeight="1" x14ac:dyDescent="0.25">
      <c r="A28" s="36" t="s">
        <v>81</v>
      </c>
      <c r="B28" s="36" t="s">
        <v>84</v>
      </c>
      <c r="C28" s="36" t="s">
        <v>106</v>
      </c>
      <c r="D28" s="37">
        <v>45217</v>
      </c>
      <c r="E28" s="38">
        <v>12</v>
      </c>
      <c r="F28" s="39">
        <v>180</v>
      </c>
      <c r="G28" s="38">
        <v>9</v>
      </c>
      <c r="H28" s="40" t="s">
        <v>102</v>
      </c>
      <c r="J28"/>
      <c r="K28"/>
    </row>
    <row r="29" spans="1:11" ht="15" hidden="1" customHeight="1" x14ac:dyDescent="0.25">
      <c r="A29" s="36" t="s">
        <v>90</v>
      </c>
      <c r="B29" s="36" t="s">
        <v>82</v>
      </c>
      <c r="C29" s="36" t="s">
        <v>104</v>
      </c>
      <c r="D29" s="37">
        <v>45831</v>
      </c>
      <c r="E29" s="38">
        <v>16</v>
      </c>
      <c r="F29" s="39">
        <v>380</v>
      </c>
      <c r="G29" s="38">
        <v>11</v>
      </c>
      <c r="H29" s="40" t="s">
        <v>92</v>
      </c>
      <c r="J29"/>
      <c r="K29"/>
    </row>
    <row r="30" spans="1:11" ht="15" hidden="1" customHeight="1" x14ac:dyDescent="0.25">
      <c r="A30" s="36" t="s">
        <v>90</v>
      </c>
      <c r="B30" s="36" t="s">
        <v>84</v>
      </c>
      <c r="C30" s="36" t="s">
        <v>106</v>
      </c>
      <c r="D30" s="37">
        <v>45747</v>
      </c>
      <c r="E30" s="38">
        <v>24</v>
      </c>
      <c r="F30" s="39">
        <v>310</v>
      </c>
      <c r="G30" s="38">
        <v>7</v>
      </c>
      <c r="H30" s="40" t="s">
        <v>89</v>
      </c>
      <c r="J30"/>
      <c r="K30"/>
    </row>
    <row r="31" spans="1:11" ht="15" hidden="1" customHeight="1" x14ac:dyDescent="0.25">
      <c r="A31" s="36" t="s">
        <v>86</v>
      </c>
      <c r="B31" s="36" t="s">
        <v>82</v>
      </c>
      <c r="C31" s="36" t="s">
        <v>106</v>
      </c>
      <c r="D31" s="37">
        <v>45828</v>
      </c>
      <c r="E31" s="38">
        <v>16</v>
      </c>
      <c r="F31" s="39">
        <v>210</v>
      </c>
      <c r="G31" s="38">
        <v>11</v>
      </c>
      <c r="H31" s="40" t="s">
        <v>92</v>
      </c>
      <c r="J31"/>
      <c r="K31"/>
    </row>
    <row r="32" spans="1:11" ht="15" hidden="1" customHeight="1" x14ac:dyDescent="0.25">
      <c r="A32" s="36" t="s">
        <v>86</v>
      </c>
      <c r="B32" s="36" t="s">
        <v>84</v>
      </c>
      <c r="C32" s="36" t="s">
        <v>88</v>
      </c>
      <c r="D32" s="37">
        <v>45700</v>
      </c>
      <c r="E32" s="38">
        <v>20</v>
      </c>
      <c r="F32" s="39">
        <v>280</v>
      </c>
      <c r="G32" s="38">
        <v>9</v>
      </c>
      <c r="H32" s="40" t="s">
        <v>99</v>
      </c>
      <c r="J32"/>
      <c r="K32"/>
    </row>
    <row r="33" spans="1:11" ht="15" hidden="1" customHeight="1" x14ac:dyDescent="0.25">
      <c r="A33" s="36" t="s">
        <v>81</v>
      </c>
      <c r="B33" s="36" t="s">
        <v>84</v>
      </c>
      <c r="C33" s="36" t="s">
        <v>106</v>
      </c>
      <c r="D33" s="37">
        <v>45114</v>
      </c>
      <c r="E33" s="38">
        <v>12</v>
      </c>
      <c r="F33" s="39">
        <v>180</v>
      </c>
      <c r="G33" s="38">
        <v>8</v>
      </c>
      <c r="H33" s="40" t="s">
        <v>89</v>
      </c>
      <c r="J33"/>
      <c r="K33"/>
    </row>
    <row r="34" spans="1:11" ht="15" hidden="1" customHeight="1" x14ac:dyDescent="0.25">
      <c r="A34" s="36" t="s">
        <v>86</v>
      </c>
      <c r="B34" s="36" t="s">
        <v>82</v>
      </c>
      <c r="C34" s="36" t="s">
        <v>105</v>
      </c>
      <c r="D34" s="37">
        <v>45092</v>
      </c>
      <c r="E34" s="38">
        <v>16</v>
      </c>
      <c r="F34" s="39">
        <v>210</v>
      </c>
      <c r="G34" s="38">
        <v>7</v>
      </c>
      <c r="H34" s="40" t="s">
        <v>102</v>
      </c>
      <c r="J34"/>
      <c r="K34"/>
    </row>
    <row r="35" spans="1:11" ht="15" hidden="1" customHeight="1" x14ac:dyDescent="0.25">
      <c r="A35" s="36" t="s">
        <v>90</v>
      </c>
      <c r="B35" s="36" t="s">
        <v>84</v>
      </c>
      <c r="C35" s="36" t="s">
        <v>106</v>
      </c>
      <c r="D35" s="37">
        <v>45079</v>
      </c>
      <c r="E35" s="38">
        <v>24</v>
      </c>
      <c r="F35" s="39">
        <v>310</v>
      </c>
      <c r="G35" s="38">
        <v>9</v>
      </c>
      <c r="H35" s="40" t="s">
        <v>83</v>
      </c>
      <c r="J35"/>
      <c r="K35"/>
    </row>
    <row r="36" spans="1:11" ht="15" hidden="1" customHeight="1" x14ac:dyDescent="0.25">
      <c r="A36" s="36" t="s">
        <v>86</v>
      </c>
      <c r="B36" s="36" t="s">
        <v>84</v>
      </c>
      <c r="C36" s="36" t="s">
        <v>88</v>
      </c>
      <c r="D36" s="37">
        <v>45469</v>
      </c>
      <c r="E36" s="38">
        <v>20</v>
      </c>
      <c r="F36" s="39">
        <v>280</v>
      </c>
      <c r="G36" s="38">
        <v>8</v>
      </c>
      <c r="H36" s="40" t="s">
        <v>99</v>
      </c>
      <c r="J36"/>
      <c r="K36"/>
    </row>
    <row r="37" spans="1:11" ht="15" hidden="1" customHeight="1" x14ac:dyDescent="0.25">
      <c r="A37" s="36" t="s">
        <v>86</v>
      </c>
      <c r="B37" s="36" t="s">
        <v>87</v>
      </c>
      <c r="C37" s="36" t="s">
        <v>106</v>
      </c>
      <c r="D37" s="37">
        <v>45479</v>
      </c>
      <c r="E37" s="38">
        <v>20</v>
      </c>
      <c r="F37" s="39">
        <v>280</v>
      </c>
      <c r="G37" s="38">
        <v>8</v>
      </c>
      <c r="H37" s="40" t="s">
        <v>94</v>
      </c>
      <c r="J37"/>
      <c r="K37"/>
    </row>
    <row r="38" spans="1:11" ht="15" hidden="1" customHeight="1" x14ac:dyDescent="0.25">
      <c r="A38" s="36" t="s">
        <v>90</v>
      </c>
      <c r="B38" s="36" t="s">
        <v>84</v>
      </c>
      <c r="C38" s="36" t="s">
        <v>104</v>
      </c>
      <c r="D38" s="37">
        <v>45705</v>
      </c>
      <c r="E38" s="38">
        <v>24</v>
      </c>
      <c r="F38" s="39">
        <v>310</v>
      </c>
      <c r="G38" s="38">
        <v>7</v>
      </c>
      <c r="H38" s="40" t="s">
        <v>95</v>
      </c>
      <c r="J38"/>
      <c r="K38"/>
    </row>
    <row r="39" spans="1:11" ht="15" hidden="1" customHeight="1" x14ac:dyDescent="0.25">
      <c r="A39" s="36" t="s">
        <v>93</v>
      </c>
      <c r="B39" s="36" t="s">
        <v>82</v>
      </c>
      <c r="C39" s="36" t="s">
        <v>104</v>
      </c>
      <c r="D39" s="37">
        <v>45225</v>
      </c>
      <c r="E39" s="38">
        <v>20</v>
      </c>
      <c r="F39" s="39">
        <v>200</v>
      </c>
      <c r="G39" s="38">
        <v>7</v>
      </c>
      <c r="H39" s="40" t="s">
        <v>101</v>
      </c>
      <c r="J39"/>
      <c r="K39"/>
    </row>
    <row r="40" spans="1:11" ht="15" customHeight="1" x14ac:dyDescent="0.25">
      <c r="A40" s="36" t="s">
        <v>86</v>
      </c>
      <c r="B40" s="36" t="s">
        <v>87</v>
      </c>
      <c r="C40" s="36" t="s">
        <v>104</v>
      </c>
      <c r="D40" s="37">
        <v>45819</v>
      </c>
      <c r="E40" s="38">
        <v>20</v>
      </c>
      <c r="F40" s="39">
        <v>320</v>
      </c>
      <c r="G40" s="38">
        <v>11</v>
      </c>
      <c r="H40" s="40" t="s">
        <v>92</v>
      </c>
      <c r="J40"/>
      <c r="K40"/>
    </row>
    <row r="41" spans="1:11" ht="15" hidden="1" customHeight="1" x14ac:dyDescent="0.25">
      <c r="A41" s="36" t="s">
        <v>86</v>
      </c>
      <c r="B41" s="36" t="s">
        <v>84</v>
      </c>
      <c r="C41" s="36" t="s">
        <v>106</v>
      </c>
      <c r="D41" s="37">
        <v>45119</v>
      </c>
      <c r="E41" s="38">
        <v>20</v>
      </c>
      <c r="F41" s="39">
        <v>280</v>
      </c>
      <c r="G41" s="38">
        <v>8</v>
      </c>
      <c r="H41" s="40" t="s">
        <v>89</v>
      </c>
      <c r="J41"/>
      <c r="K41"/>
    </row>
    <row r="42" spans="1:11" ht="15" hidden="1" customHeight="1" x14ac:dyDescent="0.25">
      <c r="A42" s="36" t="s">
        <v>86</v>
      </c>
      <c r="B42" s="36" t="s">
        <v>82</v>
      </c>
      <c r="C42" s="36" t="s">
        <v>105</v>
      </c>
      <c r="D42" s="37">
        <v>45749</v>
      </c>
      <c r="E42" s="38">
        <v>16</v>
      </c>
      <c r="F42" s="39">
        <v>210</v>
      </c>
      <c r="G42" s="38">
        <v>8</v>
      </c>
      <c r="H42" s="40" t="s">
        <v>89</v>
      </c>
      <c r="J42"/>
      <c r="K42"/>
    </row>
    <row r="43" spans="1:11" ht="15" hidden="1" customHeight="1" x14ac:dyDescent="0.25">
      <c r="A43" s="36" t="s">
        <v>90</v>
      </c>
      <c r="B43" s="36" t="s">
        <v>84</v>
      </c>
      <c r="C43" s="36" t="s">
        <v>104</v>
      </c>
      <c r="D43" s="37">
        <v>45744</v>
      </c>
      <c r="E43" s="38">
        <v>24</v>
      </c>
      <c r="F43" s="39">
        <v>310</v>
      </c>
      <c r="G43" s="38">
        <v>12</v>
      </c>
      <c r="H43" s="40" t="s">
        <v>95</v>
      </c>
      <c r="J43"/>
      <c r="K43"/>
    </row>
    <row r="44" spans="1:11" ht="15" hidden="1" customHeight="1" x14ac:dyDescent="0.25">
      <c r="A44" s="36" t="s">
        <v>90</v>
      </c>
      <c r="B44" s="36" t="s">
        <v>84</v>
      </c>
      <c r="C44" s="36" t="s">
        <v>104</v>
      </c>
      <c r="D44" s="37">
        <v>45828</v>
      </c>
      <c r="E44" s="38">
        <v>24</v>
      </c>
      <c r="F44" s="39">
        <v>310</v>
      </c>
      <c r="G44" s="38">
        <v>12</v>
      </c>
      <c r="H44" s="40" t="s">
        <v>102</v>
      </c>
      <c r="J44"/>
      <c r="K44"/>
    </row>
    <row r="45" spans="1:11" ht="15" hidden="1" customHeight="1" x14ac:dyDescent="0.25">
      <c r="A45" s="36" t="s">
        <v>86</v>
      </c>
      <c r="B45" s="36" t="s">
        <v>84</v>
      </c>
      <c r="C45" s="36" t="s">
        <v>88</v>
      </c>
      <c r="D45" s="37">
        <v>45034</v>
      </c>
      <c r="E45" s="38">
        <v>20</v>
      </c>
      <c r="F45" s="39">
        <v>280</v>
      </c>
      <c r="G45" s="38">
        <v>11</v>
      </c>
      <c r="H45" s="40" t="s">
        <v>95</v>
      </c>
      <c r="J45"/>
      <c r="K45"/>
    </row>
    <row r="46" spans="1:11" ht="15" hidden="1" customHeight="1" x14ac:dyDescent="0.25">
      <c r="A46" s="36" t="s">
        <v>90</v>
      </c>
      <c r="B46" s="36" t="s">
        <v>87</v>
      </c>
      <c r="C46" s="36" t="s">
        <v>104</v>
      </c>
      <c r="D46" s="37">
        <v>45706</v>
      </c>
      <c r="E46" s="38">
        <v>16</v>
      </c>
      <c r="F46" s="39">
        <v>380</v>
      </c>
      <c r="G46" s="38">
        <v>8</v>
      </c>
      <c r="H46" s="40" t="s">
        <v>89</v>
      </c>
      <c r="J46"/>
      <c r="K46"/>
    </row>
    <row r="47" spans="1:11" ht="15" hidden="1" customHeight="1" x14ac:dyDescent="0.25">
      <c r="A47" s="36" t="s">
        <v>90</v>
      </c>
      <c r="B47" s="36" t="s">
        <v>84</v>
      </c>
      <c r="C47" s="36" t="s">
        <v>104</v>
      </c>
      <c r="D47" s="37">
        <v>45743</v>
      </c>
      <c r="E47" s="38">
        <v>24</v>
      </c>
      <c r="F47" s="39">
        <v>310</v>
      </c>
      <c r="G47" s="38">
        <v>8</v>
      </c>
      <c r="H47" s="40" t="s">
        <v>85</v>
      </c>
      <c r="J47"/>
      <c r="K47"/>
    </row>
    <row r="48" spans="1:11" ht="15" hidden="1" customHeight="1" x14ac:dyDescent="0.25">
      <c r="A48" s="36" t="s">
        <v>90</v>
      </c>
      <c r="B48" s="36" t="s">
        <v>84</v>
      </c>
      <c r="C48" s="36" t="s">
        <v>104</v>
      </c>
      <c r="D48" s="37">
        <v>45114</v>
      </c>
      <c r="E48" s="38">
        <v>24</v>
      </c>
      <c r="F48" s="39">
        <v>310</v>
      </c>
      <c r="G48" s="38">
        <v>10</v>
      </c>
      <c r="H48" s="40" t="s">
        <v>97</v>
      </c>
      <c r="J48"/>
      <c r="K48"/>
    </row>
    <row r="49" spans="1:11" ht="15" hidden="1" customHeight="1" x14ac:dyDescent="0.25">
      <c r="A49" s="36" t="s">
        <v>86</v>
      </c>
      <c r="B49" s="36" t="s">
        <v>87</v>
      </c>
      <c r="C49" s="36" t="s">
        <v>104</v>
      </c>
      <c r="D49" s="37">
        <v>45751</v>
      </c>
      <c r="E49" s="38">
        <v>20</v>
      </c>
      <c r="F49" s="39">
        <v>320</v>
      </c>
      <c r="G49" s="38">
        <v>10</v>
      </c>
      <c r="H49" s="40" t="s">
        <v>97</v>
      </c>
      <c r="J49"/>
      <c r="K49"/>
    </row>
    <row r="50" spans="1:11" ht="15" hidden="1" customHeight="1" x14ac:dyDescent="0.25">
      <c r="A50" s="36" t="s">
        <v>86</v>
      </c>
      <c r="B50" s="36" t="s">
        <v>84</v>
      </c>
      <c r="C50" s="36" t="s">
        <v>106</v>
      </c>
      <c r="D50" s="37">
        <v>45246</v>
      </c>
      <c r="E50" s="38">
        <v>20</v>
      </c>
      <c r="F50" s="39">
        <v>280</v>
      </c>
      <c r="G50" s="38">
        <v>12</v>
      </c>
      <c r="H50" s="40" t="s">
        <v>89</v>
      </c>
      <c r="J50"/>
      <c r="K50"/>
    </row>
    <row r="51" spans="1:11" ht="15" hidden="1" customHeight="1" x14ac:dyDescent="0.25">
      <c r="A51" s="36" t="s">
        <v>86</v>
      </c>
      <c r="B51" s="36" t="s">
        <v>84</v>
      </c>
      <c r="C51" s="36" t="s">
        <v>106</v>
      </c>
      <c r="D51" s="37">
        <v>45016</v>
      </c>
      <c r="E51" s="38">
        <v>20</v>
      </c>
      <c r="F51" s="39">
        <v>280</v>
      </c>
      <c r="G51" s="38">
        <v>8</v>
      </c>
      <c r="H51" s="40" t="s">
        <v>101</v>
      </c>
      <c r="J51"/>
      <c r="K51"/>
    </row>
    <row r="52" spans="1:11" ht="15" hidden="1" customHeight="1" x14ac:dyDescent="0.25">
      <c r="A52" s="36" t="s">
        <v>86</v>
      </c>
      <c r="B52" s="36" t="s">
        <v>84</v>
      </c>
      <c r="C52" s="36" t="s">
        <v>106</v>
      </c>
      <c r="D52" s="37">
        <v>45216</v>
      </c>
      <c r="E52" s="38">
        <v>20</v>
      </c>
      <c r="F52" s="39">
        <v>280</v>
      </c>
      <c r="G52" s="38">
        <v>11</v>
      </c>
      <c r="H52" s="40" t="s">
        <v>89</v>
      </c>
      <c r="J52"/>
      <c r="K52"/>
    </row>
    <row r="53" spans="1:11" ht="15" hidden="1" customHeight="1" x14ac:dyDescent="0.25">
      <c r="A53" s="36" t="s">
        <v>90</v>
      </c>
      <c r="B53" s="36" t="s">
        <v>84</v>
      </c>
      <c r="C53" s="36" t="s">
        <v>104</v>
      </c>
      <c r="D53" s="37">
        <v>45008</v>
      </c>
      <c r="E53" s="38">
        <v>24</v>
      </c>
      <c r="F53" s="39">
        <v>310</v>
      </c>
      <c r="G53" s="38">
        <v>11</v>
      </c>
      <c r="H53" s="40" t="s">
        <v>89</v>
      </c>
      <c r="J53"/>
      <c r="K53"/>
    </row>
    <row r="54" spans="1:11" ht="15" hidden="1" customHeight="1" x14ac:dyDescent="0.25">
      <c r="A54" s="36" t="s">
        <v>93</v>
      </c>
      <c r="B54" s="36" t="s">
        <v>84</v>
      </c>
      <c r="C54" s="36" t="s">
        <v>104</v>
      </c>
      <c r="D54" s="37">
        <v>45254</v>
      </c>
      <c r="E54" s="38">
        <v>20</v>
      </c>
      <c r="F54" s="39">
        <v>200</v>
      </c>
      <c r="G54" s="38">
        <v>7</v>
      </c>
      <c r="H54" s="40" t="s">
        <v>83</v>
      </c>
      <c r="J54"/>
      <c r="K54"/>
    </row>
    <row r="55" spans="1:11" ht="15" hidden="1" customHeight="1" x14ac:dyDescent="0.25">
      <c r="A55" s="36" t="s">
        <v>96</v>
      </c>
      <c r="B55" s="36" t="s">
        <v>82</v>
      </c>
      <c r="C55" s="36" t="s">
        <v>88</v>
      </c>
      <c r="D55" s="37">
        <v>45700</v>
      </c>
      <c r="E55" s="38">
        <v>12</v>
      </c>
      <c r="F55" s="39">
        <v>160</v>
      </c>
      <c r="G55" s="38">
        <v>8</v>
      </c>
      <c r="H55" s="40" t="s">
        <v>100</v>
      </c>
      <c r="J55"/>
      <c r="K55"/>
    </row>
    <row r="56" spans="1:11" ht="15" hidden="1" customHeight="1" x14ac:dyDescent="0.25">
      <c r="A56" s="36" t="s">
        <v>86</v>
      </c>
      <c r="B56" s="36" t="s">
        <v>87</v>
      </c>
      <c r="C56" s="36" t="s">
        <v>105</v>
      </c>
      <c r="D56" s="37">
        <v>45744</v>
      </c>
      <c r="E56" s="38">
        <v>16</v>
      </c>
      <c r="F56" s="39">
        <v>210</v>
      </c>
      <c r="G56" s="38">
        <v>9</v>
      </c>
      <c r="H56" s="40" t="s">
        <v>98</v>
      </c>
      <c r="J56"/>
      <c r="K56"/>
    </row>
    <row r="57" spans="1:11" ht="15" hidden="1" customHeight="1" x14ac:dyDescent="0.25">
      <c r="A57" s="36" t="s">
        <v>90</v>
      </c>
      <c r="B57" s="36" t="s">
        <v>87</v>
      </c>
      <c r="C57" s="36" t="s">
        <v>106</v>
      </c>
      <c r="D57" s="37">
        <v>45247</v>
      </c>
      <c r="E57" s="38">
        <v>16</v>
      </c>
      <c r="F57" s="39">
        <v>380</v>
      </c>
      <c r="G57" s="38">
        <v>7</v>
      </c>
      <c r="H57" s="40" t="s">
        <v>89</v>
      </c>
      <c r="J57"/>
      <c r="K57"/>
    </row>
    <row r="58" spans="1:11" ht="15" hidden="1" customHeight="1" x14ac:dyDescent="0.25">
      <c r="A58" s="36" t="s">
        <v>86</v>
      </c>
      <c r="B58" s="36" t="s">
        <v>87</v>
      </c>
      <c r="C58" s="36" t="s">
        <v>88</v>
      </c>
      <c r="D58" s="37">
        <v>45469</v>
      </c>
      <c r="E58" s="38">
        <v>16</v>
      </c>
      <c r="F58" s="39">
        <v>210</v>
      </c>
      <c r="G58" s="38">
        <v>7</v>
      </c>
      <c r="H58" s="40" t="s">
        <v>89</v>
      </c>
      <c r="J58"/>
      <c r="K58"/>
    </row>
    <row r="59" spans="1:11" ht="15" hidden="1" customHeight="1" x14ac:dyDescent="0.25">
      <c r="A59" s="36" t="s">
        <v>86</v>
      </c>
      <c r="B59" s="36" t="s">
        <v>87</v>
      </c>
      <c r="C59" s="36" t="s">
        <v>106</v>
      </c>
      <c r="D59" s="37">
        <v>44988</v>
      </c>
      <c r="E59" s="38">
        <v>16</v>
      </c>
      <c r="F59" s="39">
        <v>210</v>
      </c>
      <c r="G59" s="38">
        <v>7</v>
      </c>
      <c r="H59" s="40" t="s">
        <v>99</v>
      </c>
      <c r="J59"/>
      <c r="K59"/>
    </row>
    <row r="60" spans="1:11" ht="15" hidden="1" customHeight="1" x14ac:dyDescent="0.25">
      <c r="A60" s="36" t="s">
        <v>90</v>
      </c>
      <c r="B60" s="36" t="s">
        <v>84</v>
      </c>
      <c r="C60" s="36" t="s">
        <v>106</v>
      </c>
      <c r="D60" s="37">
        <v>44986</v>
      </c>
      <c r="E60" s="38">
        <v>24</v>
      </c>
      <c r="F60" s="39">
        <v>310</v>
      </c>
      <c r="G60" s="38">
        <v>7</v>
      </c>
      <c r="H60" s="40" t="s">
        <v>83</v>
      </c>
      <c r="J60"/>
      <c r="K60"/>
    </row>
    <row r="61" spans="1:11" ht="15" hidden="1" customHeight="1" x14ac:dyDescent="0.25">
      <c r="A61" s="36" t="s">
        <v>90</v>
      </c>
      <c r="B61" s="36" t="s">
        <v>87</v>
      </c>
      <c r="C61" s="36" t="s">
        <v>106</v>
      </c>
      <c r="D61" s="37">
        <v>45707</v>
      </c>
      <c r="E61" s="38">
        <v>16</v>
      </c>
      <c r="F61" s="39">
        <v>380</v>
      </c>
      <c r="G61" s="38">
        <v>10</v>
      </c>
      <c r="H61" s="40" t="s">
        <v>89</v>
      </c>
      <c r="J61"/>
      <c r="K61"/>
    </row>
    <row r="62" spans="1:11" ht="15" hidden="1" customHeight="1" x14ac:dyDescent="0.25">
      <c r="A62" s="36" t="s">
        <v>93</v>
      </c>
      <c r="B62" s="36" t="s">
        <v>84</v>
      </c>
      <c r="C62" s="36" t="s">
        <v>104</v>
      </c>
      <c r="D62" s="37">
        <v>45255</v>
      </c>
      <c r="E62" s="38">
        <v>20</v>
      </c>
      <c r="F62" s="39">
        <v>200</v>
      </c>
      <c r="G62" s="38">
        <v>6</v>
      </c>
      <c r="H62" s="40" t="s">
        <v>98</v>
      </c>
      <c r="J62"/>
      <c r="K62"/>
    </row>
    <row r="63" spans="1:11" ht="15" hidden="1" customHeight="1" x14ac:dyDescent="0.25">
      <c r="A63" s="36" t="s">
        <v>96</v>
      </c>
      <c r="B63" s="36" t="s">
        <v>82</v>
      </c>
      <c r="C63" s="36" t="s">
        <v>106</v>
      </c>
      <c r="D63" s="37">
        <v>44976</v>
      </c>
      <c r="E63" s="38">
        <v>12</v>
      </c>
      <c r="F63" s="39">
        <v>160</v>
      </c>
      <c r="G63" s="38">
        <v>10</v>
      </c>
      <c r="H63" s="40" t="s">
        <v>97</v>
      </c>
      <c r="J63"/>
      <c r="K63"/>
    </row>
    <row r="64" spans="1:11" ht="15" hidden="1" customHeight="1" x14ac:dyDescent="0.25">
      <c r="A64" s="36" t="s">
        <v>90</v>
      </c>
      <c r="B64" s="36" t="s">
        <v>84</v>
      </c>
      <c r="C64" s="36" t="s">
        <v>104</v>
      </c>
      <c r="D64" s="37">
        <v>45115</v>
      </c>
      <c r="E64" s="38">
        <v>24</v>
      </c>
      <c r="F64" s="39">
        <v>310</v>
      </c>
      <c r="G64" s="38">
        <v>7</v>
      </c>
      <c r="H64" s="40" t="s">
        <v>95</v>
      </c>
      <c r="J64"/>
      <c r="K64"/>
    </row>
    <row r="65" spans="1:11" ht="15" hidden="1" customHeight="1" x14ac:dyDescent="0.25">
      <c r="A65" s="36" t="s">
        <v>90</v>
      </c>
      <c r="B65" s="36" t="s">
        <v>84</v>
      </c>
      <c r="C65" s="36" t="s">
        <v>106</v>
      </c>
      <c r="D65" s="37">
        <v>44962</v>
      </c>
      <c r="E65" s="38">
        <v>24</v>
      </c>
      <c r="F65" s="39">
        <v>310</v>
      </c>
      <c r="G65" s="38">
        <v>9</v>
      </c>
      <c r="H65" s="40" t="s">
        <v>92</v>
      </c>
      <c r="J65"/>
      <c r="K65"/>
    </row>
    <row r="66" spans="1:11" ht="15" hidden="1" customHeight="1" x14ac:dyDescent="0.25">
      <c r="A66" s="36" t="s">
        <v>93</v>
      </c>
      <c r="B66" s="36" t="s">
        <v>84</v>
      </c>
      <c r="C66" s="36" t="s">
        <v>104</v>
      </c>
      <c r="D66" s="37">
        <v>45216</v>
      </c>
      <c r="E66" s="38">
        <v>20</v>
      </c>
      <c r="F66" s="39">
        <v>200</v>
      </c>
      <c r="G66" s="38">
        <v>7</v>
      </c>
      <c r="H66" s="40" t="s">
        <v>94</v>
      </c>
      <c r="J66"/>
      <c r="K66"/>
    </row>
    <row r="67" spans="1:11" ht="15" hidden="1" customHeight="1" x14ac:dyDescent="0.25">
      <c r="A67" s="36" t="s">
        <v>90</v>
      </c>
      <c r="B67" s="36" t="s">
        <v>84</v>
      </c>
      <c r="C67" s="36" t="s">
        <v>106</v>
      </c>
      <c r="D67" s="37">
        <v>45752</v>
      </c>
      <c r="E67" s="38">
        <v>24</v>
      </c>
      <c r="F67" s="39">
        <v>310</v>
      </c>
      <c r="G67" s="38">
        <v>8</v>
      </c>
      <c r="H67" s="40" t="s">
        <v>91</v>
      </c>
      <c r="J67"/>
      <c r="K67"/>
    </row>
    <row r="68" spans="1:11" ht="15" hidden="1" customHeight="1" x14ac:dyDescent="0.25">
      <c r="A68" s="36" t="s">
        <v>90</v>
      </c>
      <c r="B68" s="36" t="s">
        <v>84</v>
      </c>
      <c r="C68" s="36" t="s">
        <v>104</v>
      </c>
      <c r="D68" s="37">
        <v>44950</v>
      </c>
      <c r="E68" s="38">
        <v>24</v>
      </c>
      <c r="F68" s="39">
        <v>310</v>
      </c>
      <c r="G68" s="38">
        <v>8</v>
      </c>
      <c r="H68" s="40" t="s">
        <v>92</v>
      </c>
      <c r="J68"/>
      <c r="K68"/>
    </row>
    <row r="69" spans="1:11" ht="15" hidden="1" customHeight="1" x14ac:dyDescent="0.25">
      <c r="A69" s="36" t="s">
        <v>81</v>
      </c>
      <c r="B69" s="36" t="s">
        <v>84</v>
      </c>
      <c r="C69" s="36" t="s">
        <v>106</v>
      </c>
      <c r="D69" s="37">
        <v>44948</v>
      </c>
      <c r="E69" s="38">
        <v>12</v>
      </c>
      <c r="F69" s="39">
        <v>180</v>
      </c>
      <c r="G69" s="38">
        <v>9</v>
      </c>
      <c r="H69" s="40" t="s">
        <v>89</v>
      </c>
      <c r="J69"/>
      <c r="K69"/>
    </row>
    <row r="70" spans="1:11" ht="15" hidden="1" customHeight="1" x14ac:dyDescent="0.25">
      <c r="A70" s="36" t="s">
        <v>86</v>
      </c>
      <c r="B70" s="36" t="s">
        <v>87</v>
      </c>
      <c r="C70" s="36" t="s">
        <v>88</v>
      </c>
      <c r="D70" s="37">
        <v>45743</v>
      </c>
      <c r="E70" s="38">
        <v>20</v>
      </c>
      <c r="F70" s="39">
        <v>280</v>
      </c>
      <c r="G70" s="38">
        <v>12</v>
      </c>
      <c r="H70" s="40" t="s">
        <v>89</v>
      </c>
      <c r="J70"/>
      <c r="K70"/>
    </row>
    <row r="71" spans="1:11" ht="15" customHeight="1" x14ac:dyDescent="0.25">
      <c r="A71" s="36" t="s">
        <v>81</v>
      </c>
      <c r="B71" s="36" t="s">
        <v>84</v>
      </c>
      <c r="C71" s="36" t="s">
        <v>106</v>
      </c>
      <c r="D71" s="37">
        <v>45819</v>
      </c>
      <c r="E71" s="38">
        <v>12</v>
      </c>
      <c r="F71" s="39">
        <v>180</v>
      </c>
      <c r="G71" s="38">
        <v>10</v>
      </c>
      <c r="H71" s="40" t="s">
        <v>85</v>
      </c>
      <c r="J71"/>
      <c r="K71"/>
    </row>
    <row r="72" spans="1:11" ht="15" hidden="1" customHeight="1" x14ac:dyDescent="0.25">
      <c r="A72" s="41" t="s">
        <v>81</v>
      </c>
      <c r="B72" s="41" t="s">
        <v>82</v>
      </c>
      <c r="C72" s="41" t="s">
        <v>106</v>
      </c>
      <c r="D72" s="42">
        <v>44952</v>
      </c>
      <c r="E72" s="43">
        <v>12</v>
      </c>
      <c r="F72" s="44">
        <v>180</v>
      </c>
      <c r="G72" s="43">
        <v>7</v>
      </c>
      <c r="H72" s="45" t="s">
        <v>83</v>
      </c>
      <c r="J72"/>
      <c r="K72"/>
    </row>
  </sheetData>
  <autoFilter ref="A3:H72" xr:uid="{751A2447-310A-488F-8690-00962CC645A3}">
    <filterColumn colId="3">
      <dynamicFilter type="today" val="45819" maxVal="45820"/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6AA8-B107-4339-B199-9F68CA314EB8}">
  <sheetPr filterMode="1"/>
  <dimension ref="A1:K72"/>
  <sheetViews>
    <sheetView workbookViewId="0">
      <selection activeCell="K77" sqref="K77"/>
    </sheetView>
  </sheetViews>
  <sheetFormatPr defaultColWidth="9" defaultRowHeight="15" x14ac:dyDescent="0.25"/>
  <cols>
    <col min="1" max="1" width="8" style="14" customWidth="1"/>
    <col min="2" max="2" width="14.28515625" style="14" customWidth="1"/>
    <col min="3" max="3" width="14.42578125" style="14" bestFit="1" customWidth="1"/>
    <col min="4" max="4" width="11.42578125" style="14" customWidth="1"/>
    <col min="5" max="5" width="13.140625" style="14" bestFit="1" customWidth="1"/>
    <col min="6" max="6" width="10.85546875" style="32" bestFit="1" customWidth="1"/>
    <col min="7" max="7" width="10.85546875" style="14" bestFit="1" customWidth="1"/>
    <col min="8" max="8" width="27.5703125" style="33" customWidth="1"/>
    <col min="9" max="9" width="6" style="14" customWidth="1"/>
    <col min="10" max="13" width="13.7109375" style="14" customWidth="1"/>
    <col min="14" max="16384" width="9" style="14"/>
  </cols>
  <sheetData>
    <row r="1" spans="1:11" ht="15.75" x14ac:dyDescent="0.25">
      <c r="A1" s="46" t="s">
        <v>404</v>
      </c>
    </row>
    <row r="2" spans="1:11" x14ac:dyDescent="0.25">
      <c r="J2" s="12" t="s">
        <v>70</v>
      </c>
    </row>
    <row r="3" spans="1:11" ht="15" customHeight="1" x14ac:dyDescent="0.25">
      <c r="A3" s="34" t="s">
        <v>74</v>
      </c>
      <c r="B3" s="34" t="s">
        <v>75</v>
      </c>
      <c r="C3" s="34" t="s">
        <v>76</v>
      </c>
      <c r="D3" s="34" t="s">
        <v>77</v>
      </c>
      <c r="E3" s="34" t="s">
        <v>78</v>
      </c>
      <c r="F3" s="35" t="s">
        <v>79</v>
      </c>
      <c r="G3" s="34" t="s">
        <v>340</v>
      </c>
      <c r="H3" s="34" t="s">
        <v>80</v>
      </c>
      <c r="J3" t="s">
        <v>348</v>
      </c>
    </row>
    <row r="4" spans="1:11" ht="15" hidden="1" customHeight="1" x14ac:dyDescent="0.25">
      <c r="A4" s="36" t="s">
        <v>81</v>
      </c>
      <c r="B4" s="36" t="s">
        <v>84</v>
      </c>
      <c r="C4" s="36" t="s">
        <v>106</v>
      </c>
      <c r="D4" s="37">
        <v>45280</v>
      </c>
      <c r="E4" s="38">
        <v>12</v>
      </c>
      <c r="F4" s="39">
        <v>180</v>
      </c>
      <c r="G4" s="38">
        <v>11</v>
      </c>
      <c r="H4" s="40" t="s">
        <v>98</v>
      </c>
      <c r="J4" s="33"/>
      <c r="K4" s="33"/>
    </row>
    <row r="5" spans="1:11" ht="15" hidden="1" customHeight="1" x14ac:dyDescent="0.25">
      <c r="A5" s="36" t="s">
        <v>90</v>
      </c>
      <c r="B5" s="36" t="s">
        <v>84</v>
      </c>
      <c r="C5" s="36" t="s">
        <v>104</v>
      </c>
      <c r="D5" s="37">
        <v>45251</v>
      </c>
      <c r="E5" s="38">
        <v>24</v>
      </c>
      <c r="F5" s="39">
        <v>310</v>
      </c>
      <c r="G5" s="38">
        <v>6</v>
      </c>
      <c r="H5" s="40" t="s">
        <v>85</v>
      </c>
      <c r="J5" s="14" t="s">
        <v>341</v>
      </c>
      <c r="K5" s="33"/>
    </row>
    <row r="6" spans="1:11" ht="15" hidden="1" customHeight="1" x14ac:dyDescent="0.25">
      <c r="A6" s="36" t="s">
        <v>81</v>
      </c>
      <c r="B6" s="36" t="s">
        <v>87</v>
      </c>
      <c r="C6" s="36" t="s">
        <v>106</v>
      </c>
      <c r="D6" s="37">
        <v>45701</v>
      </c>
      <c r="E6" s="38">
        <v>12</v>
      </c>
      <c r="F6" s="39">
        <v>180</v>
      </c>
      <c r="G6" s="38">
        <v>10</v>
      </c>
      <c r="H6" s="40" t="s">
        <v>94</v>
      </c>
      <c r="J6" s="14" t="s">
        <v>339</v>
      </c>
      <c r="K6" s="33"/>
    </row>
    <row r="7" spans="1:11" ht="15" hidden="1" customHeight="1" x14ac:dyDescent="0.25">
      <c r="A7" s="36" t="s">
        <v>90</v>
      </c>
      <c r="B7" s="36" t="s">
        <v>84</v>
      </c>
      <c r="C7" s="36" t="s">
        <v>106</v>
      </c>
      <c r="D7" s="37">
        <v>45744</v>
      </c>
      <c r="E7" s="38">
        <v>24</v>
      </c>
      <c r="F7" s="39">
        <v>310</v>
      </c>
      <c r="G7" s="38">
        <v>12</v>
      </c>
      <c r="H7" s="40" t="s">
        <v>103</v>
      </c>
      <c r="J7" s="14" t="s">
        <v>346</v>
      </c>
      <c r="K7" s="33"/>
    </row>
    <row r="8" spans="1:11" ht="15" hidden="1" customHeight="1" x14ac:dyDescent="0.25">
      <c r="A8" s="36" t="s">
        <v>90</v>
      </c>
      <c r="B8" s="36" t="s">
        <v>84</v>
      </c>
      <c r="C8" s="36" t="s">
        <v>106</v>
      </c>
      <c r="D8" s="37">
        <v>45119</v>
      </c>
      <c r="E8" s="38">
        <v>24</v>
      </c>
      <c r="F8" s="39">
        <v>310</v>
      </c>
      <c r="G8" s="38">
        <v>8</v>
      </c>
      <c r="H8" s="40" t="s">
        <v>102</v>
      </c>
      <c r="J8" s="14" t="s">
        <v>347</v>
      </c>
      <c r="K8" s="33"/>
    </row>
    <row r="9" spans="1:11" ht="15" hidden="1" customHeight="1" x14ac:dyDescent="0.25">
      <c r="A9" s="36" t="s">
        <v>86</v>
      </c>
      <c r="B9" s="36" t="s">
        <v>84</v>
      </c>
      <c r="C9" s="36" t="s">
        <v>106</v>
      </c>
      <c r="D9" s="37">
        <v>45820</v>
      </c>
      <c r="E9" s="38">
        <v>20</v>
      </c>
      <c r="F9" s="39">
        <v>280</v>
      </c>
      <c r="G9" s="38">
        <v>11</v>
      </c>
      <c r="H9" s="40" t="s">
        <v>94</v>
      </c>
      <c r="J9" s="33"/>
      <c r="K9" s="33"/>
    </row>
    <row r="10" spans="1:11" ht="15" hidden="1" customHeight="1" x14ac:dyDescent="0.25">
      <c r="A10" s="36" t="s">
        <v>81</v>
      </c>
      <c r="B10" s="36" t="s">
        <v>84</v>
      </c>
      <c r="C10" s="36" t="s">
        <v>106</v>
      </c>
      <c r="D10" s="37">
        <v>45246</v>
      </c>
      <c r="E10" s="38">
        <v>12</v>
      </c>
      <c r="F10" s="39">
        <v>180</v>
      </c>
      <c r="G10" s="38">
        <v>9</v>
      </c>
      <c r="H10" s="40" t="s">
        <v>89</v>
      </c>
      <c r="J10" s="33"/>
      <c r="K10" s="33"/>
    </row>
    <row r="11" spans="1:11" ht="15" hidden="1" customHeight="1" x14ac:dyDescent="0.25">
      <c r="A11" s="36" t="s">
        <v>96</v>
      </c>
      <c r="B11" s="36" t="s">
        <v>87</v>
      </c>
      <c r="C11" s="36" t="s">
        <v>106</v>
      </c>
      <c r="D11" s="37">
        <v>45219</v>
      </c>
      <c r="E11" s="38">
        <v>16</v>
      </c>
      <c r="F11" s="39">
        <v>250</v>
      </c>
      <c r="G11" s="38">
        <v>9</v>
      </c>
      <c r="H11" s="40" t="s">
        <v>102</v>
      </c>
      <c r="J11" s="33"/>
      <c r="K11" s="33"/>
    </row>
    <row r="12" spans="1:11" ht="15" hidden="1" customHeight="1" x14ac:dyDescent="0.25">
      <c r="A12" s="36" t="s">
        <v>96</v>
      </c>
      <c r="B12" s="36" t="s">
        <v>82</v>
      </c>
      <c r="C12" s="36" t="s">
        <v>106</v>
      </c>
      <c r="D12" s="37">
        <v>45216</v>
      </c>
      <c r="E12" s="38">
        <v>12</v>
      </c>
      <c r="F12" s="39">
        <v>160</v>
      </c>
      <c r="G12" s="38">
        <v>6</v>
      </c>
      <c r="H12" s="40" t="s">
        <v>89</v>
      </c>
      <c r="J12" s="33"/>
      <c r="K12" s="33"/>
    </row>
    <row r="13" spans="1:11" ht="15" hidden="1" customHeight="1" x14ac:dyDescent="0.25">
      <c r="A13" s="36" t="s">
        <v>86</v>
      </c>
      <c r="B13" s="36" t="s">
        <v>87</v>
      </c>
      <c r="C13" s="36" t="s">
        <v>105</v>
      </c>
      <c r="D13" s="37">
        <v>45115</v>
      </c>
      <c r="E13" s="38">
        <v>16</v>
      </c>
      <c r="F13" s="39">
        <v>210</v>
      </c>
      <c r="G13" s="38">
        <v>9</v>
      </c>
      <c r="H13" s="40" t="s">
        <v>83</v>
      </c>
      <c r="J13" s="33"/>
      <c r="K13" s="33"/>
    </row>
    <row r="14" spans="1:11" ht="15" hidden="1" customHeight="1" x14ac:dyDescent="0.25">
      <c r="A14" s="36" t="s">
        <v>93</v>
      </c>
      <c r="B14" s="36" t="s">
        <v>84</v>
      </c>
      <c r="C14" s="36" t="s">
        <v>104</v>
      </c>
      <c r="D14" s="37">
        <v>45819</v>
      </c>
      <c r="E14" s="38">
        <v>20</v>
      </c>
      <c r="F14" s="39">
        <v>200</v>
      </c>
      <c r="G14" s="38">
        <v>7</v>
      </c>
      <c r="H14" s="40" t="s">
        <v>100</v>
      </c>
      <c r="J14" s="33"/>
      <c r="K14" s="33"/>
    </row>
    <row r="15" spans="1:11" ht="15" hidden="1" customHeight="1" x14ac:dyDescent="0.25">
      <c r="A15" s="36" t="s">
        <v>90</v>
      </c>
      <c r="B15" s="36" t="s">
        <v>84</v>
      </c>
      <c r="C15" s="36" t="s">
        <v>104</v>
      </c>
      <c r="D15" s="37">
        <v>45470</v>
      </c>
      <c r="E15" s="38">
        <v>24</v>
      </c>
      <c r="F15" s="39">
        <v>310</v>
      </c>
      <c r="G15" s="38">
        <v>7</v>
      </c>
      <c r="H15" s="40" t="s">
        <v>83</v>
      </c>
      <c r="J15" s="33"/>
      <c r="K15" s="33"/>
    </row>
    <row r="16" spans="1:11" ht="15" hidden="1" customHeight="1" x14ac:dyDescent="0.25">
      <c r="A16" s="36" t="s">
        <v>81</v>
      </c>
      <c r="B16" s="36" t="s">
        <v>84</v>
      </c>
      <c r="C16" s="36" t="s">
        <v>106</v>
      </c>
      <c r="D16" s="37">
        <v>45173</v>
      </c>
      <c r="E16" s="38">
        <v>12</v>
      </c>
      <c r="F16" s="39">
        <v>180</v>
      </c>
      <c r="G16" s="38">
        <v>12</v>
      </c>
      <c r="H16" s="40" t="s">
        <v>95</v>
      </c>
      <c r="J16" s="33"/>
      <c r="K16" s="33"/>
    </row>
    <row r="17" spans="1:11" ht="15" hidden="1" customHeight="1" x14ac:dyDescent="0.25">
      <c r="A17" s="36" t="s">
        <v>90</v>
      </c>
      <c r="B17" s="36" t="s">
        <v>84</v>
      </c>
      <c r="C17" s="36" t="s">
        <v>104</v>
      </c>
      <c r="D17" s="37">
        <v>45253</v>
      </c>
      <c r="E17" s="38">
        <v>24</v>
      </c>
      <c r="F17" s="39">
        <v>310</v>
      </c>
      <c r="G17" s="38">
        <v>7</v>
      </c>
      <c r="H17" s="40" t="s">
        <v>92</v>
      </c>
      <c r="J17" s="33"/>
      <c r="K17"/>
    </row>
    <row r="18" spans="1:11" ht="15" hidden="1" customHeight="1" x14ac:dyDescent="0.25">
      <c r="A18" s="36" t="s">
        <v>90</v>
      </c>
      <c r="B18" s="36" t="s">
        <v>84</v>
      </c>
      <c r="C18" s="36" t="s">
        <v>106</v>
      </c>
      <c r="D18" s="37">
        <v>45820</v>
      </c>
      <c r="E18" s="38">
        <v>24</v>
      </c>
      <c r="F18" s="39">
        <v>310</v>
      </c>
      <c r="G18" s="38">
        <v>11</v>
      </c>
      <c r="H18" s="40" t="s">
        <v>102</v>
      </c>
      <c r="J18"/>
      <c r="K18"/>
    </row>
    <row r="19" spans="1:11" ht="15" hidden="1" customHeight="1" x14ac:dyDescent="0.25">
      <c r="A19" s="36" t="s">
        <v>86</v>
      </c>
      <c r="B19" s="36" t="s">
        <v>82</v>
      </c>
      <c r="C19" s="36" t="s">
        <v>105</v>
      </c>
      <c r="D19" s="37">
        <v>45705</v>
      </c>
      <c r="E19" s="38">
        <v>16</v>
      </c>
      <c r="F19" s="39">
        <v>210</v>
      </c>
      <c r="G19" s="38">
        <v>12</v>
      </c>
      <c r="H19" s="40" t="s">
        <v>85</v>
      </c>
      <c r="J19"/>
      <c r="K19"/>
    </row>
    <row r="20" spans="1:11" ht="15" hidden="1" customHeight="1" x14ac:dyDescent="0.25">
      <c r="A20" s="36" t="s">
        <v>81</v>
      </c>
      <c r="B20" s="36" t="s">
        <v>84</v>
      </c>
      <c r="C20" s="36" t="s">
        <v>88</v>
      </c>
      <c r="D20" s="37">
        <v>45475</v>
      </c>
      <c r="E20" s="38">
        <v>12</v>
      </c>
      <c r="F20" s="39">
        <v>180</v>
      </c>
      <c r="G20" s="38">
        <v>8</v>
      </c>
      <c r="H20" s="40" t="s">
        <v>83</v>
      </c>
      <c r="J20"/>
      <c r="K20"/>
    </row>
    <row r="21" spans="1:11" ht="15" hidden="1" customHeight="1" x14ac:dyDescent="0.25">
      <c r="A21" s="36" t="s">
        <v>90</v>
      </c>
      <c r="B21" s="36" t="s">
        <v>84</v>
      </c>
      <c r="C21" s="36" t="s">
        <v>106</v>
      </c>
      <c r="D21" s="37">
        <v>45743</v>
      </c>
      <c r="E21" s="38">
        <v>24</v>
      </c>
      <c r="F21" s="39">
        <v>310</v>
      </c>
      <c r="G21" s="38">
        <v>12</v>
      </c>
      <c r="H21" s="40" t="s">
        <v>91</v>
      </c>
      <c r="J21"/>
      <c r="K21"/>
    </row>
    <row r="22" spans="1:11" ht="15" hidden="1" customHeight="1" x14ac:dyDescent="0.25">
      <c r="A22" s="36" t="s">
        <v>90</v>
      </c>
      <c r="B22" s="36" t="s">
        <v>82</v>
      </c>
      <c r="C22" s="36" t="s">
        <v>106</v>
      </c>
      <c r="D22" s="37">
        <v>45127</v>
      </c>
      <c r="E22" s="38">
        <v>24</v>
      </c>
      <c r="F22" s="39">
        <v>310</v>
      </c>
      <c r="G22" s="38">
        <v>6</v>
      </c>
      <c r="H22" s="40" t="s">
        <v>89</v>
      </c>
      <c r="J22"/>
      <c r="K22"/>
    </row>
    <row r="23" spans="1:11" ht="15" hidden="1" customHeight="1" x14ac:dyDescent="0.25">
      <c r="A23" s="36" t="s">
        <v>90</v>
      </c>
      <c r="B23" s="36" t="s">
        <v>84</v>
      </c>
      <c r="C23" s="36" t="s">
        <v>88</v>
      </c>
      <c r="D23" s="37">
        <v>45820</v>
      </c>
      <c r="E23" s="38">
        <v>24</v>
      </c>
      <c r="F23" s="39">
        <v>310</v>
      </c>
      <c r="G23" s="38">
        <v>6</v>
      </c>
      <c r="H23" s="40" t="s">
        <v>85</v>
      </c>
      <c r="J23"/>
      <c r="K23"/>
    </row>
    <row r="24" spans="1:11" ht="15" hidden="1" customHeight="1" x14ac:dyDescent="0.25">
      <c r="A24" s="36" t="s">
        <v>96</v>
      </c>
      <c r="B24" s="36" t="s">
        <v>87</v>
      </c>
      <c r="C24" s="36" t="s">
        <v>88</v>
      </c>
      <c r="D24" s="37">
        <v>45108</v>
      </c>
      <c r="E24" s="38">
        <v>16</v>
      </c>
      <c r="F24" s="39">
        <v>250</v>
      </c>
      <c r="G24" s="38">
        <v>10</v>
      </c>
      <c r="H24" s="40" t="s">
        <v>99</v>
      </c>
      <c r="J24"/>
      <c r="K24"/>
    </row>
    <row r="25" spans="1:11" ht="15" hidden="1" customHeight="1" x14ac:dyDescent="0.25">
      <c r="A25" s="36" t="s">
        <v>90</v>
      </c>
      <c r="B25" s="36" t="s">
        <v>87</v>
      </c>
      <c r="C25" s="36" t="s">
        <v>104</v>
      </c>
      <c r="D25" s="37">
        <v>45246</v>
      </c>
      <c r="E25" s="38">
        <v>16</v>
      </c>
      <c r="F25" s="39">
        <v>380</v>
      </c>
      <c r="G25" s="38">
        <v>10</v>
      </c>
      <c r="H25" s="40" t="s">
        <v>94</v>
      </c>
      <c r="J25"/>
      <c r="K25"/>
    </row>
    <row r="26" spans="1:11" ht="15" hidden="1" customHeight="1" x14ac:dyDescent="0.25">
      <c r="A26" s="36" t="s">
        <v>81</v>
      </c>
      <c r="B26" s="36" t="s">
        <v>84</v>
      </c>
      <c r="C26" s="36" t="s">
        <v>88</v>
      </c>
      <c r="D26" s="37">
        <v>45701</v>
      </c>
      <c r="E26" s="38">
        <v>12</v>
      </c>
      <c r="F26" s="39">
        <v>180</v>
      </c>
      <c r="G26" s="38">
        <v>6</v>
      </c>
      <c r="H26" s="40" t="s">
        <v>94</v>
      </c>
      <c r="J26"/>
      <c r="K26"/>
    </row>
    <row r="27" spans="1:11" ht="15" hidden="1" customHeight="1" x14ac:dyDescent="0.25">
      <c r="A27" s="36" t="s">
        <v>90</v>
      </c>
      <c r="B27" s="36" t="s">
        <v>84</v>
      </c>
      <c r="C27" s="36" t="s">
        <v>104</v>
      </c>
      <c r="D27" s="37">
        <v>45115</v>
      </c>
      <c r="E27" s="38">
        <v>24</v>
      </c>
      <c r="F27" s="39">
        <v>310</v>
      </c>
      <c r="G27" s="38">
        <v>7</v>
      </c>
      <c r="H27" s="40" t="s">
        <v>99</v>
      </c>
      <c r="J27"/>
      <c r="K27"/>
    </row>
    <row r="28" spans="1:11" ht="15" hidden="1" customHeight="1" x14ac:dyDescent="0.25">
      <c r="A28" s="36" t="s">
        <v>81</v>
      </c>
      <c r="B28" s="36" t="s">
        <v>84</v>
      </c>
      <c r="C28" s="36" t="s">
        <v>106</v>
      </c>
      <c r="D28" s="37">
        <v>45217</v>
      </c>
      <c r="E28" s="38">
        <v>12</v>
      </c>
      <c r="F28" s="39">
        <v>180</v>
      </c>
      <c r="G28" s="38">
        <v>9</v>
      </c>
      <c r="H28" s="40" t="s">
        <v>102</v>
      </c>
      <c r="J28"/>
      <c r="K28"/>
    </row>
    <row r="29" spans="1:11" ht="15" hidden="1" customHeight="1" x14ac:dyDescent="0.25">
      <c r="A29" s="36" t="s">
        <v>90</v>
      </c>
      <c r="B29" s="36" t="s">
        <v>82</v>
      </c>
      <c r="C29" s="36" t="s">
        <v>104</v>
      </c>
      <c r="D29" s="37">
        <v>45831</v>
      </c>
      <c r="E29" s="38">
        <v>16</v>
      </c>
      <c r="F29" s="39">
        <v>380</v>
      </c>
      <c r="G29" s="38">
        <v>11</v>
      </c>
      <c r="H29" s="40" t="s">
        <v>92</v>
      </c>
      <c r="J29"/>
      <c r="K29"/>
    </row>
    <row r="30" spans="1:11" ht="15" hidden="1" customHeight="1" x14ac:dyDescent="0.25">
      <c r="A30" s="36" t="s">
        <v>90</v>
      </c>
      <c r="B30" s="36" t="s">
        <v>84</v>
      </c>
      <c r="C30" s="36" t="s">
        <v>106</v>
      </c>
      <c r="D30" s="37">
        <v>45747</v>
      </c>
      <c r="E30" s="38">
        <v>24</v>
      </c>
      <c r="F30" s="39">
        <v>310</v>
      </c>
      <c r="G30" s="38">
        <v>7</v>
      </c>
      <c r="H30" s="40" t="s">
        <v>89</v>
      </c>
      <c r="J30"/>
      <c r="K30"/>
    </row>
    <row r="31" spans="1:11" ht="15" customHeight="1" x14ac:dyDescent="0.25">
      <c r="A31" s="36" t="s">
        <v>86</v>
      </c>
      <c r="B31" s="36" t="s">
        <v>82</v>
      </c>
      <c r="C31" s="36" t="s">
        <v>106</v>
      </c>
      <c r="D31" s="37">
        <v>45828</v>
      </c>
      <c r="E31" s="38">
        <v>16</v>
      </c>
      <c r="F31" s="39">
        <v>210</v>
      </c>
      <c r="G31" s="38">
        <v>11</v>
      </c>
      <c r="H31" s="40" t="s">
        <v>92</v>
      </c>
      <c r="J31"/>
      <c r="K31"/>
    </row>
    <row r="32" spans="1:11" ht="15" hidden="1" customHeight="1" x14ac:dyDescent="0.25">
      <c r="A32" s="36" t="s">
        <v>86</v>
      </c>
      <c r="B32" s="36" t="s">
        <v>84</v>
      </c>
      <c r="C32" s="36" t="s">
        <v>88</v>
      </c>
      <c r="D32" s="37">
        <v>45700</v>
      </c>
      <c r="E32" s="38">
        <v>20</v>
      </c>
      <c r="F32" s="39">
        <v>280</v>
      </c>
      <c r="G32" s="38">
        <v>9</v>
      </c>
      <c r="H32" s="40" t="s">
        <v>99</v>
      </c>
      <c r="J32"/>
      <c r="K32"/>
    </row>
    <row r="33" spans="1:11" ht="15" hidden="1" customHeight="1" x14ac:dyDescent="0.25">
      <c r="A33" s="36" t="s">
        <v>81</v>
      </c>
      <c r="B33" s="36" t="s">
        <v>84</v>
      </c>
      <c r="C33" s="36" t="s">
        <v>106</v>
      </c>
      <c r="D33" s="37">
        <v>45114</v>
      </c>
      <c r="E33" s="38">
        <v>12</v>
      </c>
      <c r="F33" s="39">
        <v>180</v>
      </c>
      <c r="G33" s="38">
        <v>8</v>
      </c>
      <c r="H33" s="40" t="s">
        <v>89</v>
      </c>
      <c r="J33"/>
      <c r="K33"/>
    </row>
    <row r="34" spans="1:11" ht="15" hidden="1" customHeight="1" x14ac:dyDescent="0.25">
      <c r="A34" s="36" t="s">
        <v>86</v>
      </c>
      <c r="B34" s="36" t="s">
        <v>82</v>
      </c>
      <c r="C34" s="36" t="s">
        <v>105</v>
      </c>
      <c r="D34" s="37">
        <v>45092</v>
      </c>
      <c r="E34" s="38">
        <v>16</v>
      </c>
      <c r="F34" s="39">
        <v>210</v>
      </c>
      <c r="G34" s="38">
        <v>7</v>
      </c>
      <c r="H34" s="40" t="s">
        <v>102</v>
      </c>
      <c r="J34"/>
      <c r="K34"/>
    </row>
    <row r="35" spans="1:11" ht="15" hidden="1" customHeight="1" x14ac:dyDescent="0.25">
      <c r="A35" s="36" t="s">
        <v>90</v>
      </c>
      <c r="B35" s="36" t="s">
        <v>84</v>
      </c>
      <c r="C35" s="36" t="s">
        <v>106</v>
      </c>
      <c r="D35" s="37">
        <v>45079</v>
      </c>
      <c r="E35" s="38">
        <v>24</v>
      </c>
      <c r="F35" s="39">
        <v>310</v>
      </c>
      <c r="G35" s="38">
        <v>9</v>
      </c>
      <c r="H35" s="40" t="s">
        <v>83</v>
      </c>
      <c r="J35"/>
      <c r="K35"/>
    </row>
    <row r="36" spans="1:11" ht="15" hidden="1" customHeight="1" x14ac:dyDescent="0.25">
      <c r="A36" s="36" t="s">
        <v>86</v>
      </c>
      <c r="B36" s="36" t="s">
        <v>84</v>
      </c>
      <c r="C36" s="36" t="s">
        <v>88</v>
      </c>
      <c r="D36" s="37">
        <v>45469</v>
      </c>
      <c r="E36" s="38">
        <v>20</v>
      </c>
      <c r="F36" s="39">
        <v>280</v>
      </c>
      <c r="G36" s="38">
        <v>8</v>
      </c>
      <c r="H36" s="40" t="s">
        <v>99</v>
      </c>
      <c r="J36"/>
      <c r="K36"/>
    </row>
    <row r="37" spans="1:11" ht="15" hidden="1" customHeight="1" x14ac:dyDescent="0.25">
      <c r="A37" s="36" t="s">
        <v>86</v>
      </c>
      <c r="B37" s="36" t="s">
        <v>87</v>
      </c>
      <c r="C37" s="36" t="s">
        <v>106</v>
      </c>
      <c r="D37" s="37">
        <v>45479</v>
      </c>
      <c r="E37" s="38">
        <v>20</v>
      </c>
      <c r="F37" s="39">
        <v>280</v>
      </c>
      <c r="G37" s="38">
        <v>8</v>
      </c>
      <c r="H37" s="40" t="s">
        <v>94</v>
      </c>
      <c r="J37"/>
      <c r="K37"/>
    </row>
    <row r="38" spans="1:11" ht="15" hidden="1" customHeight="1" x14ac:dyDescent="0.25">
      <c r="A38" s="36" t="s">
        <v>90</v>
      </c>
      <c r="B38" s="36" t="s">
        <v>84</v>
      </c>
      <c r="C38" s="36" t="s">
        <v>104</v>
      </c>
      <c r="D38" s="37">
        <v>45705</v>
      </c>
      <c r="E38" s="38">
        <v>24</v>
      </c>
      <c r="F38" s="39">
        <v>310</v>
      </c>
      <c r="G38" s="38">
        <v>7</v>
      </c>
      <c r="H38" s="40" t="s">
        <v>95</v>
      </c>
      <c r="J38"/>
      <c r="K38"/>
    </row>
    <row r="39" spans="1:11" ht="15" hidden="1" customHeight="1" x14ac:dyDescent="0.25">
      <c r="A39" s="36" t="s">
        <v>93</v>
      </c>
      <c r="B39" s="36" t="s">
        <v>82</v>
      </c>
      <c r="C39" s="36" t="s">
        <v>104</v>
      </c>
      <c r="D39" s="37">
        <v>45225</v>
      </c>
      <c r="E39" s="38">
        <v>20</v>
      </c>
      <c r="F39" s="39">
        <v>200</v>
      </c>
      <c r="G39" s="38">
        <v>7</v>
      </c>
      <c r="H39" s="40" t="s">
        <v>101</v>
      </c>
      <c r="J39"/>
      <c r="K39"/>
    </row>
    <row r="40" spans="1:11" ht="15" hidden="1" customHeight="1" x14ac:dyDescent="0.25">
      <c r="A40" s="36" t="s">
        <v>86</v>
      </c>
      <c r="B40" s="36" t="s">
        <v>87</v>
      </c>
      <c r="C40" s="36" t="s">
        <v>104</v>
      </c>
      <c r="D40" s="37">
        <v>45819</v>
      </c>
      <c r="E40" s="38">
        <v>20</v>
      </c>
      <c r="F40" s="39">
        <v>320</v>
      </c>
      <c r="G40" s="38">
        <v>11</v>
      </c>
      <c r="H40" s="40" t="s">
        <v>92</v>
      </c>
      <c r="J40"/>
      <c r="K40"/>
    </row>
    <row r="41" spans="1:11" ht="15" hidden="1" customHeight="1" x14ac:dyDescent="0.25">
      <c r="A41" s="36" t="s">
        <v>86</v>
      </c>
      <c r="B41" s="36" t="s">
        <v>84</v>
      </c>
      <c r="C41" s="36" t="s">
        <v>106</v>
      </c>
      <c r="D41" s="37">
        <v>45119</v>
      </c>
      <c r="E41" s="38">
        <v>20</v>
      </c>
      <c r="F41" s="39">
        <v>280</v>
      </c>
      <c r="G41" s="38">
        <v>8</v>
      </c>
      <c r="H41" s="40" t="s">
        <v>89</v>
      </c>
      <c r="J41"/>
      <c r="K41"/>
    </row>
    <row r="42" spans="1:11" ht="15" hidden="1" customHeight="1" x14ac:dyDescent="0.25">
      <c r="A42" s="36" t="s">
        <v>86</v>
      </c>
      <c r="B42" s="36" t="s">
        <v>82</v>
      </c>
      <c r="C42" s="36" t="s">
        <v>105</v>
      </c>
      <c r="D42" s="37">
        <v>45749</v>
      </c>
      <c r="E42" s="38">
        <v>16</v>
      </c>
      <c r="F42" s="39">
        <v>210</v>
      </c>
      <c r="G42" s="38">
        <v>8</v>
      </c>
      <c r="H42" s="40" t="s">
        <v>89</v>
      </c>
      <c r="J42"/>
      <c r="K42"/>
    </row>
    <row r="43" spans="1:11" ht="15" hidden="1" customHeight="1" x14ac:dyDescent="0.25">
      <c r="A43" s="36" t="s">
        <v>90</v>
      </c>
      <c r="B43" s="36" t="s">
        <v>84</v>
      </c>
      <c r="C43" s="36" t="s">
        <v>104</v>
      </c>
      <c r="D43" s="37">
        <v>45744</v>
      </c>
      <c r="E43" s="38">
        <v>24</v>
      </c>
      <c r="F43" s="39">
        <v>310</v>
      </c>
      <c r="G43" s="38">
        <v>12</v>
      </c>
      <c r="H43" s="40" t="s">
        <v>95</v>
      </c>
      <c r="J43"/>
      <c r="K43"/>
    </row>
    <row r="44" spans="1:11" ht="15" customHeight="1" x14ac:dyDescent="0.25">
      <c r="A44" s="36" t="s">
        <v>90</v>
      </c>
      <c r="B44" s="36" t="s">
        <v>84</v>
      </c>
      <c r="C44" s="36" t="s">
        <v>104</v>
      </c>
      <c r="D44" s="37">
        <v>45828</v>
      </c>
      <c r="E44" s="38">
        <v>24</v>
      </c>
      <c r="F44" s="39">
        <v>310</v>
      </c>
      <c r="G44" s="38">
        <v>12</v>
      </c>
      <c r="H44" s="40" t="s">
        <v>102</v>
      </c>
      <c r="J44"/>
      <c r="K44"/>
    </row>
    <row r="45" spans="1:11" ht="15" hidden="1" customHeight="1" x14ac:dyDescent="0.25">
      <c r="A45" s="36" t="s">
        <v>86</v>
      </c>
      <c r="B45" s="36" t="s">
        <v>84</v>
      </c>
      <c r="C45" s="36" t="s">
        <v>88</v>
      </c>
      <c r="D45" s="37">
        <v>45034</v>
      </c>
      <c r="E45" s="38">
        <v>20</v>
      </c>
      <c r="F45" s="39">
        <v>280</v>
      </c>
      <c r="G45" s="38">
        <v>11</v>
      </c>
      <c r="H45" s="40" t="s">
        <v>95</v>
      </c>
      <c r="J45"/>
      <c r="K45"/>
    </row>
    <row r="46" spans="1:11" ht="15" hidden="1" customHeight="1" x14ac:dyDescent="0.25">
      <c r="A46" s="36" t="s">
        <v>90</v>
      </c>
      <c r="B46" s="36" t="s">
        <v>87</v>
      </c>
      <c r="C46" s="36" t="s">
        <v>104</v>
      </c>
      <c r="D46" s="37">
        <v>45706</v>
      </c>
      <c r="E46" s="38">
        <v>16</v>
      </c>
      <c r="F46" s="39">
        <v>380</v>
      </c>
      <c r="G46" s="38">
        <v>8</v>
      </c>
      <c r="H46" s="40" t="s">
        <v>89</v>
      </c>
      <c r="J46"/>
      <c r="K46"/>
    </row>
    <row r="47" spans="1:11" ht="15" hidden="1" customHeight="1" x14ac:dyDescent="0.25">
      <c r="A47" s="36" t="s">
        <v>90</v>
      </c>
      <c r="B47" s="36" t="s">
        <v>84</v>
      </c>
      <c r="C47" s="36" t="s">
        <v>104</v>
      </c>
      <c r="D47" s="37">
        <v>45743</v>
      </c>
      <c r="E47" s="38">
        <v>24</v>
      </c>
      <c r="F47" s="39">
        <v>310</v>
      </c>
      <c r="G47" s="38">
        <v>8</v>
      </c>
      <c r="H47" s="40" t="s">
        <v>85</v>
      </c>
      <c r="J47"/>
      <c r="K47"/>
    </row>
    <row r="48" spans="1:11" ht="15" hidden="1" customHeight="1" x14ac:dyDescent="0.25">
      <c r="A48" s="36" t="s">
        <v>90</v>
      </c>
      <c r="B48" s="36" t="s">
        <v>84</v>
      </c>
      <c r="C48" s="36" t="s">
        <v>104</v>
      </c>
      <c r="D48" s="37">
        <v>45114</v>
      </c>
      <c r="E48" s="38">
        <v>24</v>
      </c>
      <c r="F48" s="39">
        <v>310</v>
      </c>
      <c r="G48" s="38">
        <v>10</v>
      </c>
      <c r="H48" s="40" t="s">
        <v>97</v>
      </c>
      <c r="J48"/>
      <c r="K48"/>
    </row>
    <row r="49" spans="1:11" ht="15" hidden="1" customHeight="1" x14ac:dyDescent="0.25">
      <c r="A49" s="36" t="s">
        <v>86</v>
      </c>
      <c r="B49" s="36" t="s">
        <v>87</v>
      </c>
      <c r="C49" s="36" t="s">
        <v>104</v>
      </c>
      <c r="D49" s="37">
        <v>45751</v>
      </c>
      <c r="E49" s="38">
        <v>20</v>
      </c>
      <c r="F49" s="39">
        <v>320</v>
      </c>
      <c r="G49" s="38">
        <v>10</v>
      </c>
      <c r="H49" s="40" t="s">
        <v>97</v>
      </c>
      <c r="J49"/>
      <c r="K49"/>
    </row>
    <row r="50" spans="1:11" ht="15" hidden="1" customHeight="1" x14ac:dyDescent="0.25">
      <c r="A50" s="36" t="s">
        <v>86</v>
      </c>
      <c r="B50" s="36" t="s">
        <v>84</v>
      </c>
      <c r="C50" s="36" t="s">
        <v>106</v>
      </c>
      <c r="D50" s="37">
        <v>45246</v>
      </c>
      <c r="E50" s="38">
        <v>20</v>
      </c>
      <c r="F50" s="39">
        <v>280</v>
      </c>
      <c r="G50" s="38">
        <v>12</v>
      </c>
      <c r="H50" s="40" t="s">
        <v>89</v>
      </c>
      <c r="J50"/>
      <c r="K50"/>
    </row>
    <row r="51" spans="1:11" ht="15" hidden="1" customHeight="1" x14ac:dyDescent="0.25">
      <c r="A51" s="36" t="s">
        <v>86</v>
      </c>
      <c r="B51" s="36" t="s">
        <v>84</v>
      </c>
      <c r="C51" s="36" t="s">
        <v>106</v>
      </c>
      <c r="D51" s="37">
        <v>45016</v>
      </c>
      <c r="E51" s="38">
        <v>20</v>
      </c>
      <c r="F51" s="39">
        <v>280</v>
      </c>
      <c r="G51" s="38">
        <v>8</v>
      </c>
      <c r="H51" s="40" t="s">
        <v>101</v>
      </c>
      <c r="J51"/>
      <c r="K51"/>
    </row>
    <row r="52" spans="1:11" ht="15" hidden="1" customHeight="1" x14ac:dyDescent="0.25">
      <c r="A52" s="36" t="s">
        <v>86</v>
      </c>
      <c r="B52" s="36" t="s">
        <v>84</v>
      </c>
      <c r="C52" s="36" t="s">
        <v>106</v>
      </c>
      <c r="D52" s="37">
        <v>45216</v>
      </c>
      <c r="E52" s="38">
        <v>20</v>
      </c>
      <c r="F52" s="39">
        <v>280</v>
      </c>
      <c r="G52" s="38">
        <v>11</v>
      </c>
      <c r="H52" s="40" t="s">
        <v>89</v>
      </c>
      <c r="J52"/>
      <c r="K52"/>
    </row>
    <row r="53" spans="1:11" ht="15" hidden="1" customHeight="1" x14ac:dyDescent="0.25">
      <c r="A53" s="36" t="s">
        <v>90</v>
      </c>
      <c r="B53" s="36" t="s">
        <v>84</v>
      </c>
      <c r="C53" s="36" t="s">
        <v>104</v>
      </c>
      <c r="D53" s="37">
        <v>45008</v>
      </c>
      <c r="E53" s="38">
        <v>24</v>
      </c>
      <c r="F53" s="39">
        <v>310</v>
      </c>
      <c r="G53" s="38">
        <v>11</v>
      </c>
      <c r="H53" s="40" t="s">
        <v>89</v>
      </c>
      <c r="J53"/>
      <c r="K53"/>
    </row>
    <row r="54" spans="1:11" ht="15" hidden="1" customHeight="1" x14ac:dyDescent="0.25">
      <c r="A54" s="36" t="s">
        <v>93</v>
      </c>
      <c r="B54" s="36" t="s">
        <v>84</v>
      </c>
      <c r="C54" s="36" t="s">
        <v>104</v>
      </c>
      <c r="D54" s="37">
        <v>45254</v>
      </c>
      <c r="E54" s="38">
        <v>20</v>
      </c>
      <c r="F54" s="39">
        <v>200</v>
      </c>
      <c r="G54" s="38">
        <v>7</v>
      </c>
      <c r="H54" s="40" t="s">
        <v>83</v>
      </c>
      <c r="J54"/>
      <c r="K54"/>
    </row>
    <row r="55" spans="1:11" ht="15" hidden="1" customHeight="1" x14ac:dyDescent="0.25">
      <c r="A55" s="36" t="s">
        <v>96</v>
      </c>
      <c r="B55" s="36" t="s">
        <v>82</v>
      </c>
      <c r="C55" s="36" t="s">
        <v>88</v>
      </c>
      <c r="D55" s="37">
        <v>45700</v>
      </c>
      <c r="E55" s="38">
        <v>12</v>
      </c>
      <c r="F55" s="39">
        <v>160</v>
      </c>
      <c r="G55" s="38">
        <v>8</v>
      </c>
      <c r="H55" s="40" t="s">
        <v>100</v>
      </c>
      <c r="J55"/>
      <c r="K55"/>
    </row>
    <row r="56" spans="1:11" ht="15" hidden="1" customHeight="1" x14ac:dyDescent="0.25">
      <c r="A56" s="36" t="s">
        <v>86</v>
      </c>
      <c r="B56" s="36" t="s">
        <v>87</v>
      </c>
      <c r="C56" s="36" t="s">
        <v>105</v>
      </c>
      <c r="D56" s="37">
        <v>45744</v>
      </c>
      <c r="E56" s="38">
        <v>16</v>
      </c>
      <c r="F56" s="39">
        <v>210</v>
      </c>
      <c r="G56" s="38">
        <v>9</v>
      </c>
      <c r="H56" s="40" t="s">
        <v>98</v>
      </c>
      <c r="J56"/>
      <c r="K56"/>
    </row>
    <row r="57" spans="1:11" ht="15" hidden="1" customHeight="1" x14ac:dyDescent="0.25">
      <c r="A57" s="36" t="s">
        <v>90</v>
      </c>
      <c r="B57" s="36" t="s">
        <v>87</v>
      </c>
      <c r="C57" s="36" t="s">
        <v>106</v>
      </c>
      <c r="D57" s="37">
        <v>45247</v>
      </c>
      <c r="E57" s="38">
        <v>16</v>
      </c>
      <c r="F57" s="39">
        <v>380</v>
      </c>
      <c r="G57" s="38">
        <v>7</v>
      </c>
      <c r="H57" s="40" t="s">
        <v>89</v>
      </c>
      <c r="J57"/>
      <c r="K57"/>
    </row>
    <row r="58" spans="1:11" ht="15" hidden="1" customHeight="1" x14ac:dyDescent="0.25">
      <c r="A58" s="36" t="s">
        <v>86</v>
      </c>
      <c r="B58" s="36" t="s">
        <v>87</v>
      </c>
      <c r="C58" s="36" t="s">
        <v>88</v>
      </c>
      <c r="D58" s="37">
        <v>45469</v>
      </c>
      <c r="E58" s="38">
        <v>16</v>
      </c>
      <c r="F58" s="39">
        <v>210</v>
      </c>
      <c r="G58" s="38">
        <v>7</v>
      </c>
      <c r="H58" s="40" t="s">
        <v>89</v>
      </c>
      <c r="J58"/>
      <c r="K58"/>
    </row>
    <row r="59" spans="1:11" ht="15" hidden="1" customHeight="1" x14ac:dyDescent="0.25">
      <c r="A59" s="36" t="s">
        <v>86</v>
      </c>
      <c r="B59" s="36" t="s">
        <v>87</v>
      </c>
      <c r="C59" s="36" t="s">
        <v>106</v>
      </c>
      <c r="D59" s="37">
        <v>44988</v>
      </c>
      <c r="E59" s="38">
        <v>16</v>
      </c>
      <c r="F59" s="39">
        <v>210</v>
      </c>
      <c r="G59" s="38">
        <v>7</v>
      </c>
      <c r="H59" s="40" t="s">
        <v>99</v>
      </c>
      <c r="J59"/>
      <c r="K59"/>
    </row>
    <row r="60" spans="1:11" ht="15" hidden="1" customHeight="1" x14ac:dyDescent="0.25">
      <c r="A60" s="36" t="s">
        <v>90</v>
      </c>
      <c r="B60" s="36" t="s">
        <v>84</v>
      </c>
      <c r="C60" s="36" t="s">
        <v>106</v>
      </c>
      <c r="D60" s="37">
        <v>44986</v>
      </c>
      <c r="E60" s="38">
        <v>24</v>
      </c>
      <c r="F60" s="39">
        <v>310</v>
      </c>
      <c r="G60" s="38">
        <v>7</v>
      </c>
      <c r="H60" s="40" t="s">
        <v>83</v>
      </c>
      <c r="J60"/>
      <c r="K60"/>
    </row>
    <row r="61" spans="1:11" ht="15" hidden="1" customHeight="1" x14ac:dyDescent="0.25">
      <c r="A61" s="36" t="s">
        <v>90</v>
      </c>
      <c r="B61" s="36" t="s">
        <v>87</v>
      </c>
      <c r="C61" s="36" t="s">
        <v>106</v>
      </c>
      <c r="D61" s="37">
        <v>45707</v>
      </c>
      <c r="E61" s="38">
        <v>16</v>
      </c>
      <c r="F61" s="39">
        <v>380</v>
      </c>
      <c r="G61" s="38">
        <v>10</v>
      </c>
      <c r="H61" s="40" t="s">
        <v>89</v>
      </c>
      <c r="J61"/>
      <c r="K61"/>
    </row>
    <row r="62" spans="1:11" ht="15" hidden="1" customHeight="1" x14ac:dyDescent="0.25">
      <c r="A62" s="36" t="s">
        <v>93</v>
      </c>
      <c r="B62" s="36" t="s">
        <v>84</v>
      </c>
      <c r="C62" s="36" t="s">
        <v>104</v>
      </c>
      <c r="D62" s="37">
        <v>45255</v>
      </c>
      <c r="E62" s="38">
        <v>20</v>
      </c>
      <c r="F62" s="39">
        <v>200</v>
      </c>
      <c r="G62" s="38">
        <v>6</v>
      </c>
      <c r="H62" s="40" t="s">
        <v>98</v>
      </c>
      <c r="J62"/>
      <c r="K62"/>
    </row>
    <row r="63" spans="1:11" ht="15" hidden="1" customHeight="1" x14ac:dyDescent="0.25">
      <c r="A63" s="36" t="s">
        <v>96</v>
      </c>
      <c r="B63" s="36" t="s">
        <v>82</v>
      </c>
      <c r="C63" s="36" t="s">
        <v>106</v>
      </c>
      <c r="D63" s="37">
        <v>44976</v>
      </c>
      <c r="E63" s="38">
        <v>12</v>
      </c>
      <c r="F63" s="39">
        <v>160</v>
      </c>
      <c r="G63" s="38">
        <v>10</v>
      </c>
      <c r="H63" s="40" t="s">
        <v>97</v>
      </c>
      <c r="J63"/>
      <c r="K63"/>
    </row>
    <row r="64" spans="1:11" ht="15" hidden="1" customHeight="1" x14ac:dyDescent="0.25">
      <c r="A64" s="36" t="s">
        <v>90</v>
      </c>
      <c r="B64" s="36" t="s">
        <v>84</v>
      </c>
      <c r="C64" s="36" t="s">
        <v>104</v>
      </c>
      <c r="D64" s="37">
        <v>45115</v>
      </c>
      <c r="E64" s="38">
        <v>24</v>
      </c>
      <c r="F64" s="39">
        <v>310</v>
      </c>
      <c r="G64" s="38">
        <v>7</v>
      </c>
      <c r="H64" s="40" t="s">
        <v>95</v>
      </c>
      <c r="J64"/>
      <c r="K64"/>
    </row>
    <row r="65" spans="1:11" ht="15" hidden="1" customHeight="1" x14ac:dyDescent="0.25">
      <c r="A65" s="36" t="s">
        <v>90</v>
      </c>
      <c r="B65" s="36" t="s">
        <v>84</v>
      </c>
      <c r="C65" s="36" t="s">
        <v>106</v>
      </c>
      <c r="D65" s="37">
        <v>44962</v>
      </c>
      <c r="E65" s="38">
        <v>24</v>
      </c>
      <c r="F65" s="39">
        <v>310</v>
      </c>
      <c r="G65" s="38">
        <v>9</v>
      </c>
      <c r="H65" s="40" t="s">
        <v>92</v>
      </c>
      <c r="J65"/>
      <c r="K65"/>
    </row>
    <row r="66" spans="1:11" ht="15" hidden="1" customHeight="1" x14ac:dyDescent="0.25">
      <c r="A66" s="36" t="s">
        <v>93</v>
      </c>
      <c r="B66" s="36" t="s">
        <v>84</v>
      </c>
      <c r="C66" s="36" t="s">
        <v>104</v>
      </c>
      <c r="D66" s="37">
        <v>45216</v>
      </c>
      <c r="E66" s="38">
        <v>20</v>
      </c>
      <c r="F66" s="39">
        <v>200</v>
      </c>
      <c r="G66" s="38">
        <v>7</v>
      </c>
      <c r="H66" s="40" t="s">
        <v>94</v>
      </c>
      <c r="J66"/>
      <c r="K66"/>
    </row>
    <row r="67" spans="1:11" ht="15" hidden="1" customHeight="1" x14ac:dyDescent="0.25">
      <c r="A67" s="36" t="s">
        <v>90</v>
      </c>
      <c r="B67" s="36" t="s">
        <v>84</v>
      </c>
      <c r="C67" s="36" t="s">
        <v>106</v>
      </c>
      <c r="D67" s="37">
        <v>45752</v>
      </c>
      <c r="E67" s="38">
        <v>24</v>
      </c>
      <c r="F67" s="39">
        <v>310</v>
      </c>
      <c r="G67" s="38">
        <v>8</v>
      </c>
      <c r="H67" s="40" t="s">
        <v>91</v>
      </c>
      <c r="J67"/>
      <c r="K67"/>
    </row>
    <row r="68" spans="1:11" ht="15" hidden="1" customHeight="1" x14ac:dyDescent="0.25">
      <c r="A68" s="36" t="s">
        <v>90</v>
      </c>
      <c r="B68" s="36" t="s">
        <v>84</v>
      </c>
      <c r="C68" s="36" t="s">
        <v>104</v>
      </c>
      <c r="D68" s="37">
        <v>44950</v>
      </c>
      <c r="E68" s="38">
        <v>24</v>
      </c>
      <c r="F68" s="39">
        <v>310</v>
      </c>
      <c r="G68" s="38">
        <v>8</v>
      </c>
      <c r="H68" s="40" t="s">
        <v>92</v>
      </c>
      <c r="J68"/>
      <c r="K68"/>
    </row>
    <row r="69" spans="1:11" ht="15" hidden="1" customHeight="1" x14ac:dyDescent="0.25">
      <c r="A69" s="36" t="s">
        <v>81</v>
      </c>
      <c r="B69" s="36" t="s">
        <v>84</v>
      </c>
      <c r="C69" s="36" t="s">
        <v>106</v>
      </c>
      <c r="D69" s="37">
        <v>44948</v>
      </c>
      <c r="E69" s="38">
        <v>12</v>
      </c>
      <c r="F69" s="39">
        <v>180</v>
      </c>
      <c r="G69" s="38">
        <v>9</v>
      </c>
      <c r="H69" s="40" t="s">
        <v>89</v>
      </c>
      <c r="J69"/>
      <c r="K69"/>
    </row>
    <row r="70" spans="1:11" ht="15" hidden="1" customHeight="1" x14ac:dyDescent="0.25">
      <c r="A70" s="36" t="s">
        <v>86</v>
      </c>
      <c r="B70" s="36" t="s">
        <v>87</v>
      </c>
      <c r="C70" s="36" t="s">
        <v>88</v>
      </c>
      <c r="D70" s="37">
        <v>45743</v>
      </c>
      <c r="E70" s="38">
        <v>20</v>
      </c>
      <c r="F70" s="39">
        <v>280</v>
      </c>
      <c r="G70" s="38">
        <v>12</v>
      </c>
      <c r="H70" s="40" t="s">
        <v>89</v>
      </c>
      <c r="J70"/>
      <c r="K70"/>
    </row>
    <row r="71" spans="1:11" ht="15" hidden="1" customHeight="1" x14ac:dyDescent="0.25">
      <c r="A71" s="36" t="s">
        <v>81</v>
      </c>
      <c r="B71" s="36" t="s">
        <v>84</v>
      </c>
      <c r="C71" s="36" t="s">
        <v>106</v>
      </c>
      <c r="D71" s="37">
        <v>45819</v>
      </c>
      <c r="E71" s="38">
        <v>12</v>
      </c>
      <c r="F71" s="39">
        <v>180</v>
      </c>
      <c r="G71" s="38">
        <v>10</v>
      </c>
      <c r="H71" s="40" t="s">
        <v>85</v>
      </c>
      <c r="J71"/>
      <c r="K71"/>
    </row>
    <row r="72" spans="1:11" ht="15" hidden="1" customHeight="1" x14ac:dyDescent="0.25">
      <c r="A72" s="41" t="s">
        <v>81</v>
      </c>
      <c r="B72" s="41" t="s">
        <v>82</v>
      </c>
      <c r="C72" s="41" t="s">
        <v>106</v>
      </c>
      <c r="D72" s="42">
        <v>44952</v>
      </c>
      <c r="E72" s="43">
        <v>12</v>
      </c>
      <c r="F72" s="44">
        <v>180</v>
      </c>
      <c r="G72" s="43">
        <v>7</v>
      </c>
      <c r="H72" s="45" t="s">
        <v>83</v>
      </c>
      <c r="J72"/>
      <c r="K72"/>
    </row>
  </sheetData>
  <autoFilter ref="A3:H72" xr:uid="{EB166AA8-B107-4339-B199-9F68CA314EB8}">
    <filterColumn colId="3">
      <dynamicFilter type="nextWeek" val="45823" maxVal="45830"/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I57"/>
  <sheetViews>
    <sheetView workbookViewId="0">
      <selection activeCell="I39" sqref="I39"/>
    </sheetView>
  </sheetViews>
  <sheetFormatPr defaultRowHeight="15" x14ac:dyDescent="0.25"/>
  <cols>
    <col min="1" max="1" width="11.85546875" customWidth="1"/>
    <col min="2" max="2" width="35.5703125" customWidth="1"/>
    <col min="3" max="3" width="14.5703125" customWidth="1"/>
    <col min="4" max="4" width="14.7109375" bestFit="1" customWidth="1"/>
    <col min="5" max="5" width="10" bestFit="1" customWidth="1"/>
    <col min="6" max="6" width="14.7109375" bestFit="1" customWidth="1"/>
    <col min="7" max="7" width="10" bestFit="1" customWidth="1"/>
    <col min="8" max="8" width="8" customWidth="1"/>
    <col min="9" max="9" width="61.85546875" bestFit="1" customWidth="1"/>
    <col min="10" max="10" width="10" bestFit="1" customWidth="1"/>
  </cols>
  <sheetData>
    <row r="1" spans="1:9" ht="20.25" x14ac:dyDescent="0.4">
      <c r="A1" s="48" t="s">
        <v>0</v>
      </c>
      <c r="B1" s="48" t="s">
        <v>23</v>
      </c>
      <c r="C1" s="48" t="s">
        <v>24</v>
      </c>
      <c r="D1" s="48" t="s">
        <v>25</v>
      </c>
      <c r="E1" s="48" t="s">
        <v>26</v>
      </c>
      <c r="F1" s="49" t="s">
        <v>27</v>
      </c>
      <c r="G1" s="48" t="s">
        <v>28</v>
      </c>
      <c r="H1" s="13"/>
    </row>
    <row r="2" spans="1:9" hidden="1" x14ac:dyDescent="0.25">
      <c r="A2" s="4">
        <v>45453</v>
      </c>
      <c r="B2" s="6" t="s">
        <v>45</v>
      </c>
      <c r="C2" s="30" t="s">
        <v>56</v>
      </c>
      <c r="D2" s="30" t="s">
        <v>53</v>
      </c>
      <c r="E2" s="6" t="s">
        <v>37</v>
      </c>
      <c r="F2" s="31">
        <v>117000</v>
      </c>
      <c r="G2" s="30" t="s">
        <v>8</v>
      </c>
      <c r="H2" s="14"/>
      <c r="I2" s="12" t="s">
        <v>70</v>
      </c>
    </row>
    <row r="3" spans="1:9" hidden="1" x14ac:dyDescent="0.25">
      <c r="A3" s="4">
        <v>44657</v>
      </c>
      <c r="B3" s="6" t="s">
        <v>45</v>
      </c>
      <c r="C3" s="30" t="s">
        <v>56</v>
      </c>
      <c r="D3" s="30" t="s">
        <v>53</v>
      </c>
      <c r="E3" s="6" t="s">
        <v>37</v>
      </c>
      <c r="F3" s="31">
        <v>111000</v>
      </c>
      <c r="G3" s="30" t="s">
        <v>8</v>
      </c>
      <c r="H3" s="14"/>
      <c r="I3" t="s">
        <v>336</v>
      </c>
    </row>
    <row r="4" spans="1:9" hidden="1" x14ac:dyDescent="0.25">
      <c r="A4" s="4">
        <v>44630</v>
      </c>
      <c r="B4" s="6" t="s">
        <v>43</v>
      </c>
      <c r="C4" s="30" t="s">
        <v>63</v>
      </c>
      <c r="D4" s="30" t="s">
        <v>53</v>
      </c>
      <c r="E4" s="6" t="s">
        <v>37</v>
      </c>
      <c r="F4" s="31">
        <v>111000</v>
      </c>
      <c r="G4" s="30" t="s">
        <v>16</v>
      </c>
      <c r="H4" s="14"/>
    </row>
    <row r="5" spans="1:9" x14ac:dyDescent="0.25">
      <c r="A5" s="4">
        <v>46183</v>
      </c>
      <c r="B5" s="6" t="s">
        <v>43</v>
      </c>
      <c r="C5" s="30" t="s">
        <v>63</v>
      </c>
      <c r="D5" s="30" t="s">
        <v>53</v>
      </c>
      <c r="E5" s="6" t="s">
        <v>37</v>
      </c>
      <c r="F5" s="31">
        <v>113000</v>
      </c>
      <c r="G5" s="30" t="s">
        <v>16</v>
      </c>
      <c r="H5" s="14"/>
    </row>
    <row r="6" spans="1:9" x14ac:dyDescent="0.25">
      <c r="A6" s="4">
        <v>46357</v>
      </c>
      <c r="B6" s="6" t="s">
        <v>43</v>
      </c>
      <c r="C6" s="30" t="s">
        <v>56</v>
      </c>
      <c r="D6" s="30" t="s">
        <v>53</v>
      </c>
      <c r="E6" s="6" t="s">
        <v>37</v>
      </c>
      <c r="F6" s="31">
        <v>40000</v>
      </c>
      <c r="G6" s="30" t="s">
        <v>16</v>
      </c>
      <c r="H6" s="14"/>
    </row>
    <row r="7" spans="1:9" hidden="1" x14ac:dyDescent="0.25">
      <c r="A7" s="4">
        <v>45239</v>
      </c>
      <c r="B7" s="6" t="s">
        <v>38</v>
      </c>
      <c r="C7" s="30" t="s">
        <v>52</v>
      </c>
      <c r="D7" s="30" t="s">
        <v>53</v>
      </c>
      <c r="E7" s="6" t="s">
        <v>37</v>
      </c>
      <c r="F7" s="31">
        <v>125000</v>
      </c>
      <c r="G7" s="30" t="s">
        <v>8</v>
      </c>
      <c r="H7" s="14"/>
    </row>
    <row r="8" spans="1:9" hidden="1" x14ac:dyDescent="0.25">
      <c r="A8" s="4">
        <v>45649</v>
      </c>
      <c r="B8" s="6" t="s">
        <v>45</v>
      </c>
      <c r="C8" s="30" t="s">
        <v>60</v>
      </c>
      <c r="D8" s="30" t="s">
        <v>30</v>
      </c>
      <c r="E8" s="6" t="s">
        <v>31</v>
      </c>
      <c r="F8" s="31">
        <v>400000</v>
      </c>
      <c r="G8" s="30" t="s">
        <v>8</v>
      </c>
      <c r="H8" s="14"/>
    </row>
    <row r="9" spans="1:9" hidden="1" x14ac:dyDescent="0.25">
      <c r="A9" s="4">
        <v>45931</v>
      </c>
      <c r="B9" s="6" t="s">
        <v>69</v>
      </c>
      <c r="C9" s="30" t="s">
        <v>29</v>
      </c>
      <c r="D9" s="30" t="s">
        <v>30</v>
      </c>
      <c r="E9" s="6" t="s">
        <v>31</v>
      </c>
      <c r="F9" s="31">
        <v>380000</v>
      </c>
      <c r="G9" s="30" t="s">
        <v>32</v>
      </c>
      <c r="H9" s="14"/>
    </row>
    <row r="10" spans="1:9" hidden="1" x14ac:dyDescent="0.25">
      <c r="A10" s="4">
        <v>45205</v>
      </c>
      <c r="B10" s="6" t="s">
        <v>43</v>
      </c>
      <c r="C10" s="30" t="s">
        <v>44</v>
      </c>
      <c r="D10" s="30" t="s">
        <v>30</v>
      </c>
      <c r="E10" s="6" t="s">
        <v>31</v>
      </c>
      <c r="F10" s="31">
        <v>600000</v>
      </c>
      <c r="G10" s="30" t="s">
        <v>16</v>
      </c>
      <c r="H10" s="14"/>
    </row>
    <row r="11" spans="1:9" hidden="1" x14ac:dyDescent="0.25">
      <c r="A11" s="4">
        <v>44641</v>
      </c>
      <c r="B11" s="6" t="s">
        <v>45</v>
      </c>
      <c r="C11" s="30" t="s">
        <v>39</v>
      </c>
      <c r="D11" s="30" t="s">
        <v>34</v>
      </c>
      <c r="E11" s="6" t="s">
        <v>31</v>
      </c>
      <c r="F11" s="31">
        <v>890000</v>
      </c>
      <c r="G11" s="30" t="s">
        <v>8</v>
      </c>
      <c r="H11" s="14"/>
    </row>
    <row r="12" spans="1:9" x14ac:dyDescent="0.25">
      <c r="A12" s="4">
        <v>46296</v>
      </c>
      <c r="B12" s="6" t="s">
        <v>69</v>
      </c>
      <c r="C12" s="30" t="s">
        <v>33</v>
      </c>
      <c r="D12" s="30" t="s">
        <v>34</v>
      </c>
      <c r="E12" s="6" t="s">
        <v>31</v>
      </c>
      <c r="F12" s="31">
        <v>1200000</v>
      </c>
      <c r="G12" s="30" t="s">
        <v>32</v>
      </c>
      <c r="H12" s="14"/>
    </row>
    <row r="13" spans="1:9" hidden="1" x14ac:dyDescent="0.25">
      <c r="A13" s="4">
        <v>45224</v>
      </c>
      <c r="B13" s="6" t="s">
        <v>43</v>
      </c>
      <c r="C13" s="30" t="s">
        <v>50</v>
      </c>
      <c r="D13" s="30" t="s">
        <v>34</v>
      </c>
      <c r="E13" s="6" t="s">
        <v>31</v>
      </c>
      <c r="F13" s="31">
        <v>900000</v>
      </c>
      <c r="G13" s="30" t="s">
        <v>16</v>
      </c>
      <c r="H13" s="14"/>
    </row>
    <row r="14" spans="1:9" hidden="1" x14ac:dyDescent="0.25">
      <c r="A14" s="4">
        <v>45203</v>
      </c>
      <c r="B14" s="6" t="s">
        <v>38</v>
      </c>
      <c r="C14" s="30" t="s">
        <v>39</v>
      </c>
      <c r="D14" s="30" t="s">
        <v>34</v>
      </c>
      <c r="E14" s="6" t="s">
        <v>31</v>
      </c>
      <c r="F14" s="31">
        <v>3000000</v>
      </c>
      <c r="G14" s="30" t="s">
        <v>8</v>
      </c>
      <c r="H14" s="14"/>
    </row>
    <row r="15" spans="1:9" x14ac:dyDescent="0.25">
      <c r="A15" s="4">
        <v>46300</v>
      </c>
      <c r="B15" s="6" t="s">
        <v>40</v>
      </c>
      <c r="C15" s="30" t="s">
        <v>41</v>
      </c>
      <c r="D15" s="30" t="s">
        <v>34</v>
      </c>
      <c r="E15" s="6" t="s">
        <v>31</v>
      </c>
      <c r="F15" s="31">
        <v>4300000</v>
      </c>
      <c r="G15" s="30" t="s">
        <v>42</v>
      </c>
      <c r="H15" s="14"/>
    </row>
    <row r="16" spans="1:9" hidden="1" x14ac:dyDescent="0.25">
      <c r="A16" s="4">
        <v>45280</v>
      </c>
      <c r="B16" s="6" t="s">
        <v>45</v>
      </c>
      <c r="C16" s="30" t="s">
        <v>59</v>
      </c>
      <c r="D16" s="30" t="s">
        <v>55</v>
      </c>
      <c r="E16" s="6" t="s">
        <v>37</v>
      </c>
      <c r="F16" s="31">
        <v>53000</v>
      </c>
      <c r="G16" s="30" t="s">
        <v>8</v>
      </c>
      <c r="H16" s="14"/>
    </row>
    <row r="17" spans="1:8" hidden="1" x14ac:dyDescent="0.25">
      <c r="A17" s="4">
        <v>44613</v>
      </c>
      <c r="B17" s="6" t="s">
        <v>43</v>
      </c>
      <c r="C17" s="30" t="s">
        <v>54</v>
      </c>
      <c r="D17" s="30" t="s">
        <v>55</v>
      </c>
      <c r="E17" s="6" t="s">
        <v>37</v>
      </c>
      <c r="F17" s="31">
        <v>5600</v>
      </c>
      <c r="G17" s="30" t="s">
        <v>16</v>
      </c>
      <c r="H17" s="14"/>
    </row>
    <row r="18" spans="1:8" hidden="1" x14ac:dyDescent="0.25">
      <c r="A18" s="4">
        <v>44652</v>
      </c>
      <c r="B18" s="6" t="s">
        <v>38</v>
      </c>
      <c r="C18" s="30" t="s">
        <v>59</v>
      </c>
      <c r="D18" s="30" t="s">
        <v>55</v>
      </c>
      <c r="E18" s="6" t="s">
        <v>37</v>
      </c>
      <c r="F18" s="31">
        <v>210000</v>
      </c>
      <c r="G18" s="30" t="s">
        <v>8</v>
      </c>
      <c r="H18" s="14"/>
    </row>
    <row r="19" spans="1:8" hidden="1" x14ac:dyDescent="0.25">
      <c r="A19" s="4">
        <v>44711</v>
      </c>
      <c r="B19" s="6" t="s">
        <v>40</v>
      </c>
      <c r="C19" s="30" t="s">
        <v>68</v>
      </c>
      <c r="D19" s="30" t="s">
        <v>55</v>
      </c>
      <c r="E19" s="6" t="s">
        <v>37</v>
      </c>
      <c r="F19" s="31">
        <v>121000</v>
      </c>
      <c r="G19" s="30" t="s">
        <v>42</v>
      </c>
      <c r="H19" s="14"/>
    </row>
    <row r="20" spans="1:8" x14ac:dyDescent="0.25">
      <c r="A20" s="4">
        <v>46343</v>
      </c>
      <c r="B20" s="6" t="s">
        <v>40</v>
      </c>
      <c r="C20" s="30" t="s">
        <v>54</v>
      </c>
      <c r="D20" s="30" t="s">
        <v>55</v>
      </c>
      <c r="E20" s="6" t="s">
        <v>37</v>
      </c>
      <c r="F20" s="31">
        <v>7200</v>
      </c>
      <c r="G20" s="30" t="s">
        <v>42</v>
      </c>
      <c r="H20" s="14"/>
    </row>
    <row r="21" spans="1:8" hidden="1" x14ac:dyDescent="0.25">
      <c r="A21" s="4">
        <v>44684</v>
      </c>
      <c r="B21" s="6" t="s">
        <v>45</v>
      </c>
      <c r="C21" s="30" t="s">
        <v>65</v>
      </c>
      <c r="D21" s="30" t="s">
        <v>47</v>
      </c>
      <c r="E21" s="6" t="s">
        <v>31</v>
      </c>
      <c r="F21" s="31">
        <v>382000</v>
      </c>
      <c r="G21" s="30" t="s">
        <v>8</v>
      </c>
      <c r="H21" s="14"/>
    </row>
    <row r="22" spans="1:8" hidden="1" x14ac:dyDescent="0.25">
      <c r="A22" s="4">
        <v>44760</v>
      </c>
      <c r="B22" s="6" t="s">
        <v>45</v>
      </c>
      <c r="C22" s="30" t="s">
        <v>61</v>
      </c>
      <c r="D22" s="30" t="s">
        <v>47</v>
      </c>
      <c r="E22" s="6" t="s">
        <v>31</v>
      </c>
      <c r="F22" s="31">
        <v>100000</v>
      </c>
      <c r="G22" s="30" t="s">
        <v>8</v>
      </c>
      <c r="H22" s="14"/>
    </row>
    <row r="23" spans="1:8" hidden="1" x14ac:dyDescent="0.25">
      <c r="A23" s="4">
        <v>45214</v>
      </c>
      <c r="B23" s="6" t="s">
        <v>45</v>
      </c>
      <c r="C23" s="30" t="s">
        <v>46</v>
      </c>
      <c r="D23" s="30" t="s">
        <v>47</v>
      </c>
      <c r="E23" s="6" t="s">
        <v>31</v>
      </c>
      <c r="F23" s="31">
        <v>326000</v>
      </c>
      <c r="G23" s="30" t="s">
        <v>8</v>
      </c>
      <c r="H23" s="14"/>
    </row>
    <row r="24" spans="1:8" hidden="1" x14ac:dyDescent="0.25">
      <c r="A24" s="4">
        <v>45263</v>
      </c>
      <c r="B24" s="6" t="s">
        <v>45</v>
      </c>
      <c r="C24" s="30" t="s">
        <v>57</v>
      </c>
      <c r="D24" s="30" t="s">
        <v>47</v>
      </c>
      <c r="E24" s="6" t="s">
        <v>31</v>
      </c>
      <c r="F24" s="31">
        <v>178000</v>
      </c>
      <c r="G24" s="30" t="s">
        <v>8</v>
      </c>
      <c r="H24" s="14"/>
    </row>
    <row r="25" spans="1:8" hidden="1" x14ac:dyDescent="0.25">
      <c r="A25" s="4">
        <v>45311</v>
      </c>
      <c r="B25" s="6" t="s">
        <v>69</v>
      </c>
      <c r="C25" s="30" t="s">
        <v>61</v>
      </c>
      <c r="D25" s="30" t="s">
        <v>47</v>
      </c>
      <c r="E25" s="6" t="s">
        <v>31</v>
      </c>
      <c r="F25" s="31">
        <v>450000</v>
      </c>
      <c r="G25" s="30" t="s">
        <v>32</v>
      </c>
      <c r="H25" s="14"/>
    </row>
    <row r="26" spans="1:8" hidden="1" x14ac:dyDescent="0.25">
      <c r="A26" s="4">
        <v>45600</v>
      </c>
      <c r="B26" s="6" t="s">
        <v>69</v>
      </c>
      <c r="C26" s="30" t="s">
        <v>51</v>
      </c>
      <c r="D26" s="30" t="s">
        <v>47</v>
      </c>
      <c r="E26" s="6" t="s">
        <v>31</v>
      </c>
      <c r="F26" s="31">
        <v>313000</v>
      </c>
      <c r="G26" s="30" t="s">
        <v>32</v>
      </c>
      <c r="H26" s="14"/>
    </row>
    <row r="27" spans="1:8" hidden="1" x14ac:dyDescent="0.25">
      <c r="A27" s="4">
        <v>44645</v>
      </c>
      <c r="B27" s="6" t="s">
        <v>69</v>
      </c>
      <c r="C27" s="30" t="s">
        <v>61</v>
      </c>
      <c r="D27" s="30" t="s">
        <v>47</v>
      </c>
      <c r="E27" s="6" t="s">
        <v>31</v>
      </c>
      <c r="F27" s="31">
        <v>430000</v>
      </c>
      <c r="G27" s="30" t="s">
        <v>32</v>
      </c>
      <c r="H27" s="14"/>
    </row>
    <row r="28" spans="1:8" hidden="1" x14ac:dyDescent="0.25">
      <c r="A28" s="4">
        <v>44699</v>
      </c>
      <c r="B28" s="6" t="s">
        <v>69</v>
      </c>
      <c r="C28" s="30" t="s">
        <v>61</v>
      </c>
      <c r="D28" s="30" t="s">
        <v>47</v>
      </c>
      <c r="E28" s="6" t="s">
        <v>31</v>
      </c>
      <c r="F28" s="31">
        <v>590000</v>
      </c>
      <c r="G28" s="30" t="s">
        <v>32</v>
      </c>
      <c r="H28" s="14"/>
    </row>
    <row r="29" spans="1:8" x14ac:dyDescent="0.25">
      <c r="A29" s="4">
        <v>46027</v>
      </c>
      <c r="B29" s="6" t="s">
        <v>43</v>
      </c>
      <c r="C29" s="30" t="s">
        <v>61</v>
      </c>
      <c r="D29" s="30" t="s">
        <v>47</v>
      </c>
      <c r="E29" s="6" t="s">
        <v>31</v>
      </c>
      <c r="F29" s="31">
        <v>230000</v>
      </c>
      <c r="G29" s="30" t="s">
        <v>16</v>
      </c>
      <c r="H29" s="14"/>
    </row>
    <row r="30" spans="1:8" hidden="1" x14ac:dyDescent="0.25">
      <c r="A30" s="4">
        <v>45752</v>
      </c>
      <c r="B30" s="6" t="s">
        <v>43</v>
      </c>
      <c r="C30" s="30" t="s">
        <v>61</v>
      </c>
      <c r="D30" s="30" t="s">
        <v>47</v>
      </c>
      <c r="E30" s="6" t="s">
        <v>31</v>
      </c>
      <c r="F30" s="31">
        <v>380000</v>
      </c>
      <c r="G30" s="30" t="s">
        <v>16</v>
      </c>
      <c r="H30" s="14"/>
    </row>
    <row r="31" spans="1:8" hidden="1" x14ac:dyDescent="0.25">
      <c r="A31" s="4">
        <v>44571</v>
      </c>
      <c r="B31" s="6" t="s">
        <v>38</v>
      </c>
      <c r="C31" s="30" t="s">
        <v>61</v>
      </c>
      <c r="D31" s="30" t="s">
        <v>47</v>
      </c>
      <c r="E31" s="6" t="s">
        <v>31</v>
      </c>
      <c r="F31" s="31">
        <v>300000</v>
      </c>
      <c r="G31" s="30" t="s">
        <v>8</v>
      </c>
      <c r="H31" s="14"/>
    </row>
    <row r="32" spans="1:8" hidden="1" x14ac:dyDescent="0.25">
      <c r="A32" s="4">
        <v>44600</v>
      </c>
      <c r="B32" s="6" t="s">
        <v>38</v>
      </c>
      <c r="C32" s="30" t="s">
        <v>61</v>
      </c>
      <c r="D32" s="30" t="s">
        <v>47</v>
      </c>
      <c r="E32" s="6" t="s">
        <v>31</v>
      </c>
      <c r="F32" s="31">
        <v>670000</v>
      </c>
      <c r="G32" s="30" t="s">
        <v>8</v>
      </c>
      <c r="H32" s="14"/>
    </row>
    <row r="33" spans="1:8" x14ac:dyDescent="0.25">
      <c r="A33" s="4">
        <v>46162</v>
      </c>
      <c r="B33" s="6" t="s">
        <v>38</v>
      </c>
      <c r="C33" s="30" t="s">
        <v>61</v>
      </c>
      <c r="D33" s="30" t="s">
        <v>47</v>
      </c>
      <c r="E33" s="6" t="s">
        <v>31</v>
      </c>
      <c r="F33" s="31">
        <v>760000</v>
      </c>
      <c r="G33" s="30" t="s">
        <v>8</v>
      </c>
      <c r="H33" s="14"/>
    </row>
    <row r="34" spans="1:8" hidden="1" x14ac:dyDescent="0.25">
      <c r="A34" s="4">
        <v>44571</v>
      </c>
      <c r="B34" s="6" t="s">
        <v>40</v>
      </c>
      <c r="C34" s="30" t="s">
        <v>61</v>
      </c>
      <c r="D34" s="30" t="s">
        <v>47</v>
      </c>
      <c r="E34" s="6" t="s">
        <v>31</v>
      </c>
      <c r="F34" s="31">
        <v>400000</v>
      </c>
      <c r="G34" s="30" t="s">
        <v>42</v>
      </c>
      <c r="H34" s="14"/>
    </row>
    <row r="35" spans="1:8" hidden="1" x14ac:dyDescent="0.25">
      <c r="A35" s="4">
        <v>45741</v>
      </c>
      <c r="B35" s="6" t="s">
        <v>40</v>
      </c>
      <c r="C35" s="30" t="s">
        <v>61</v>
      </c>
      <c r="D35" s="30" t="s">
        <v>47</v>
      </c>
      <c r="E35" s="6" t="s">
        <v>31</v>
      </c>
      <c r="F35" s="31">
        <v>390000</v>
      </c>
      <c r="G35" s="30" t="s">
        <v>42</v>
      </c>
      <c r="H35" s="14"/>
    </row>
    <row r="36" spans="1:8" hidden="1" x14ac:dyDescent="0.25">
      <c r="A36" s="4">
        <v>44656</v>
      </c>
      <c r="B36" s="6" t="s">
        <v>40</v>
      </c>
      <c r="C36" s="30" t="s">
        <v>61</v>
      </c>
      <c r="D36" s="30" t="s">
        <v>47</v>
      </c>
      <c r="E36" s="6" t="s">
        <v>31</v>
      </c>
      <c r="F36" s="31">
        <v>410000</v>
      </c>
      <c r="G36" s="30" t="s">
        <v>42</v>
      </c>
      <c r="H36" s="14"/>
    </row>
    <row r="37" spans="1:8" hidden="1" x14ac:dyDescent="0.25">
      <c r="A37" s="4">
        <v>44691</v>
      </c>
      <c r="B37" s="6" t="s">
        <v>40</v>
      </c>
      <c r="C37" s="30" t="s">
        <v>61</v>
      </c>
      <c r="D37" s="30" t="s">
        <v>47</v>
      </c>
      <c r="E37" s="6" t="s">
        <v>31</v>
      </c>
      <c r="F37" s="31">
        <v>560000</v>
      </c>
      <c r="G37" s="30" t="s">
        <v>42</v>
      </c>
      <c r="H37" s="14"/>
    </row>
    <row r="38" spans="1:8" hidden="1" x14ac:dyDescent="0.25">
      <c r="A38" s="4">
        <v>44752</v>
      </c>
      <c r="B38" s="6" t="s">
        <v>40</v>
      </c>
      <c r="C38" s="30" t="s">
        <v>61</v>
      </c>
      <c r="D38" s="30" t="s">
        <v>47</v>
      </c>
      <c r="E38" s="6" t="s">
        <v>31</v>
      </c>
      <c r="F38" s="31">
        <v>108000</v>
      </c>
      <c r="G38" s="30" t="s">
        <v>42</v>
      </c>
      <c r="H38" s="14"/>
    </row>
    <row r="39" spans="1:8" x14ac:dyDescent="0.25">
      <c r="A39" s="4">
        <v>46366</v>
      </c>
      <c r="B39" s="6" t="s">
        <v>40</v>
      </c>
      <c r="C39" s="30" t="s">
        <v>58</v>
      </c>
      <c r="D39" s="30" t="s">
        <v>47</v>
      </c>
      <c r="E39" s="6" t="s">
        <v>31</v>
      </c>
      <c r="F39" s="31">
        <v>380000</v>
      </c>
      <c r="G39" s="30" t="s">
        <v>42</v>
      </c>
      <c r="H39" s="14"/>
    </row>
    <row r="40" spans="1:8" hidden="1" x14ac:dyDescent="0.25">
      <c r="A40" s="4">
        <v>44711</v>
      </c>
      <c r="B40" s="6" t="s">
        <v>45</v>
      </c>
      <c r="C40" s="30" t="s">
        <v>62</v>
      </c>
      <c r="D40" s="30" t="s">
        <v>49</v>
      </c>
      <c r="E40" s="6" t="s">
        <v>37</v>
      </c>
      <c r="F40" s="31">
        <v>231000</v>
      </c>
      <c r="G40" s="30" t="s">
        <v>8</v>
      </c>
      <c r="H40" s="14"/>
    </row>
    <row r="41" spans="1:8" hidden="1" x14ac:dyDescent="0.25">
      <c r="A41" s="4">
        <v>45959</v>
      </c>
      <c r="B41" s="6" t="s">
        <v>45</v>
      </c>
      <c r="C41" s="30" t="s">
        <v>48</v>
      </c>
      <c r="D41" s="30" t="s">
        <v>49</v>
      </c>
      <c r="E41" s="6" t="s">
        <v>37</v>
      </c>
      <c r="F41" s="31">
        <v>98000</v>
      </c>
      <c r="G41" s="30" t="s">
        <v>8</v>
      </c>
      <c r="H41" s="14"/>
    </row>
    <row r="42" spans="1:8" hidden="1" x14ac:dyDescent="0.25">
      <c r="A42" s="4">
        <v>44596</v>
      </c>
      <c r="B42" s="6" t="s">
        <v>69</v>
      </c>
      <c r="C42" s="30" t="s">
        <v>62</v>
      </c>
      <c r="D42" s="30" t="s">
        <v>49</v>
      </c>
      <c r="E42" s="6" t="s">
        <v>37</v>
      </c>
      <c r="F42" s="31">
        <v>230000</v>
      </c>
      <c r="G42" s="30" t="s">
        <v>32</v>
      </c>
      <c r="H42" s="14"/>
    </row>
    <row r="43" spans="1:8" hidden="1" x14ac:dyDescent="0.25">
      <c r="A43" s="4">
        <v>44686</v>
      </c>
      <c r="B43" s="6" t="s">
        <v>69</v>
      </c>
      <c r="C43" s="30" t="s">
        <v>62</v>
      </c>
      <c r="D43" s="30" t="s">
        <v>49</v>
      </c>
      <c r="E43" s="6" t="s">
        <v>37</v>
      </c>
      <c r="F43" s="31">
        <v>200000</v>
      </c>
      <c r="G43" s="30" t="s">
        <v>32</v>
      </c>
      <c r="H43" s="14"/>
    </row>
    <row r="44" spans="1:8" hidden="1" x14ac:dyDescent="0.25">
      <c r="A44" s="4">
        <v>44568</v>
      </c>
      <c r="B44" s="6" t="s">
        <v>43</v>
      </c>
      <c r="C44" s="30" t="s">
        <v>62</v>
      </c>
      <c r="D44" s="30" t="s">
        <v>49</v>
      </c>
      <c r="E44" s="6" t="s">
        <v>37</v>
      </c>
      <c r="F44" s="31">
        <v>178000</v>
      </c>
      <c r="G44" s="30" t="s">
        <v>16</v>
      </c>
      <c r="H44" s="14"/>
    </row>
    <row r="45" spans="1:8" hidden="1" x14ac:dyDescent="0.25">
      <c r="A45" s="4">
        <v>44662</v>
      </c>
      <c r="B45" s="6" t="s">
        <v>43</v>
      </c>
      <c r="C45" s="30" t="s">
        <v>62</v>
      </c>
      <c r="D45" s="30" t="s">
        <v>49</v>
      </c>
      <c r="E45" s="6" t="s">
        <v>37</v>
      </c>
      <c r="F45" s="31">
        <v>129000</v>
      </c>
      <c r="G45" s="30" t="s">
        <v>16</v>
      </c>
      <c r="H45" s="14"/>
    </row>
    <row r="46" spans="1:8" hidden="1" x14ac:dyDescent="0.25">
      <c r="A46" s="4">
        <v>44701</v>
      </c>
      <c r="B46" s="6" t="s">
        <v>43</v>
      </c>
      <c r="C46" s="30" t="s">
        <v>62</v>
      </c>
      <c r="D46" s="30" t="s">
        <v>49</v>
      </c>
      <c r="E46" s="6" t="s">
        <v>37</v>
      </c>
      <c r="F46" s="31">
        <v>133000</v>
      </c>
      <c r="G46" s="30" t="s">
        <v>16</v>
      </c>
      <c r="H46" s="14"/>
    </row>
    <row r="47" spans="1:8" hidden="1" x14ac:dyDescent="0.25">
      <c r="A47" s="4">
        <v>44761</v>
      </c>
      <c r="B47" s="6" t="s">
        <v>43</v>
      </c>
      <c r="C47" s="30" t="s">
        <v>62</v>
      </c>
      <c r="D47" s="30" t="s">
        <v>49</v>
      </c>
      <c r="E47" s="6" t="s">
        <v>37</v>
      </c>
      <c r="F47" s="31">
        <v>200000</v>
      </c>
      <c r="G47" s="30" t="s">
        <v>16</v>
      </c>
      <c r="H47" s="14"/>
    </row>
    <row r="48" spans="1:8" hidden="1" x14ac:dyDescent="0.25">
      <c r="A48" s="4">
        <v>45703</v>
      </c>
      <c r="B48" s="6" t="s">
        <v>38</v>
      </c>
      <c r="C48" s="30" t="s">
        <v>62</v>
      </c>
      <c r="D48" s="30" t="s">
        <v>49</v>
      </c>
      <c r="E48" s="6" t="s">
        <v>37</v>
      </c>
      <c r="F48" s="31">
        <v>230000</v>
      </c>
      <c r="G48" s="30" t="s">
        <v>8</v>
      </c>
      <c r="H48" s="14"/>
    </row>
    <row r="49" spans="1:8" hidden="1" x14ac:dyDescent="0.25">
      <c r="A49" s="4">
        <v>45390</v>
      </c>
      <c r="B49" s="6" t="s">
        <v>40</v>
      </c>
      <c r="C49" s="30" t="s">
        <v>62</v>
      </c>
      <c r="D49" s="30" t="s">
        <v>49</v>
      </c>
      <c r="E49" s="6" t="s">
        <v>37</v>
      </c>
      <c r="F49" s="31">
        <v>135000</v>
      </c>
      <c r="G49" s="30" t="s">
        <v>42</v>
      </c>
      <c r="H49" s="14"/>
    </row>
    <row r="50" spans="1:8" hidden="1" x14ac:dyDescent="0.25">
      <c r="A50" s="4">
        <v>45432</v>
      </c>
      <c r="B50" s="6" t="s">
        <v>40</v>
      </c>
      <c r="C50" s="30" t="s">
        <v>62</v>
      </c>
      <c r="D50" s="30" t="s">
        <v>49</v>
      </c>
      <c r="E50" s="6" t="s">
        <v>37</v>
      </c>
      <c r="F50" s="31">
        <v>210000</v>
      </c>
      <c r="G50" s="30" t="s">
        <v>42</v>
      </c>
      <c r="H50" s="14"/>
    </row>
    <row r="51" spans="1:8" x14ac:dyDescent="0.25">
      <c r="A51" s="4">
        <v>46315</v>
      </c>
      <c r="B51" s="6" t="s">
        <v>40</v>
      </c>
      <c r="C51" s="30" t="s">
        <v>48</v>
      </c>
      <c r="D51" s="30" t="s">
        <v>49</v>
      </c>
      <c r="E51" s="6" t="s">
        <v>37</v>
      </c>
      <c r="F51" s="31">
        <v>213000</v>
      </c>
      <c r="G51" s="30" t="s">
        <v>42</v>
      </c>
      <c r="H51" s="14"/>
    </row>
    <row r="52" spans="1:8" hidden="1" x14ac:dyDescent="0.25">
      <c r="A52" s="4">
        <v>44579</v>
      </c>
      <c r="B52" s="6" t="s">
        <v>40</v>
      </c>
      <c r="C52" s="30" t="s">
        <v>62</v>
      </c>
      <c r="D52" s="30" t="s">
        <v>49</v>
      </c>
      <c r="E52" s="6" t="s">
        <v>37</v>
      </c>
      <c r="F52" s="31">
        <v>123000</v>
      </c>
      <c r="G52" s="30" t="s">
        <v>42</v>
      </c>
      <c r="H52" s="14"/>
    </row>
    <row r="53" spans="1:8" hidden="1" x14ac:dyDescent="0.25">
      <c r="A53" s="4">
        <v>44645</v>
      </c>
      <c r="B53" s="6" t="s">
        <v>40</v>
      </c>
      <c r="C53" s="30" t="s">
        <v>62</v>
      </c>
      <c r="D53" s="30" t="s">
        <v>49</v>
      </c>
      <c r="E53" s="6" t="s">
        <v>37</v>
      </c>
      <c r="F53" s="31">
        <v>120000</v>
      </c>
      <c r="G53" s="30" t="s">
        <v>42</v>
      </c>
      <c r="H53" s="14"/>
    </row>
    <row r="54" spans="1:8" hidden="1" x14ac:dyDescent="0.25">
      <c r="A54" s="4">
        <v>45731</v>
      </c>
      <c r="B54" s="6" t="s">
        <v>45</v>
      </c>
      <c r="C54" s="30" t="s">
        <v>64</v>
      </c>
      <c r="D54" s="30" t="s">
        <v>36</v>
      </c>
      <c r="E54" s="6" t="s">
        <v>37</v>
      </c>
      <c r="F54" s="31">
        <v>211000</v>
      </c>
      <c r="G54" s="30" t="s">
        <v>8</v>
      </c>
      <c r="H54" s="14"/>
    </row>
    <row r="55" spans="1:8" hidden="1" x14ac:dyDescent="0.25">
      <c r="A55" s="4">
        <v>45203</v>
      </c>
      <c r="B55" s="6" t="s">
        <v>69</v>
      </c>
      <c r="C55" s="30" t="s">
        <v>35</v>
      </c>
      <c r="D55" s="30" t="s">
        <v>36</v>
      </c>
      <c r="E55" s="6" t="s">
        <v>37</v>
      </c>
      <c r="F55" s="31">
        <v>300000</v>
      </c>
      <c r="G55" s="30" t="s">
        <v>32</v>
      </c>
      <c r="H55" s="14"/>
    </row>
    <row r="56" spans="1:8" hidden="1" x14ac:dyDescent="0.25">
      <c r="A56" s="4">
        <v>44691</v>
      </c>
      <c r="B56" s="6" t="s">
        <v>43</v>
      </c>
      <c r="C56" s="30" t="s">
        <v>67</v>
      </c>
      <c r="D56" s="30" t="s">
        <v>36</v>
      </c>
      <c r="E56" s="6" t="s">
        <v>37</v>
      </c>
      <c r="F56" s="31">
        <v>78000</v>
      </c>
      <c r="G56" s="30" t="s">
        <v>16</v>
      </c>
      <c r="H56" s="14"/>
    </row>
    <row r="57" spans="1:8" hidden="1" x14ac:dyDescent="0.25">
      <c r="A57" s="4">
        <v>44686</v>
      </c>
      <c r="B57" s="6" t="s">
        <v>38</v>
      </c>
      <c r="C57" s="30" t="s">
        <v>66</v>
      </c>
      <c r="D57" s="30" t="s">
        <v>36</v>
      </c>
      <c r="E57" s="6" t="s">
        <v>37</v>
      </c>
      <c r="F57" s="31">
        <v>185000</v>
      </c>
      <c r="G57" s="30" t="s">
        <v>8</v>
      </c>
      <c r="H57" s="14"/>
    </row>
  </sheetData>
  <autoFilter ref="A1:G57" xr:uid="{00000000-0001-0000-0600-000000000000}">
    <filterColumn colId="0">
      <dynamicFilter type="nextYear" val="46023" maxVal="46388"/>
    </filterColumn>
  </autoFilter>
  <sortState xmlns:xlrd2="http://schemas.microsoft.com/office/spreadsheetml/2017/richdata2" ref="A2:G57">
    <sortCondition descending="1" ref="D1:D57"/>
  </sortState>
  <dataValidations count="1">
    <dataValidation type="list" allowBlank="1" showInputMessage="1" showErrorMessage="1" sqref="D1 D57" xr:uid="{00000000-0002-0000-0600-000000000000}">
      <formula1>Categoria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J115"/>
  <sheetViews>
    <sheetView workbookViewId="0">
      <selection activeCell="H2" sqref="H2"/>
    </sheetView>
  </sheetViews>
  <sheetFormatPr defaultRowHeight="15" x14ac:dyDescent="0.25"/>
  <cols>
    <col min="1" max="1" width="10" style="19" bestFit="1" customWidth="1"/>
    <col min="2" max="2" width="26.42578125" style="19" customWidth="1"/>
    <col min="3" max="3" width="15.42578125" style="19" bestFit="1" customWidth="1"/>
    <col min="4" max="4" width="14.85546875" style="19" customWidth="1"/>
    <col min="5" max="5" width="11" style="19" bestFit="1" customWidth="1"/>
    <col min="6" max="7" width="14.85546875" style="19" customWidth="1"/>
    <col min="8" max="8" width="11.5703125" customWidth="1"/>
    <col min="9" max="9" width="6.5703125" customWidth="1"/>
    <col min="10" max="10" width="62.85546875" bestFit="1" customWidth="1"/>
  </cols>
  <sheetData>
    <row r="1" spans="1:10" x14ac:dyDescent="0.25">
      <c r="A1" s="15" t="s">
        <v>110</v>
      </c>
      <c r="B1" s="15" t="s">
        <v>111</v>
      </c>
      <c r="C1" s="15" t="s">
        <v>112</v>
      </c>
      <c r="D1" s="15" t="s">
        <v>113</v>
      </c>
      <c r="E1" s="15" t="s">
        <v>114</v>
      </c>
      <c r="F1" s="15" t="s">
        <v>115</v>
      </c>
      <c r="G1" s="15" t="s">
        <v>116</v>
      </c>
      <c r="H1" s="15" t="s">
        <v>342</v>
      </c>
      <c r="J1" s="12" t="s">
        <v>70</v>
      </c>
    </row>
    <row r="2" spans="1:10" x14ac:dyDescent="0.25">
      <c r="A2" s="16" t="s">
        <v>117</v>
      </c>
      <c r="B2" s="16" t="s">
        <v>118</v>
      </c>
      <c r="C2" s="16" t="s">
        <v>119</v>
      </c>
      <c r="D2" s="16" t="s">
        <v>107</v>
      </c>
      <c r="E2" s="17">
        <v>6990</v>
      </c>
      <c r="F2" s="18">
        <v>29153</v>
      </c>
      <c r="G2" s="18">
        <v>32013</v>
      </c>
      <c r="H2" s="50">
        <f ca="1">YEARFRAC(G2,TODAY())</f>
        <v>37.797222222222224</v>
      </c>
      <c r="J2" t="s">
        <v>120</v>
      </c>
    </row>
    <row r="3" spans="1:10" x14ac:dyDescent="0.25">
      <c r="A3" s="16" t="s">
        <v>121</v>
      </c>
      <c r="B3" s="16" t="s">
        <v>122</v>
      </c>
      <c r="C3" s="16" t="s">
        <v>123</v>
      </c>
      <c r="D3" s="16" t="s">
        <v>107</v>
      </c>
      <c r="E3" s="17">
        <v>6345</v>
      </c>
      <c r="F3" s="18">
        <v>29066</v>
      </c>
      <c r="G3" s="18">
        <v>29472</v>
      </c>
      <c r="H3" s="50">
        <f t="shared" ref="H3:H66" ca="1" si="0">YEARFRAC(G3,TODAY())</f>
        <v>44.758333333333333</v>
      </c>
    </row>
    <row r="4" spans="1:10" x14ac:dyDescent="0.25">
      <c r="A4" s="16" t="s">
        <v>124</v>
      </c>
      <c r="B4" s="16" t="s">
        <v>125</v>
      </c>
      <c r="C4" s="16" t="s">
        <v>126</v>
      </c>
      <c r="D4" s="16" t="s">
        <v>109</v>
      </c>
      <c r="E4" s="17">
        <v>6273</v>
      </c>
      <c r="F4" s="18">
        <v>29863</v>
      </c>
      <c r="G4" s="18">
        <v>29654</v>
      </c>
      <c r="H4" s="50">
        <f t="shared" ca="1" si="0"/>
        <v>44.255555555555553</v>
      </c>
      <c r="J4" t="s">
        <v>345</v>
      </c>
    </row>
    <row r="5" spans="1:10" hidden="1" x14ac:dyDescent="0.25">
      <c r="A5" s="16" t="s">
        <v>127</v>
      </c>
      <c r="B5" s="16" t="s">
        <v>128</v>
      </c>
      <c r="C5" s="16" t="s">
        <v>126</v>
      </c>
      <c r="D5" s="16" t="s">
        <v>108</v>
      </c>
      <c r="E5" s="17">
        <v>3996</v>
      </c>
      <c r="F5" s="18">
        <v>32072</v>
      </c>
      <c r="G5" s="18">
        <v>31143</v>
      </c>
      <c r="H5" s="50">
        <f t="shared" ca="1" si="0"/>
        <v>40.180555555555557</v>
      </c>
      <c r="J5" t="s">
        <v>344</v>
      </c>
    </row>
    <row r="6" spans="1:10" hidden="1" x14ac:dyDescent="0.25">
      <c r="A6" s="16" t="s">
        <v>129</v>
      </c>
      <c r="B6" s="16" t="s">
        <v>130</v>
      </c>
      <c r="C6" s="16" t="s">
        <v>123</v>
      </c>
      <c r="D6" s="16" t="s">
        <v>107</v>
      </c>
      <c r="E6" s="17">
        <v>4144</v>
      </c>
      <c r="F6" s="18">
        <v>31538</v>
      </c>
      <c r="G6" s="18">
        <v>32361</v>
      </c>
      <c r="H6" s="50">
        <f t="shared" ca="1" si="0"/>
        <v>36.847222222222221</v>
      </c>
      <c r="J6" t="s">
        <v>343</v>
      </c>
    </row>
    <row r="7" spans="1:10" hidden="1" x14ac:dyDescent="0.25">
      <c r="A7" s="16" t="s">
        <v>131</v>
      </c>
      <c r="B7" s="16" t="s">
        <v>132</v>
      </c>
      <c r="C7" s="16" t="s">
        <v>133</v>
      </c>
      <c r="D7" s="16" t="s">
        <v>109</v>
      </c>
      <c r="E7" s="17">
        <v>2871</v>
      </c>
      <c r="F7" s="18">
        <v>32671</v>
      </c>
      <c r="G7" s="18">
        <v>32667</v>
      </c>
      <c r="H7" s="50">
        <f t="shared" ca="1" si="0"/>
        <v>36.008333333333333</v>
      </c>
    </row>
    <row r="8" spans="1:10" hidden="1" x14ac:dyDescent="0.25">
      <c r="A8" s="16" t="s">
        <v>134</v>
      </c>
      <c r="B8" s="16" t="s">
        <v>130</v>
      </c>
      <c r="C8" s="16" t="s">
        <v>123</v>
      </c>
      <c r="D8" s="16" t="s">
        <v>109</v>
      </c>
      <c r="E8" s="17">
        <v>4052</v>
      </c>
      <c r="F8" s="18">
        <v>30689</v>
      </c>
      <c r="G8" s="18">
        <v>32671</v>
      </c>
      <c r="H8" s="50">
        <f t="shared" ca="1" si="0"/>
        <v>35.99722222222222</v>
      </c>
    </row>
    <row r="9" spans="1:10" hidden="1" x14ac:dyDescent="0.25">
      <c r="A9" s="16" t="s">
        <v>135</v>
      </c>
      <c r="B9" s="16" t="s">
        <v>136</v>
      </c>
      <c r="C9" s="16" t="s">
        <v>126</v>
      </c>
      <c r="D9" s="16" t="s">
        <v>107</v>
      </c>
      <c r="E9" s="17">
        <v>3778</v>
      </c>
      <c r="F9" s="18">
        <v>29871</v>
      </c>
      <c r="G9" s="18">
        <v>33295</v>
      </c>
      <c r="H9" s="50">
        <f t="shared" ca="1" si="0"/>
        <v>34.291666666666664</v>
      </c>
    </row>
    <row r="10" spans="1:10" x14ac:dyDescent="0.25">
      <c r="A10" s="16" t="s">
        <v>137</v>
      </c>
      <c r="B10" s="16" t="s">
        <v>125</v>
      </c>
      <c r="C10" s="16" t="s">
        <v>126</v>
      </c>
      <c r="D10" s="16" t="s">
        <v>107</v>
      </c>
      <c r="E10" s="17">
        <v>5825</v>
      </c>
      <c r="F10" s="18">
        <v>28523</v>
      </c>
      <c r="G10" s="18">
        <v>34487</v>
      </c>
      <c r="H10" s="50">
        <f t="shared" ca="1" si="0"/>
        <v>31.024999999999999</v>
      </c>
    </row>
    <row r="11" spans="1:10" hidden="1" x14ac:dyDescent="0.25">
      <c r="A11" s="16" t="s">
        <v>138</v>
      </c>
      <c r="B11" s="16" t="s">
        <v>128</v>
      </c>
      <c r="C11" s="16" t="s">
        <v>126</v>
      </c>
      <c r="D11" s="16" t="s">
        <v>107</v>
      </c>
      <c r="E11" s="17">
        <v>3496</v>
      </c>
      <c r="F11" s="18">
        <v>30054</v>
      </c>
      <c r="G11" s="18">
        <v>33864</v>
      </c>
      <c r="H11" s="50">
        <f t="shared" ca="1" si="0"/>
        <v>32.733333333333334</v>
      </c>
    </row>
    <row r="12" spans="1:10" hidden="1" x14ac:dyDescent="0.25">
      <c r="A12" s="16" t="s">
        <v>139</v>
      </c>
      <c r="B12" s="16" t="s">
        <v>140</v>
      </c>
      <c r="C12" s="16" t="s">
        <v>119</v>
      </c>
      <c r="D12" s="16" t="s">
        <v>108</v>
      </c>
      <c r="E12" s="17">
        <v>3949</v>
      </c>
      <c r="F12" s="18">
        <v>30046</v>
      </c>
      <c r="G12" s="18">
        <v>33509</v>
      </c>
      <c r="H12" s="50">
        <f t="shared" ca="1" si="0"/>
        <v>33.702777777777776</v>
      </c>
    </row>
    <row r="13" spans="1:10" hidden="1" x14ac:dyDescent="0.25">
      <c r="A13" s="16" t="s">
        <v>141</v>
      </c>
      <c r="B13" s="16" t="s">
        <v>128</v>
      </c>
      <c r="C13" s="16" t="s">
        <v>126</v>
      </c>
      <c r="D13" s="16" t="s">
        <v>108</v>
      </c>
      <c r="E13" s="17">
        <v>3496</v>
      </c>
      <c r="F13" s="18">
        <v>32612</v>
      </c>
      <c r="G13" s="18">
        <v>29861</v>
      </c>
      <c r="H13" s="50">
        <f t="shared" ca="1" si="0"/>
        <v>43.69166666666667</v>
      </c>
    </row>
    <row r="14" spans="1:10" hidden="1" x14ac:dyDescent="0.25">
      <c r="A14" s="16" t="s">
        <v>142</v>
      </c>
      <c r="B14" s="16" t="s">
        <v>143</v>
      </c>
      <c r="C14" s="16" t="s">
        <v>144</v>
      </c>
      <c r="D14" s="16" t="s">
        <v>108</v>
      </c>
      <c r="E14" s="17">
        <v>3884</v>
      </c>
      <c r="F14" s="18">
        <v>32445</v>
      </c>
      <c r="G14" s="18">
        <v>33944</v>
      </c>
      <c r="H14" s="50">
        <f t="shared" ca="1" si="0"/>
        <v>32.513888888888886</v>
      </c>
    </row>
    <row r="15" spans="1:10" hidden="1" x14ac:dyDescent="0.25">
      <c r="A15" s="16" t="s">
        <v>145</v>
      </c>
      <c r="B15" s="16" t="s">
        <v>136</v>
      </c>
      <c r="C15" s="16" t="s">
        <v>126</v>
      </c>
      <c r="D15" s="16" t="s">
        <v>108</v>
      </c>
      <c r="E15" s="17">
        <v>3508</v>
      </c>
      <c r="F15" s="18">
        <v>28531</v>
      </c>
      <c r="G15" s="18">
        <v>34476</v>
      </c>
      <c r="H15" s="50">
        <f t="shared" ca="1" si="0"/>
        <v>31.052777777777777</v>
      </c>
    </row>
    <row r="16" spans="1:10" x14ac:dyDescent="0.25">
      <c r="A16" s="16" t="s">
        <v>184</v>
      </c>
      <c r="B16" s="16" t="s">
        <v>165</v>
      </c>
      <c r="C16" s="16" t="s">
        <v>123</v>
      </c>
      <c r="D16" s="16" t="s">
        <v>108</v>
      </c>
      <c r="E16" s="17">
        <v>4800</v>
      </c>
      <c r="F16" s="18">
        <v>31751</v>
      </c>
      <c r="G16" s="18">
        <v>22336</v>
      </c>
      <c r="H16" s="50">
        <f t="shared" ca="1" si="0"/>
        <v>64.297222222222217</v>
      </c>
      <c r="J16" t="s">
        <v>405</v>
      </c>
    </row>
    <row r="17" spans="1:8" hidden="1" x14ac:dyDescent="0.25">
      <c r="A17" s="16" t="s">
        <v>148</v>
      </c>
      <c r="B17" s="16" t="s">
        <v>149</v>
      </c>
      <c r="C17" s="16" t="s">
        <v>123</v>
      </c>
      <c r="D17" s="16" t="s">
        <v>108</v>
      </c>
      <c r="E17" s="17">
        <v>2453</v>
      </c>
      <c r="F17" s="18">
        <v>30939</v>
      </c>
      <c r="G17" s="18">
        <v>30919</v>
      </c>
      <c r="H17" s="50">
        <f t="shared" ca="1" si="0"/>
        <v>40.794444444444444</v>
      </c>
    </row>
    <row r="18" spans="1:8" hidden="1" x14ac:dyDescent="0.25">
      <c r="A18" s="16" t="s">
        <v>150</v>
      </c>
      <c r="B18" s="16" t="s">
        <v>147</v>
      </c>
      <c r="C18" s="16" t="s">
        <v>123</v>
      </c>
      <c r="D18" s="16" t="s">
        <v>109</v>
      </c>
      <c r="E18" s="17">
        <v>3501</v>
      </c>
      <c r="F18" s="18">
        <v>30931</v>
      </c>
      <c r="G18" s="18">
        <v>36774</v>
      </c>
      <c r="H18" s="50">
        <f t="shared" ca="1" si="0"/>
        <v>24.766666666666666</v>
      </c>
    </row>
    <row r="19" spans="1:8" x14ac:dyDescent="0.25">
      <c r="A19" s="16" t="s">
        <v>146</v>
      </c>
      <c r="B19" s="16" t="s">
        <v>147</v>
      </c>
      <c r="C19" s="16" t="s">
        <v>123</v>
      </c>
      <c r="D19" s="16" t="s">
        <v>107</v>
      </c>
      <c r="E19" s="17">
        <v>4758</v>
      </c>
      <c r="F19" s="18">
        <v>30967</v>
      </c>
      <c r="G19" s="18">
        <v>32889</v>
      </c>
      <c r="H19" s="50">
        <f t="shared" ca="1" si="0"/>
        <v>35.402777777777779</v>
      </c>
    </row>
    <row r="20" spans="1:8" x14ac:dyDescent="0.25">
      <c r="A20" s="16" t="s">
        <v>151</v>
      </c>
      <c r="B20" s="16" t="s">
        <v>152</v>
      </c>
      <c r="C20" s="16" t="s">
        <v>123</v>
      </c>
      <c r="D20" s="16" t="s">
        <v>109</v>
      </c>
      <c r="E20" s="17">
        <v>4756</v>
      </c>
      <c r="F20" s="18">
        <v>30892</v>
      </c>
      <c r="G20" s="18">
        <v>31234</v>
      </c>
      <c r="H20" s="50">
        <f t="shared" ca="1" si="0"/>
        <v>39.930555555555557</v>
      </c>
    </row>
    <row r="21" spans="1:8" hidden="1" x14ac:dyDescent="0.25">
      <c r="A21" s="16" t="s">
        <v>154</v>
      </c>
      <c r="B21" s="16" t="s">
        <v>155</v>
      </c>
      <c r="C21" s="16" t="s">
        <v>123</v>
      </c>
      <c r="D21" s="16" t="s">
        <v>108</v>
      </c>
      <c r="E21" s="17">
        <v>3370</v>
      </c>
      <c r="F21" s="18">
        <v>32205</v>
      </c>
      <c r="G21" s="18">
        <v>31238</v>
      </c>
      <c r="H21" s="50">
        <f t="shared" ca="1" si="0"/>
        <v>39.919444444444444</v>
      </c>
    </row>
    <row r="22" spans="1:8" hidden="1" x14ac:dyDescent="0.25">
      <c r="A22" s="16" t="s">
        <v>156</v>
      </c>
      <c r="B22" s="16" t="s">
        <v>130</v>
      </c>
      <c r="C22" s="16" t="s">
        <v>123</v>
      </c>
      <c r="D22" s="16" t="s">
        <v>108</v>
      </c>
      <c r="E22" s="17">
        <v>3499</v>
      </c>
      <c r="F22" s="18">
        <v>31421</v>
      </c>
      <c r="G22" s="18">
        <v>34970</v>
      </c>
      <c r="H22" s="50">
        <f t="shared" ca="1" si="0"/>
        <v>29.702777777777779</v>
      </c>
    </row>
    <row r="23" spans="1:8" hidden="1" x14ac:dyDescent="0.25">
      <c r="A23" s="16" t="s">
        <v>157</v>
      </c>
      <c r="B23" s="16" t="s">
        <v>155</v>
      </c>
      <c r="C23" s="16" t="s">
        <v>123</v>
      </c>
      <c r="D23" s="16" t="s">
        <v>107</v>
      </c>
      <c r="E23" s="17">
        <v>4370</v>
      </c>
      <c r="F23" s="18">
        <v>31965</v>
      </c>
      <c r="G23" s="18">
        <v>34280</v>
      </c>
      <c r="H23" s="50">
        <f t="shared" ca="1" si="0"/>
        <v>31.594444444444445</v>
      </c>
    </row>
    <row r="24" spans="1:8" hidden="1" x14ac:dyDescent="0.25">
      <c r="A24" s="16" t="s">
        <v>158</v>
      </c>
      <c r="B24" s="16" t="s">
        <v>159</v>
      </c>
      <c r="C24" s="16" t="s">
        <v>119</v>
      </c>
      <c r="D24" s="16" t="s">
        <v>108</v>
      </c>
      <c r="E24" s="17">
        <v>2147</v>
      </c>
      <c r="F24" s="18">
        <v>31042</v>
      </c>
      <c r="G24" s="18">
        <v>35169</v>
      </c>
      <c r="H24" s="50">
        <f t="shared" ca="1" si="0"/>
        <v>29.158333333333335</v>
      </c>
    </row>
    <row r="25" spans="1:8" hidden="1" x14ac:dyDescent="0.25">
      <c r="A25" s="16" t="s">
        <v>160</v>
      </c>
      <c r="B25" s="16" t="s">
        <v>128</v>
      </c>
      <c r="C25" s="16" t="s">
        <v>126</v>
      </c>
      <c r="D25" s="16" t="s">
        <v>108</v>
      </c>
      <c r="E25" s="17">
        <v>3080</v>
      </c>
      <c r="F25" s="18">
        <v>32101</v>
      </c>
      <c r="G25" s="18">
        <v>35173</v>
      </c>
      <c r="H25" s="50">
        <f t="shared" ca="1" si="0"/>
        <v>29.147222222222222</v>
      </c>
    </row>
    <row r="26" spans="1:8" hidden="1" x14ac:dyDescent="0.25">
      <c r="A26" s="16" t="s">
        <v>161</v>
      </c>
      <c r="B26" s="16" t="s">
        <v>162</v>
      </c>
      <c r="C26" s="16" t="s">
        <v>144</v>
      </c>
      <c r="D26" s="16" t="s">
        <v>107</v>
      </c>
      <c r="E26" s="17">
        <v>3567</v>
      </c>
      <c r="F26" s="18">
        <v>28368</v>
      </c>
      <c r="G26" s="18">
        <v>35873</v>
      </c>
      <c r="H26" s="50">
        <f t="shared" ca="1" si="0"/>
        <v>27.227777777777778</v>
      </c>
    </row>
    <row r="27" spans="1:8" hidden="1" x14ac:dyDescent="0.25">
      <c r="A27" s="16" t="s">
        <v>163</v>
      </c>
      <c r="B27" s="16" t="s">
        <v>130</v>
      </c>
      <c r="C27" s="16" t="s">
        <v>123</v>
      </c>
      <c r="D27" s="16" t="s">
        <v>108</v>
      </c>
      <c r="E27" s="17">
        <v>3223</v>
      </c>
      <c r="F27" s="18">
        <v>31728</v>
      </c>
      <c r="G27" s="18">
        <v>35877</v>
      </c>
      <c r="H27" s="50">
        <f t="shared" ca="1" si="0"/>
        <v>27.216666666666665</v>
      </c>
    </row>
    <row r="28" spans="1:8" hidden="1" x14ac:dyDescent="0.25">
      <c r="A28" s="16" t="s">
        <v>164</v>
      </c>
      <c r="B28" s="16" t="s">
        <v>165</v>
      </c>
      <c r="C28" s="16" t="s">
        <v>123</v>
      </c>
      <c r="D28" s="16" t="s">
        <v>108</v>
      </c>
      <c r="E28" s="17">
        <v>1864</v>
      </c>
      <c r="F28" s="18">
        <v>30212</v>
      </c>
      <c r="G28" s="18">
        <v>35998</v>
      </c>
      <c r="H28" s="50">
        <f t="shared" ca="1" si="0"/>
        <v>26.886111111111113</v>
      </c>
    </row>
    <row r="29" spans="1:8" hidden="1" x14ac:dyDescent="0.25">
      <c r="A29" s="16" t="s">
        <v>166</v>
      </c>
      <c r="B29" s="16" t="s">
        <v>162</v>
      </c>
      <c r="C29" s="16" t="s">
        <v>144</v>
      </c>
      <c r="D29" s="16" t="s">
        <v>108</v>
      </c>
      <c r="E29" s="17">
        <v>3567</v>
      </c>
      <c r="F29" s="18">
        <v>30204</v>
      </c>
      <c r="G29" s="18">
        <v>36009</v>
      </c>
      <c r="H29" s="50">
        <f t="shared" ca="1" si="0"/>
        <v>26.858333333333334</v>
      </c>
    </row>
    <row r="30" spans="1:8" x14ac:dyDescent="0.25">
      <c r="A30" s="16" t="s">
        <v>209</v>
      </c>
      <c r="B30" s="16" t="s">
        <v>147</v>
      </c>
      <c r="C30" s="16" t="s">
        <v>123</v>
      </c>
      <c r="D30" s="16" t="s">
        <v>108</v>
      </c>
      <c r="E30" s="17">
        <v>4750</v>
      </c>
      <c r="F30" s="18">
        <v>31438</v>
      </c>
      <c r="G30" s="18">
        <v>23713</v>
      </c>
      <c r="H30" s="50">
        <f t="shared" ca="1" si="0"/>
        <v>60.524999999999999</v>
      </c>
    </row>
    <row r="31" spans="1:8" hidden="1" x14ac:dyDescent="0.25">
      <c r="A31" s="16" t="s">
        <v>168</v>
      </c>
      <c r="B31" s="16" t="s">
        <v>159</v>
      </c>
      <c r="C31" s="16" t="s">
        <v>119</v>
      </c>
      <c r="D31" s="16" t="s">
        <v>109</v>
      </c>
      <c r="E31" s="17">
        <v>1973</v>
      </c>
      <c r="F31" s="18">
        <v>30386</v>
      </c>
      <c r="G31" s="18">
        <v>36288</v>
      </c>
      <c r="H31" s="50">
        <f t="shared" ca="1" si="0"/>
        <v>26.091666666666665</v>
      </c>
    </row>
    <row r="32" spans="1:8" hidden="1" x14ac:dyDescent="0.25">
      <c r="A32" s="16" t="s">
        <v>169</v>
      </c>
      <c r="B32" s="16" t="s">
        <v>162</v>
      </c>
      <c r="C32" s="16" t="s">
        <v>144</v>
      </c>
      <c r="D32" s="16" t="s">
        <v>109</v>
      </c>
      <c r="E32" s="17">
        <v>3465</v>
      </c>
      <c r="F32" s="18">
        <v>30378</v>
      </c>
      <c r="G32" s="18">
        <v>36299</v>
      </c>
      <c r="H32" s="50">
        <f t="shared" ca="1" si="0"/>
        <v>26.06111111111111</v>
      </c>
    </row>
    <row r="33" spans="1:8" hidden="1" x14ac:dyDescent="0.25">
      <c r="A33" s="16" t="s">
        <v>170</v>
      </c>
      <c r="B33" s="16" t="s">
        <v>143</v>
      </c>
      <c r="C33" s="16" t="s">
        <v>144</v>
      </c>
      <c r="D33" s="16" t="s">
        <v>108</v>
      </c>
      <c r="E33" s="17">
        <v>3221</v>
      </c>
      <c r="F33" s="18">
        <v>32108</v>
      </c>
      <c r="G33" s="18">
        <v>33016</v>
      </c>
      <c r="H33" s="50">
        <f t="shared" ca="1" si="0"/>
        <v>35.049999999999997</v>
      </c>
    </row>
    <row r="34" spans="1:8" hidden="1" x14ac:dyDescent="0.25">
      <c r="A34" s="16" t="s">
        <v>171</v>
      </c>
      <c r="B34" s="16" t="s">
        <v>118</v>
      </c>
      <c r="C34" s="16" t="s">
        <v>119</v>
      </c>
      <c r="D34" s="16" t="s">
        <v>109</v>
      </c>
      <c r="E34" s="17">
        <v>4369</v>
      </c>
      <c r="F34" s="18">
        <v>30817</v>
      </c>
      <c r="G34" s="18">
        <v>33868</v>
      </c>
      <c r="H34" s="50">
        <f t="shared" ca="1" si="0"/>
        <v>32.722222222222221</v>
      </c>
    </row>
    <row r="35" spans="1:8" hidden="1" x14ac:dyDescent="0.25">
      <c r="A35" s="16" t="s">
        <v>172</v>
      </c>
      <c r="B35" s="16" t="s">
        <v>173</v>
      </c>
      <c r="C35" s="16" t="s">
        <v>174</v>
      </c>
      <c r="D35" s="16" t="s">
        <v>109</v>
      </c>
      <c r="E35" s="17">
        <v>2285</v>
      </c>
      <c r="F35" s="18">
        <v>30975</v>
      </c>
      <c r="G35" s="18">
        <v>32878</v>
      </c>
      <c r="H35" s="50">
        <f t="shared" ca="1" si="0"/>
        <v>35.43333333333333</v>
      </c>
    </row>
    <row r="36" spans="1:8" hidden="1" x14ac:dyDescent="0.25">
      <c r="A36" s="16" t="s">
        <v>175</v>
      </c>
      <c r="B36" s="16" t="s">
        <v>149</v>
      </c>
      <c r="C36" s="16" t="s">
        <v>123</v>
      </c>
      <c r="D36" s="16" t="s">
        <v>108</v>
      </c>
      <c r="E36" s="17">
        <v>2076</v>
      </c>
      <c r="F36" s="18">
        <v>32339</v>
      </c>
      <c r="G36" s="18">
        <v>33013</v>
      </c>
      <c r="H36" s="50">
        <f t="shared" ca="1" si="0"/>
        <v>35.05833333333333</v>
      </c>
    </row>
    <row r="37" spans="1:8" hidden="1" x14ac:dyDescent="0.25">
      <c r="A37" s="16" t="s">
        <v>176</v>
      </c>
      <c r="B37" s="16" t="s">
        <v>132</v>
      </c>
      <c r="C37" s="16" t="s">
        <v>133</v>
      </c>
      <c r="D37" s="16" t="s">
        <v>109</v>
      </c>
      <c r="E37" s="17">
        <v>2153</v>
      </c>
      <c r="F37" s="18">
        <v>32331</v>
      </c>
      <c r="G37" s="18">
        <v>34120</v>
      </c>
      <c r="H37" s="50">
        <f t="shared" ca="1" si="0"/>
        <v>32.030555555555559</v>
      </c>
    </row>
    <row r="38" spans="1:8" hidden="1" x14ac:dyDescent="0.25">
      <c r="A38" s="16" t="s">
        <v>137</v>
      </c>
      <c r="B38" s="16" t="s">
        <v>130</v>
      </c>
      <c r="C38" s="16" t="s">
        <v>123</v>
      </c>
      <c r="D38" s="16" t="s">
        <v>109</v>
      </c>
      <c r="E38" s="17">
        <v>3039</v>
      </c>
      <c r="F38" s="18">
        <v>31452</v>
      </c>
      <c r="G38" s="18">
        <v>33028</v>
      </c>
      <c r="H38" s="50">
        <f t="shared" ca="1" si="0"/>
        <v>35.019444444444446</v>
      </c>
    </row>
    <row r="39" spans="1:8" hidden="1" x14ac:dyDescent="0.25">
      <c r="A39" s="16" t="s">
        <v>177</v>
      </c>
      <c r="B39" s="16" t="s">
        <v>136</v>
      </c>
      <c r="C39" s="16" t="s">
        <v>126</v>
      </c>
      <c r="D39" s="16" t="s">
        <v>108</v>
      </c>
      <c r="E39" s="17">
        <v>2969</v>
      </c>
      <c r="F39" s="18">
        <v>33094</v>
      </c>
      <c r="G39" s="18">
        <v>22074</v>
      </c>
      <c r="H39" s="50">
        <f t="shared" ca="1" si="0"/>
        <v>65.011111111111106</v>
      </c>
    </row>
    <row r="40" spans="1:8" hidden="1" x14ac:dyDescent="0.25">
      <c r="A40" s="16" t="s">
        <v>178</v>
      </c>
      <c r="B40" s="16" t="s">
        <v>179</v>
      </c>
      <c r="C40" s="16" t="s">
        <v>123</v>
      </c>
      <c r="D40" s="16" t="s">
        <v>107</v>
      </c>
      <c r="E40" s="17">
        <v>1983</v>
      </c>
      <c r="F40" s="18">
        <v>32356</v>
      </c>
      <c r="G40" s="18">
        <v>22085</v>
      </c>
      <c r="H40" s="50">
        <f t="shared" ca="1" si="0"/>
        <v>64.980555555555554</v>
      </c>
    </row>
    <row r="41" spans="1:8" hidden="1" x14ac:dyDescent="0.25">
      <c r="A41" s="16" t="s">
        <v>180</v>
      </c>
      <c r="B41" s="16" t="s">
        <v>149</v>
      </c>
      <c r="C41" s="16" t="s">
        <v>144</v>
      </c>
      <c r="D41" s="16" t="s">
        <v>108</v>
      </c>
      <c r="E41" s="17">
        <v>2076</v>
      </c>
      <c r="F41" s="18">
        <v>32346</v>
      </c>
      <c r="G41" s="18">
        <v>22089</v>
      </c>
      <c r="H41" s="50">
        <f t="shared" ca="1" si="0"/>
        <v>64.969444444444449</v>
      </c>
    </row>
    <row r="42" spans="1:8" hidden="1" x14ac:dyDescent="0.25">
      <c r="A42" s="16" t="s">
        <v>181</v>
      </c>
      <c r="B42" s="16" t="s">
        <v>159</v>
      </c>
      <c r="C42" s="16" t="s">
        <v>126</v>
      </c>
      <c r="D42" s="16" t="s">
        <v>108</v>
      </c>
      <c r="E42" s="17">
        <v>1915</v>
      </c>
      <c r="F42" s="18">
        <v>32779</v>
      </c>
      <c r="G42" s="18">
        <v>22161</v>
      </c>
      <c r="H42" s="50">
        <f t="shared" ca="1" si="0"/>
        <v>64.775000000000006</v>
      </c>
    </row>
    <row r="43" spans="1:8" hidden="1" x14ac:dyDescent="0.25">
      <c r="A43" s="16" t="s">
        <v>182</v>
      </c>
      <c r="B43" s="16" t="s">
        <v>179</v>
      </c>
      <c r="C43" s="16" t="s">
        <v>126</v>
      </c>
      <c r="D43" s="16" t="s">
        <v>108</v>
      </c>
      <c r="E43" s="17">
        <v>1983</v>
      </c>
      <c r="F43" s="18">
        <v>32771</v>
      </c>
      <c r="G43" s="18">
        <v>22172</v>
      </c>
      <c r="H43" s="50">
        <f t="shared" ca="1" si="0"/>
        <v>64.74444444444444</v>
      </c>
    </row>
    <row r="44" spans="1:8" hidden="1" x14ac:dyDescent="0.25">
      <c r="A44" s="16" t="s">
        <v>183</v>
      </c>
      <c r="B44" s="16" t="s">
        <v>155</v>
      </c>
      <c r="C44" s="16" t="s">
        <v>123</v>
      </c>
      <c r="D44" s="16" t="s">
        <v>109</v>
      </c>
      <c r="E44" s="17">
        <v>2927</v>
      </c>
      <c r="F44" s="18">
        <v>33490</v>
      </c>
      <c r="G44" s="18">
        <v>22202</v>
      </c>
      <c r="H44" s="50">
        <f t="shared" ca="1" si="0"/>
        <v>64.661111111111111</v>
      </c>
    </row>
    <row r="45" spans="1:8" x14ac:dyDescent="0.25">
      <c r="A45" s="16" t="s">
        <v>153</v>
      </c>
      <c r="B45" s="16" t="s">
        <v>118</v>
      </c>
      <c r="C45" s="16" t="s">
        <v>119</v>
      </c>
      <c r="D45" s="16" t="s">
        <v>108</v>
      </c>
      <c r="E45" s="17">
        <v>4743</v>
      </c>
      <c r="F45" s="18">
        <v>28533</v>
      </c>
      <c r="G45" s="18">
        <v>20235</v>
      </c>
      <c r="H45" s="50">
        <f t="shared" ca="1" si="0"/>
        <v>70.041666666666671</v>
      </c>
    </row>
    <row r="46" spans="1:8" hidden="1" x14ac:dyDescent="0.25">
      <c r="A46" s="16" t="s">
        <v>164</v>
      </c>
      <c r="B46" s="16" t="s">
        <v>136</v>
      </c>
      <c r="C46" s="16" t="s">
        <v>126</v>
      </c>
      <c r="D46" s="16" t="s">
        <v>109</v>
      </c>
      <c r="E46" s="17">
        <v>2879</v>
      </c>
      <c r="F46" s="18">
        <v>31743</v>
      </c>
      <c r="G46" s="18">
        <v>22347</v>
      </c>
      <c r="H46" s="50">
        <f t="shared" ca="1" si="0"/>
        <v>64.261111111111106</v>
      </c>
    </row>
    <row r="47" spans="1:8" hidden="1" x14ac:dyDescent="0.25">
      <c r="A47" s="16" t="s">
        <v>185</v>
      </c>
      <c r="B47" s="16" t="s">
        <v>173</v>
      </c>
      <c r="C47" s="16" t="s">
        <v>174</v>
      </c>
      <c r="D47" s="16" t="s">
        <v>109</v>
      </c>
      <c r="E47" s="17">
        <v>2216</v>
      </c>
      <c r="F47" s="18">
        <v>32040</v>
      </c>
      <c r="G47" s="18">
        <v>22554</v>
      </c>
      <c r="H47" s="50">
        <f t="shared" ca="1" si="0"/>
        <v>63.697222222222223</v>
      </c>
    </row>
    <row r="48" spans="1:8" hidden="1" x14ac:dyDescent="0.25">
      <c r="A48" s="16" t="s">
        <v>186</v>
      </c>
      <c r="B48" s="16" t="s">
        <v>147</v>
      </c>
      <c r="C48" s="16" t="s">
        <v>123</v>
      </c>
      <c r="D48" s="16" t="s">
        <v>108</v>
      </c>
      <c r="E48" s="17">
        <v>2872</v>
      </c>
      <c r="F48" s="18">
        <v>32032</v>
      </c>
      <c r="G48" s="18">
        <v>22565</v>
      </c>
      <c r="H48" s="50">
        <f t="shared" ca="1" si="0"/>
        <v>63.666666666666664</v>
      </c>
    </row>
    <row r="49" spans="1:8" hidden="1" x14ac:dyDescent="0.25">
      <c r="A49" s="16" t="s">
        <v>187</v>
      </c>
      <c r="B49" s="16" t="s">
        <v>159</v>
      </c>
      <c r="C49" s="16" t="s">
        <v>123</v>
      </c>
      <c r="D49" s="16" t="s">
        <v>107</v>
      </c>
      <c r="E49" s="17">
        <v>1798</v>
      </c>
      <c r="F49" s="18">
        <v>32979</v>
      </c>
      <c r="G49" s="18">
        <v>22890</v>
      </c>
      <c r="H49" s="50">
        <f t="shared" ca="1" si="0"/>
        <v>62.777777777777779</v>
      </c>
    </row>
    <row r="50" spans="1:8" hidden="1" x14ac:dyDescent="0.25">
      <c r="A50" s="16" t="s">
        <v>188</v>
      </c>
      <c r="B50" s="16" t="s">
        <v>179</v>
      </c>
      <c r="C50" s="16" t="s">
        <v>144</v>
      </c>
      <c r="D50" s="16" t="s">
        <v>107</v>
      </c>
      <c r="E50" s="17">
        <v>1862</v>
      </c>
      <c r="F50" s="18">
        <v>32971</v>
      </c>
      <c r="G50" s="18">
        <v>22901</v>
      </c>
      <c r="H50" s="50">
        <f t="shared" ca="1" si="0"/>
        <v>62.74722222222222</v>
      </c>
    </row>
    <row r="51" spans="1:8" hidden="1" x14ac:dyDescent="0.25">
      <c r="A51" s="16" t="s">
        <v>171</v>
      </c>
      <c r="B51" s="16" t="s">
        <v>173</v>
      </c>
      <c r="C51" s="16" t="s">
        <v>174</v>
      </c>
      <c r="D51" s="16" t="s">
        <v>108</v>
      </c>
      <c r="E51" s="17">
        <v>2147</v>
      </c>
      <c r="F51" s="18">
        <v>30028</v>
      </c>
      <c r="G51" s="18">
        <v>22942</v>
      </c>
      <c r="H51" s="50">
        <f t="shared" ca="1" si="0"/>
        <v>62.633333333333333</v>
      </c>
    </row>
    <row r="52" spans="1:8" hidden="1" x14ac:dyDescent="0.25">
      <c r="A52" s="16" t="s">
        <v>189</v>
      </c>
      <c r="B52" s="16" t="s">
        <v>159</v>
      </c>
      <c r="C52" s="16" t="s">
        <v>123</v>
      </c>
      <c r="D52" s="16" t="s">
        <v>109</v>
      </c>
      <c r="E52" s="17">
        <v>1798</v>
      </c>
      <c r="F52" s="18">
        <v>31217</v>
      </c>
      <c r="G52" s="18">
        <v>22943</v>
      </c>
      <c r="H52" s="50">
        <f t="shared" ca="1" si="0"/>
        <v>62.630555555555553</v>
      </c>
    </row>
    <row r="53" spans="1:8" hidden="1" x14ac:dyDescent="0.25">
      <c r="A53" s="16" t="s">
        <v>190</v>
      </c>
      <c r="B53" s="16" t="s">
        <v>122</v>
      </c>
      <c r="C53" s="16" t="s">
        <v>123</v>
      </c>
      <c r="D53" s="16" t="s">
        <v>108</v>
      </c>
      <c r="E53" s="17">
        <v>3711</v>
      </c>
      <c r="F53" s="18">
        <v>30020</v>
      </c>
      <c r="G53" s="18">
        <v>22953</v>
      </c>
      <c r="H53" s="50">
        <f t="shared" ca="1" si="0"/>
        <v>62.605555555555554</v>
      </c>
    </row>
    <row r="54" spans="1:8" hidden="1" x14ac:dyDescent="0.25">
      <c r="A54" s="16" t="s">
        <v>191</v>
      </c>
      <c r="B54" s="16" t="s">
        <v>147</v>
      </c>
      <c r="C54" s="16" t="s">
        <v>123</v>
      </c>
      <c r="D54" s="16" t="s">
        <v>107</v>
      </c>
      <c r="E54" s="17">
        <v>2783</v>
      </c>
      <c r="F54" s="18">
        <v>31209</v>
      </c>
      <c r="G54" s="18">
        <v>22954</v>
      </c>
      <c r="H54" s="50">
        <f t="shared" ca="1" si="0"/>
        <v>62.602777777777774</v>
      </c>
    </row>
    <row r="55" spans="1:8" hidden="1" x14ac:dyDescent="0.25">
      <c r="A55" s="16" t="s">
        <v>192</v>
      </c>
      <c r="B55" s="16" t="s">
        <v>159</v>
      </c>
      <c r="C55" s="16" t="s">
        <v>126</v>
      </c>
      <c r="D55" s="16" t="s">
        <v>108</v>
      </c>
      <c r="E55" s="17">
        <v>1798</v>
      </c>
      <c r="F55" s="18">
        <v>31503</v>
      </c>
      <c r="G55" s="18">
        <v>22971</v>
      </c>
      <c r="H55" s="50">
        <f t="shared" ca="1" si="0"/>
        <v>62.555555555555557</v>
      </c>
    </row>
    <row r="56" spans="1:8" hidden="1" x14ac:dyDescent="0.25">
      <c r="A56" s="16" t="s">
        <v>131</v>
      </c>
      <c r="B56" s="16" t="s">
        <v>159</v>
      </c>
      <c r="C56" s="16" t="s">
        <v>119</v>
      </c>
      <c r="D56" s="16" t="s">
        <v>108</v>
      </c>
      <c r="E56" s="17">
        <v>1798</v>
      </c>
      <c r="F56" s="18">
        <v>31495</v>
      </c>
      <c r="G56" s="18">
        <v>22982</v>
      </c>
      <c r="H56" s="50">
        <f t="shared" ca="1" si="0"/>
        <v>62.524999999999999</v>
      </c>
    </row>
    <row r="57" spans="1:8" hidden="1" x14ac:dyDescent="0.25">
      <c r="A57" s="16" t="s">
        <v>193</v>
      </c>
      <c r="B57" s="16" t="s">
        <v>136</v>
      </c>
      <c r="C57" s="16" t="s">
        <v>126</v>
      </c>
      <c r="D57" s="16" t="s">
        <v>109</v>
      </c>
      <c r="E57" s="17">
        <v>2789</v>
      </c>
      <c r="F57" s="18">
        <v>31051</v>
      </c>
      <c r="G57" s="18">
        <v>22991</v>
      </c>
      <c r="H57" s="50">
        <f t="shared" ca="1" si="0"/>
        <v>62.5</v>
      </c>
    </row>
    <row r="58" spans="1:8" hidden="1" x14ac:dyDescent="0.25">
      <c r="A58" s="16" t="s">
        <v>194</v>
      </c>
      <c r="B58" s="16" t="s">
        <v>152</v>
      </c>
      <c r="C58" s="16" t="s">
        <v>123</v>
      </c>
      <c r="D58" s="16" t="s">
        <v>107</v>
      </c>
      <c r="E58" s="17">
        <v>4256</v>
      </c>
      <c r="F58" s="18">
        <v>29276</v>
      </c>
      <c r="G58" s="18">
        <v>21790</v>
      </c>
      <c r="H58" s="50">
        <f t="shared" ca="1" si="0"/>
        <v>65.786111111111111</v>
      </c>
    </row>
    <row r="59" spans="1:8" hidden="1" x14ac:dyDescent="0.25">
      <c r="A59" s="16" t="s">
        <v>195</v>
      </c>
      <c r="B59" s="16" t="s">
        <v>196</v>
      </c>
      <c r="C59" s="16" t="s">
        <v>133</v>
      </c>
      <c r="D59" s="16" t="s">
        <v>108</v>
      </c>
      <c r="E59" s="17">
        <v>1713</v>
      </c>
      <c r="F59" s="18">
        <v>31112</v>
      </c>
      <c r="G59" s="18">
        <v>23188</v>
      </c>
      <c r="H59" s="50">
        <f t="shared" ca="1" si="0"/>
        <v>61.958333333333336</v>
      </c>
    </row>
    <row r="60" spans="1:8" hidden="1" x14ac:dyDescent="0.25">
      <c r="A60" s="16" t="s">
        <v>197</v>
      </c>
      <c r="B60" s="16" t="s">
        <v>198</v>
      </c>
      <c r="C60" s="16" t="s">
        <v>123</v>
      </c>
      <c r="D60" s="16" t="s">
        <v>108</v>
      </c>
      <c r="E60" s="17">
        <v>3755</v>
      </c>
      <c r="F60" s="18">
        <v>31104</v>
      </c>
      <c r="G60" s="18">
        <v>23199</v>
      </c>
      <c r="H60" s="50">
        <f t="shared" ca="1" si="0"/>
        <v>61.927777777777777</v>
      </c>
    </row>
    <row r="61" spans="1:8" hidden="1" x14ac:dyDescent="0.25">
      <c r="A61" s="16" t="s">
        <v>199</v>
      </c>
      <c r="B61" s="16" t="s">
        <v>155</v>
      </c>
      <c r="C61" s="16" t="s">
        <v>123</v>
      </c>
      <c r="D61" s="16" t="s">
        <v>108</v>
      </c>
      <c r="E61" s="17">
        <v>2661</v>
      </c>
      <c r="F61" s="18">
        <v>33042</v>
      </c>
      <c r="G61" s="18">
        <v>23203</v>
      </c>
      <c r="H61" s="50">
        <f t="shared" ca="1" si="0"/>
        <v>61.916666666666664</v>
      </c>
    </row>
    <row r="62" spans="1:8" hidden="1" x14ac:dyDescent="0.25">
      <c r="A62" s="16" t="s">
        <v>200</v>
      </c>
      <c r="B62" s="16" t="s">
        <v>159</v>
      </c>
      <c r="C62" s="16" t="s">
        <v>126</v>
      </c>
      <c r="D62" s="16" t="s">
        <v>107</v>
      </c>
      <c r="E62" s="17">
        <v>1740</v>
      </c>
      <c r="F62" s="18">
        <v>32125</v>
      </c>
      <c r="G62" s="18">
        <v>23283</v>
      </c>
      <c r="H62" s="50">
        <f t="shared" ca="1" si="0"/>
        <v>61.7</v>
      </c>
    </row>
    <row r="63" spans="1:8" hidden="1" x14ac:dyDescent="0.25">
      <c r="A63" s="16" t="s">
        <v>201</v>
      </c>
      <c r="B63" s="16" t="s">
        <v>132</v>
      </c>
      <c r="C63" s="16" t="s">
        <v>133</v>
      </c>
      <c r="D63" s="16" t="s">
        <v>108</v>
      </c>
      <c r="E63" s="17">
        <v>1957</v>
      </c>
      <c r="F63" s="18">
        <v>32117</v>
      </c>
      <c r="G63" s="18">
        <v>23294</v>
      </c>
      <c r="H63" s="50">
        <f t="shared" ca="1" si="0"/>
        <v>61.669444444444444</v>
      </c>
    </row>
    <row r="64" spans="1:8" hidden="1" x14ac:dyDescent="0.25">
      <c r="A64" s="16" t="s">
        <v>202</v>
      </c>
      <c r="B64" s="16" t="s">
        <v>155</v>
      </c>
      <c r="C64" s="16" t="s">
        <v>123</v>
      </c>
      <c r="D64" s="16" t="s">
        <v>107</v>
      </c>
      <c r="E64" s="17">
        <v>2661</v>
      </c>
      <c r="F64" s="18">
        <v>32300</v>
      </c>
      <c r="G64" s="18">
        <v>23298</v>
      </c>
      <c r="H64" s="50">
        <f t="shared" ca="1" si="0"/>
        <v>61.658333333333331</v>
      </c>
    </row>
    <row r="65" spans="1:8" hidden="1" x14ac:dyDescent="0.25">
      <c r="A65" s="16" t="s">
        <v>193</v>
      </c>
      <c r="B65" s="16" t="s">
        <v>196</v>
      </c>
      <c r="C65" s="16" t="s">
        <v>133</v>
      </c>
      <c r="D65" s="16" t="s">
        <v>109</v>
      </c>
      <c r="E65" s="17">
        <v>1655</v>
      </c>
      <c r="F65" s="18">
        <v>33688</v>
      </c>
      <c r="G65" s="18">
        <v>23393</v>
      </c>
      <c r="H65" s="50">
        <f t="shared" ca="1" si="0"/>
        <v>61.4</v>
      </c>
    </row>
    <row r="66" spans="1:8" hidden="1" x14ac:dyDescent="0.25">
      <c r="A66" s="16" t="s">
        <v>203</v>
      </c>
      <c r="B66" s="16" t="s">
        <v>179</v>
      </c>
      <c r="C66" s="16" t="s">
        <v>133</v>
      </c>
      <c r="D66" s="16" t="s">
        <v>109</v>
      </c>
      <c r="E66" s="17">
        <v>1742</v>
      </c>
      <c r="F66" s="18">
        <v>33680</v>
      </c>
      <c r="G66" s="18">
        <v>23404</v>
      </c>
      <c r="H66" s="50">
        <f t="shared" ca="1" si="0"/>
        <v>61.369444444444447</v>
      </c>
    </row>
    <row r="67" spans="1:8" hidden="1" x14ac:dyDescent="0.25">
      <c r="A67" s="16" t="s">
        <v>204</v>
      </c>
      <c r="B67" s="16" t="s">
        <v>149</v>
      </c>
      <c r="C67" s="16" t="s">
        <v>123</v>
      </c>
      <c r="D67" s="16" t="s">
        <v>108</v>
      </c>
      <c r="E67" s="17">
        <v>1824</v>
      </c>
      <c r="F67" s="18">
        <v>32561</v>
      </c>
      <c r="G67" s="18">
        <v>23503</v>
      </c>
      <c r="H67" s="50">
        <f t="shared" ref="H67:H115" ca="1" si="1">YEARFRAC(G67,TODAY())</f>
        <v>61.097222222222221</v>
      </c>
    </row>
    <row r="68" spans="1:8" hidden="1" x14ac:dyDescent="0.25">
      <c r="A68" s="16" t="s">
        <v>205</v>
      </c>
      <c r="B68" s="16" t="s">
        <v>132</v>
      </c>
      <c r="C68" s="16" t="s">
        <v>133</v>
      </c>
      <c r="D68" s="16" t="s">
        <v>107</v>
      </c>
      <c r="E68" s="17">
        <v>1892</v>
      </c>
      <c r="F68" s="18">
        <v>32553</v>
      </c>
      <c r="G68" s="18">
        <v>23514</v>
      </c>
      <c r="H68" s="50">
        <f t="shared" ca="1" si="1"/>
        <v>61.06666666666667</v>
      </c>
    </row>
    <row r="69" spans="1:8" hidden="1" x14ac:dyDescent="0.25">
      <c r="A69" s="16" t="s">
        <v>206</v>
      </c>
      <c r="B69" s="16" t="s">
        <v>155</v>
      </c>
      <c r="C69" s="16" t="s">
        <v>123</v>
      </c>
      <c r="D69" s="16" t="s">
        <v>108</v>
      </c>
      <c r="E69" s="17">
        <v>2572</v>
      </c>
      <c r="F69" s="18">
        <v>32639</v>
      </c>
      <c r="G69" s="18">
        <v>23518</v>
      </c>
      <c r="H69" s="50">
        <f t="shared" ca="1" si="1"/>
        <v>61.055555555555557</v>
      </c>
    </row>
    <row r="70" spans="1:8" hidden="1" x14ac:dyDescent="0.25">
      <c r="A70" s="16" t="s">
        <v>131</v>
      </c>
      <c r="B70" s="16" t="s">
        <v>149</v>
      </c>
      <c r="C70" s="16" t="s">
        <v>123</v>
      </c>
      <c r="D70" s="16" t="s">
        <v>109</v>
      </c>
      <c r="E70" s="17">
        <v>1824</v>
      </c>
      <c r="F70" s="18">
        <v>31689</v>
      </c>
      <c r="G70" s="18">
        <v>23683</v>
      </c>
      <c r="H70" s="50">
        <f t="shared" ca="1" si="1"/>
        <v>60.608333333333334</v>
      </c>
    </row>
    <row r="71" spans="1:8" hidden="1" x14ac:dyDescent="0.25">
      <c r="A71" s="16" t="s">
        <v>207</v>
      </c>
      <c r="B71" s="16" t="s">
        <v>136</v>
      </c>
      <c r="C71" s="16" t="s">
        <v>126</v>
      </c>
      <c r="D71" s="16" t="s">
        <v>108</v>
      </c>
      <c r="E71" s="17">
        <v>2609</v>
      </c>
      <c r="F71" s="18">
        <v>31681</v>
      </c>
      <c r="G71" s="18">
        <v>23694</v>
      </c>
      <c r="H71" s="50">
        <f t="shared" ca="1" si="1"/>
        <v>60.577777777777776</v>
      </c>
    </row>
    <row r="72" spans="1:8" hidden="1" x14ac:dyDescent="0.25">
      <c r="A72" s="16" t="s">
        <v>208</v>
      </c>
      <c r="B72" s="16" t="s">
        <v>196</v>
      </c>
      <c r="C72" s="16" t="s">
        <v>133</v>
      </c>
      <c r="D72" s="16" t="s">
        <v>107</v>
      </c>
      <c r="E72" s="17">
        <v>1655</v>
      </c>
      <c r="F72" s="18">
        <v>31446</v>
      </c>
      <c r="G72" s="18">
        <v>23702</v>
      </c>
      <c r="H72" s="50">
        <f t="shared" ca="1" si="1"/>
        <v>60.555555555555557</v>
      </c>
    </row>
    <row r="73" spans="1:8" x14ac:dyDescent="0.25">
      <c r="A73" s="16" t="s">
        <v>167</v>
      </c>
      <c r="B73" s="16" t="s">
        <v>125</v>
      </c>
      <c r="C73" s="16" t="s">
        <v>126</v>
      </c>
      <c r="D73" s="16" t="s">
        <v>108</v>
      </c>
      <c r="E73" s="17">
        <v>4630</v>
      </c>
      <c r="F73" s="18">
        <v>31043</v>
      </c>
      <c r="G73" s="18">
        <v>23002</v>
      </c>
      <c r="H73" s="50">
        <f t="shared" ca="1" si="1"/>
        <v>62.469444444444441</v>
      </c>
    </row>
    <row r="74" spans="1:8" hidden="1" x14ac:dyDescent="0.25">
      <c r="A74" s="16" t="s">
        <v>150</v>
      </c>
      <c r="B74" s="16" t="s">
        <v>179</v>
      </c>
      <c r="C74" s="16" t="s">
        <v>144</v>
      </c>
      <c r="D74" s="16" t="s">
        <v>108</v>
      </c>
      <c r="E74" s="17">
        <v>1682</v>
      </c>
      <c r="F74" s="18">
        <v>33710</v>
      </c>
      <c r="G74" s="18">
        <v>23767</v>
      </c>
      <c r="H74" s="50">
        <f t="shared" ca="1" si="1"/>
        <v>60.37777777777778</v>
      </c>
    </row>
    <row r="75" spans="1:8" hidden="1" x14ac:dyDescent="0.25">
      <c r="A75" s="16" t="s">
        <v>210</v>
      </c>
      <c r="B75" s="16" t="s">
        <v>179</v>
      </c>
      <c r="C75" s="16" t="s">
        <v>133</v>
      </c>
      <c r="D75" s="16" t="s">
        <v>107</v>
      </c>
      <c r="E75" s="17">
        <v>1682</v>
      </c>
      <c r="F75" s="18">
        <v>31729</v>
      </c>
      <c r="G75" s="18">
        <v>23823</v>
      </c>
      <c r="H75" s="50">
        <f t="shared" ca="1" si="1"/>
        <v>60.219444444444441</v>
      </c>
    </row>
    <row r="76" spans="1:8" hidden="1" x14ac:dyDescent="0.25">
      <c r="A76" s="16" t="s">
        <v>211</v>
      </c>
      <c r="B76" s="16" t="s">
        <v>159</v>
      </c>
      <c r="C76" s="16" t="s">
        <v>119</v>
      </c>
      <c r="D76" s="16" t="s">
        <v>109</v>
      </c>
      <c r="E76" s="17">
        <v>1624</v>
      </c>
      <c r="F76" s="18">
        <v>31721</v>
      </c>
      <c r="G76" s="18">
        <v>23834</v>
      </c>
      <c r="H76" s="50">
        <f t="shared" ca="1" si="1"/>
        <v>60.19166666666667</v>
      </c>
    </row>
    <row r="77" spans="1:8" hidden="1" x14ac:dyDescent="0.25">
      <c r="A77" s="16" t="s">
        <v>212</v>
      </c>
      <c r="B77" s="16" t="s">
        <v>149</v>
      </c>
      <c r="C77" s="16" t="s">
        <v>123</v>
      </c>
      <c r="D77" s="16" t="s">
        <v>109</v>
      </c>
      <c r="E77" s="17">
        <v>1761</v>
      </c>
      <c r="F77" s="18">
        <v>33091</v>
      </c>
      <c r="G77" s="18">
        <v>23872</v>
      </c>
      <c r="H77" s="50">
        <f t="shared" ca="1" si="1"/>
        <v>60.086111111111109</v>
      </c>
    </row>
    <row r="78" spans="1:8" hidden="1" x14ac:dyDescent="0.25">
      <c r="A78" s="16" t="s">
        <v>213</v>
      </c>
      <c r="B78" s="16" t="s">
        <v>179</v>
      </c>
      <c r="C78" s="16" t="s">
        <v>126</v>
      </c>
      <c r="D78" s="16" t="s">
        <v>108</v>
      </c>
      <c r="E78" s="17">
        <v>1682</v>
      </c>
      <c r="F78" s="18">
        <v>33083</v>
      </c>
      <c r="G78" s="18">
        <v>23883</v>
      </c>
      <c r="H78" s="50">
        <f t="shared" ca="1" si="1"/>
        <v>60.055555555555557</v>
      </c>
    </row>
    <row r="79" spans="1:8" hidden="1" x14ac:dyDescent="0.25">
      <c r="A79" s="16" t="s">
        <v>214</v>
      </c>
      <c r="B79" s="16" t="s">
        <v>159</v>
      </c>
      <c r="C79" s="16" t="s">
        <v>126</v>
      </c>
      <c r="D79" s="16" t="s">
        <v>109</v>
      </c>
      <c r="E79" s="17">
        <v>1624</v>
      </c>
      <c r="F79" s="18">
        <v>30900</v>
      </c>
      <c r="G79" s="18">
        <v>23918</v>
      </c>
      <c r="H79" s="50">
        <f t="shared" ca="1" si="1"/>
        <v>59.961111111111109</v>
      </c>
    </row>
    <row r="80" spans="1:8" hidden="1" x14ac:dyDescent="0.25">
      <c r="A80" s="16" t="s">
        <v>197</v>
      </c>
      <c r="B80" s="16" t="s">
        <v>149</v>
      </c>
      <c r="C80" s="16" t="s">
        <v>123</v>
      </c>
      <c r="D80" s="16" t="s">
        <v>108</v>
      </c>
      <c r="E80" s="17">
        <v>1761</v>
      </c>
      <c r="F80" s="18">
        <v>29916</v>
      </c>
      <c r="G80" s="18">
        <v>23996</v>
      </c>
      <c r="H80" s="50">
        <f t="shared" ca="1" si="1"/>
        <v>59.75</v>
      </c>
    </row>
    <row r="81" spans="1:8" hidden="1" x14ac:dyDescent="0.25">
      <c r="A81" s="16" t="s">
        <v>169</v>
      </c>
      <c r="B81" s="16" t="s">
        <v>165</v>
      </c>
      <c r="C81" s="16" t="s">
        <v>123</v>
      </c>
      <c r="D81" s="16" t="s">
        <v>107</v>
      </c>
      <c r="E81" s="17">
        <v>1491</v>
      </c>
      <c r="F81" s="18">
        <v>32863</v>
      </c>
      <c r="G81" s="18">
        <v>23998</v>
      </c>
      <c r="H81" s="50">
        <f t="shared" ca="1" si="1"/>
        <v>59.744444444444447</v>
      </c>
    </row>
    <row r="82" spans="1:8" hidden="1" x14ac:dyDescent="0.25">
      <c r="A82" s="16" t="s">
        <v>164</v>
      </c>
      <c r="B82" s="16" t="s">
        <v>159</v>
      </c>
      <c r="C82" s="16" t="s">
        <v>119</v>
      </c>
      <c r="D82" s="16" t="s">
        <v>107</v>
      </c>
      <c r="E82" s="17">
        <v>1624</v>
      </c>
      <c r="F82" s="18">
        <v>29908</v>
      </c>
      <c r="G82" s="18">
        <v>24007</v>
      </c>
      <c r="H82" s="50">
        <f t="shared" ca="1" si="1"/>
        <v>59.719444444444441</v>
      </c>
    </row>
    <row r="83" spans="1:8" hidden="1" x14ac:dyDescent="0.25">
      <c r="A83" s="16" t="s">
        <v>215</v>
      </c>
      <c r="B83" s="16" t="s">
        <v>132</v>
      </c>
      <c r="C83" s="16" t="s">
        <v>133</v>
      </c>
      <c r="D83" s="16" t="s">
        <v>108</v>
      </c>
      <c r="E83" s="17">
        <v>1827</v>
      </c>
      <c r="F83" s="18">
        <v>32855</v>
      </c>
      <c r="G83" s="18">
        <v>24009</v>
      </c>
      <c r="H83" s="50">
        <f t="shared" ca="1" si="1"/>
        <v>59.713888888888889</v>
      </c>
    </row>
    <row r="84" spans="1:8" hidden="1" x14ac:dyDescent="0.25">
      <c r="A84" s="16" t="s">
        <v>216</v>
      </c>
      <c r="B84" s="16" t="s">
        <v>136</v>
      </c>
      <c r="C84" s="16" t="s">
        <v>126</v>
      </c>
      <c r="D84" s="16" t="s">
        <v>107</v>
      </c>
      <c r="E84" s="17">
        <v>2519</v>
      </c>
      <c r="F84" s="18">
        <v>30240</v>
      </c>
      <c r="G84" s="18">
        <v>24011</v>
      </c>
      <c r="H84" s="50">
        <f t="shared" ca="1" si="1"/>
        <v>59.708333333333336</v>
      </c>
    </row>
    <row r="85" spans="1:8" hidden="1" x14ac:dyDescent="0.25">
      <c r="A85" s="16" t="s">
        <v>217</v>
      </c>
      <c r="B85" s="16" t="s">
        <v>149</v>
      </c>
      <c r="C85" s="16" t="s">
        <v>123</v>
      </c>
      <c r="D85" s="16" t="s">
        <v>107</v>
      </c>
      <c r="E85" s="17">
        <v>1761</v>
      </c>
      <c r="F85" s="18">
        <v>32979</v>
      </c>
      <c r="G85" s="18">
        <v>24022</v>
      </c>
      <c r="H85" s="50">
        <f t="shared" ca="1" si="1"/>
        <v>59.677777777777777</v>
      </c>
    </row>
    <row r="86" spans="1:8" hidden="1" x14ac:dyDescent="0.25">
      <c r="A86" s="16" t="s">
        <v>218</v>
      </c>
      <c r="B86" s="16" t="s">
        <v>179</v>
      </c>
      <c r="C86" s="16" t="s">
        <v>144</v>
      </c>
      <c r="D86" s="16" t="s">
        <v>109</v>
      </c>
      <c r="E86" s="17">
        <v>1682</v>
      </c>
      <c r="F86" s="18">
        <v>32971</v>
      </c>
      <c r="G86" s="18">
        <v>24033</v>
      </c>
      <c r="H86" s="50">
        <f t="shared" ca="1" si="1"/>
        <v>59.647222222222226</v>
      </c>
    </row>
    <row r="87" spans="1:8" hidden="1" x14ac:dyDescent="0.25">
      <c r="A87" s="16" t="s">
        <v>145</v>
      </c>
      <c r="B87" s="16" t="s">
        <v>196</v>
      </c>
      <c r="C87" s="16" t="s">
        <v>133</v>
      </c>
      <c r="D87" s="16" t="s">
        <v>108</v>
      </c>
      <c r="E87" s="17">
        <v>1598</v>
      </c>
      <c r="F87" s="18">
        <v>32894</v>
      </c>
      <c r="G87" s="18">
        <v>24038</v>
      </c>
      <c r="H87" s="50">
        <f t="shared" ca="1" si="1"/>
        <v>59.633333333333333</v>
      </c>
    </row>
    <row r="88" spans="1:8" hidden="1" x14ac:dyDescent="0.25">
      <c r="A88" s="16" t="s">
        <v>219</v>
      </c>
      <c r="B88" s="16" t="s">
        <v>179</v>
      </c>
      <c r="C88" s="16" t="s">
        <v>133</v>
      </c>
      <c r="D88" s="16" t="s">
        <v>108</v>
      </c>
      <c r="E88" s="17">
        <v>1682</v>
      </c>
      <c r="F88" s="18">
        <v>32886</v>
      </c>
      <c r="G88" s="18">
        <v>24049</v>
      </c>
      <c r="H88" s="50">
        <f t="shared" ca="1" si="1"/>
        <v>59.605555555555554</v>
      </c>
    </row>
    <row r="89" spans="1:8" hidden="1" x14ac:dyDescent="0.25">
      <c r="A89" s="16" t="s">
        <v>220</v>
      </c>
      <c r="B89" s="16" t="s">
        <v>159</v>
      </c>
      <c r="C89" s="16" t="s">
        <v>119</v>
      </c>
      <c r="D89" s="16" t="s">
        <v>109</v>
      </c>
      <c r="E89" s="17">
        <v>1566</v>
      </c>
      <c r="F89" s="18">
        <v>31050</v>
      </c>
      <c r="G89" s="18">
        <v>24200</v>
      </c>
      <c r="H89" s="50">
        <f t="shared" ca="1" si="1"/>
        <v>59.18888888888889</v>
      </c>
    </row>
    <row r="90" spans="1:8" hidden="1" x14ac:dyDescent="0.25">
      <c r="A90" s="16" t="s">
        <v>221</v>
      </c>
      <c r="B90" s="16" t="s">
        <v>159</v>
      </c>
      <c r="C90" s="16" t="s">
        <v>123</v>
      </c>
      <c r="D90" s="16" t="s">
        <v>108</v>
      </c>
      <c r="E90" s="17">
        <v>1508</v>
      </c>
      <c r="F90" s="18">
        <v>31805</v>
      </c>
      <c r="G90" s="18">
        <v>24476</v>
      </c>
      <c r="H90" s="50">
        <f t="shared" ca="1" si="1"/>
        <v>58.43611111111111</v>
      </c>
    </row>
    <row r="91" spans="1:8" hidden="1" x14ac:dyDescent="0.25">
      <c r="A91" s="16" t="s">
        <v>222</v>
      </c>
      <c r="B91" s="16" t="s">
        <v>159</v>
      </c>
      <c r="C91" s="16" t="s">
        <v>119</v>
      </c>
      <c r="D91" s="16" t="s">
        <v>108</v>
      </c>
      <c r="E91" s="17">
        <v>1508</v>
      </c>
      <c r="F91" s="18">
        <v>33258</v>
      </c>
      <c r="G91" s="18">
        <v>24487</v>
      </c>
      <c r="H91" s="50">
        <f t="shared" ca="1" si="1"/>
        <v>58.405555555555559</v>
      </c>
    </row>
    <row r="92" spans="1:8" hidden="1" x14ac:dyDescent="0.25">
      <c r="A92" s="16" t="s">
        <v>223</v>
      </c>
      <c r="B92" s="16" t="s">
        <v>143</v>
      </c>
      <c r="C92" s="16" t="s">
        <v>144</v>
      </c>
      <c r="D92" s="16" t="s">
        <v>107</v>
      </c>
      <c r="E92" s="17">
        <v>2463</v>
      </c>
      <c r="F92" s="18">
        <v>31543</v>
      </c>
      <c r="G92" s="18">
        <v>24491</v>
      </c>
      <c r="H92" s="50">
        <f t="shared" ca="1" si="1"/>
        <v>58.394444444444446</v>
      </c>
    </row>
    <row r="93" spans="1:8" hidden="1" x14ac:dyDescent="0.25">
      <c r="A93" s="16" t="s">
        <v>224</v>
      </c>
      <c r="B93" s="16" t="s">
        <v>225</v>
      </c>
      <c r="C93" s="16" t="s">
        <v>174</v>
      </c>
      <c r="D93" s="16" t="s">
        <v>107</v>
      </c>
      <c r="E93" s="17">
        <v>1510</v>
      </c>
      <c r="F93" s="18">
        <v>33344</v>
      </c>
      <c r="G93" s="18">
        <v>24693</v>
      </c>
      <c r="H93" s="50">
        <f t="shared" ca="1" si="1"/>
        <v>57.838888888888889</v>
      </c>
    </row>
    <row r="94" spans="1:8" hidden="1" x14ac:dyDescent="0.25">
      <c r="A94" s="16" t="s">
        <v>226</v>
      </c>
      <c r="B94" s="16" t="s">
        <v>179</v>
      </c>
      <c r="C94" s="16" t="s">
        <v>126</v>
      </c>
      <c r="D94" s="16" t="s">
        <v>107</v>
      </c>
      <c r="E94" s="17">
        <v>1562</v>
      </c>
      <c r="F94" s="18">
        <v>33336</v>
      </c>
      <c r="G94" s="18">
        <v>24704</v>
      </c>
      <c r="H94" s="50">
        <f t="shared" ca="1" si="1"/>
        <v>57.80833333333333</v>
      </c>
    </row>
    <row r="95" spans="1:8" hidden="1" x14ac:dyDescent="0.25">
      <c r="A95" s="16" t="s">
        <v>227</v>
      </c>
      <c r="B95" s="16" t="s">
        <v>173</v>
      </c>
      <c r="C95" s="16" t="s">
        <v>174</v>
      </c>
      <c r="D95" s="16" t="s">
        <v>107</v>
      </c>
      <c r="E95" s="17">
        <v>1800</v>
      </c>
      <c r="F95" s="18">
        <v>29385</v>
      </c>
      <c r="G95" s="18">
        <v>24730</v>
      </c>
      <c r="H95" s="50">
        <f t="shared" ca="1" si="1"/>
        <v>57.738888888888887</v>
      </c>
    </row>
    <row r="96" spans="1:8" hidden="1" x14ac:dyDescent="0.25">
      <c r="A96" s="16" t="s">
        <v>228</v>
      </c>
      <c r="B96" s="16" t="s">
        <v>122</v>
      </c>
      <c r="C96" s="16" t="s">
        <v>123</v>
      </c>
      <c r="D96" s="16" t="s">
        <v>109</v>
      </c>
      <c r="E96" s="17">
        <v>3112</v>
      </c>
      <c r="F96" s="18">
        <v>29377</v>
      </c>
      <c r="G96" s="18">
        <v>24741</v>
      </c>
      <c r="H96" s="50">
        <f t="shared" ca="1" si="1"/>
        <v>57.708333333333336</v>
      </c>
    </row>
    <row r="97" spans="1:8" hidden="1" x14ac:dyDescent="0.25">
      <c r="A97" s="16" t="s">
        <v>229</v>
      </c>
      <c r="B97" s="16" t="s">
        <v>128</v>
      </c>
      <c r="C97" s="16" t="s">
        <v>126</v>
      </c>
      <c r="D97" s="16" t="s">
        <v>109</v>
      </c>
      <c r="E97" s="17">
        <v>2081</v>
      </c>
      <c r="F97" s="18">
        <v>28376</v>
      </c>
      <c r="G97" s="18">
        <v>24906</v>
      </c>
      <c r="H97" s="50">
        <f t="shared" ca="1" si="1"/>
        <v>57.255555555555553</v>
      </c>
    </row>
    <row r="98" spans="1:8" hidden="1" x14ac:dyDescent="0.25">
      <c r="A98" s="16" t="s">
        <v>230</v>
      </c>
      <c r="B98" s="16" t="s">
        <v>173</v>
      </c>
      <c r="C98" s="16" t="s">
        <v>174</v>
      </c>
      <c r="D98" s="16" t="s">
        <v>107</v>
      </c>
      <c r="E98" s="17">
        <v>1731</v>
      </c>
      <c r="F98" s="18">
        <v>33231</v>
      </c>
      <c r="G98" s="18">
        <v>25114</v>
      </c>
      <c r="H98" s="50">
        <f t="shared" ca="1" si="1"/>
        <v>56.68888888888889</v>
      </c>
    </row>
    <row r="99" spans="1:8" hidden="1" x14ac:dyDescent="0.25">
      <c r="A99" s="16" t="s">
        <v>231</v>
      </c>
      <c r="B99" s="16" t="s">
        <v>159</v>
      </c>
      <c r="C99" s="16" t="s">
        <v>119</v>
      </c>
      <c r="D99" s="16" t="s">
        <v>109</v>
      </c>
      <c r="E99" s="17">
        <v>1450</v>
      </c>
      <c r="F99" s="18">
        <v>33223</v>
      </c>
      <c r="G99" s="18">
        <v>25125</v>
      </c>
      <c r="H99" s="50">
        <f t="shared" ca="1" si="1"/>
        <v>56.658333333333331</v>
      </c>
    </row>
    <row r="100" spans="1:8" hidden="1" x14ac:dyDescent="0.25">
      <c r="A100" s="16" t="s">
        <v>232</v>
      </c>
      <c r="B100" s="16" t="s">
        <v>136</v>
      </c>
      <c r="C100" s="16" t="s">
        <v>126</v>
      </c>
      <c r="D100" s="16" t="s">
        <v>109</v>
      </c>
      <c r="E100" s="17">
        <v>2249</v>
      </c>
      <c r="F100" s="18">
        <v>31034</v>
      </c>
      <c r="G100" s="18">
        <v>25129</v>
      </c>
      <c r="H100" s="50">
        <f t="shared" ca="1" si="1"/>
        <v>56.647222222222226</v>
      </c>
    </row>
    <row r="101" spans="1:8" hidden="1" x14ac:dyDescent="0.25">
      <c r="A101" s="16" t="s">
        <v>233</v>
      </c>
      <c r="B101" s="16" t="s">
        <v>225</v>
      </c>
      <c r="C101" s="16" t="s">
        <v>174</v>
      </c>
      <c r="D101" s="16" t="s">
        <v>109</v>
      </c>
      <c r="E101" s="17">
        <v>1394</v>
      </c>
      <c r="F101" s="18">
        <v>33559</v>
      </c>
      <c r="G101" s="18">
        <v>25327</v>
      </c>
      <c r="H101" s="50">
        <f t="shared" ca="1" si="1"/>
        <v>56.102777777777774</v>
      </c>
    </row>
    <row r="102" spans="1:8" hidden="1" x14ac:dyDescent="0.25">
      <c r="A102" s="16" t="s">
        <v>142</v>
      </c>
      <c r="B102" s="16" t="s">
        <v>159</v>
      </c>
      <c r="C102" s="16" t="s">
        <v>119</v>
      </c>
      <c r="D102" s="16" t="s">
        <v>107</v>
      </c>
      <c r="E102" s="17">
        <v>1392</v>
      </c>
      <c r="F102" s="18">
        <v>33551</v>
      </c>
      <c r="G102" s="18">
        <v>25338</v>
      </c>
      <c r="H102" s="50">
        <f t="shared" ca="1" si="1"/>
        <v>56.072222222222223</v>
      </c>
    </row>
    <row r="103" spans="1:8" hidden="1" x14ac:dyDescent="0.25">
      <c r="A103" s="16" t="s">
        <v>177</v>
      </c>
      <c r="B103" s="16" t="s">
        <v>136</v>
      </c>
      <c r="C103" s="16" t="s">
        <v>126</v>
      </c>
      <c r="D103" s="16" t="s">
        <v>107</v>
      </c>
      <c r="E103" s="17">
        <v>2159</v>
      </c>
      <c r="F103" s="18">
        <v>33970</v>
      </c>
      <c r="G103" s="18">
        <v>25342</v>
      </c>
      <c r="H103" s="50">
        <f t="shared" ca="1" si="1"/>
        <v>56.06111111111111</v>
      </c>
    </row>
    <row r="104" spans="1:8" hidden="1" x14ac:dyDescent="0.25">
      <c r="A104" s="16" t="s">
        <v>234</v>
      </c>
      <c r="B104" s="16" t="s">
        <v>132</v>
      </c>
      <c r="C104" s="16" t="s">
        <v>133</v>
      </c>
      <c r="D104" s="16" t="s">
        <v>107</v>
      </c>
      <c r="E104" s="17">
        <v>1566</v>
      </c>
      <c r="F104" s="18">
        <v>32679</v>
      </c>
      <c r="G104" s="18">
        <v>25351</v>
      </c>
      <c r="H104" s="50">
        <f t="shared" ca="1" si="1"/>
        <v>56.036111111111111</v>
      </c>
    </row>
    <row r="105" spans="1:8" hidden="1" x14ac:dyDescent="0.25">
      <c r="A105" s="16" t="s">
        <v>235</v>
      </c>
      <c r="B105" s="16" t="s">
        <v>165</v>
      </c>
      <c r="C105" s="16" t="s">
        <v>123</v>
      </c>
      <c r="D105" s="16" t="s">
        <v>109</v>
      </c>
      <c r="E105" s="17">
        <v>1278</v>
      </c>
      <c r="F105" s="18">
        <v>32571</v>
      </c>
      <c r="G105" s="18">
        <v>25432</v>
      </c>
      <c r="H105" s="50">
        <f t="shared" ca="1" si="1"/>
        <v>55.81666666666667</v>
      </c>
    </row>
    <row r="106" spans="1:8" hidden="1" x14ac:dyDescent="0.25">
      <c r="A106" s="16" t="s">
        <v>236</v>
      </c>
      <c r="B106" s="16" t="s">
        <v>225</v>
      </c>
      <c r="C106" s="16" t="s">
        <v>174</v>
      </c>
      <c r="D106" s="16" t="s">
        <v>108</v>
      </c>
      <c r="E106" s="17">
        <v>1394</v>
      </c>
      <c r="F106" s="18">
        <v>33823</v>
      </c>
      <c r="G106" s="18">
        <v>25443</v>
      </c>
      <c r="H106" s="50">
        <f t="shared" ca="1" si="1"/>
        <v>55.786111111111111</v>
      </c>
    </row>
    <row r="107" spans="1:8" hidden="1" x14ac:dyDescent="0.25">
      <c r="A107" s="16" t="s">
        <v>237</v>
      </c>
      <c r="B107" s="16" t="s">
        <v>155</v>
      </c>
      <c r="C107" s="16" t="s">
        <v>123</v>
      </c>
      <c r="D107" s="16" t="s">
        <v>109</v>
      </c>
      <c r="E107" s="17">
        <v>2128</v>
      </c>
      <c r="F107" s="18">
        <v>33062</v>
      </c>
      <c r="G107" s="18">
        <v>25447</v>
      </c>
      <c r="H107" s="50">
        <f t="shared" ca="1" si="1"/>
        <v>55.777777777777779</v>
      </c>
    </row>
    <row r="108" spans="1:8" hidden="1" x14ac:dyDescent="0.25">
      <c r="A108" s="16" t="s">
        <v>238</v>
      </c>
      <c r="B108" s="16" t="s">
        <v>128</v>
      </c>
      <c r="C108" s="16" t="s">
        <v>126</v>
      </c>
      <c r="D108" s="16" t="s">
        <v>107</v>
      </c>
      <c r="E108" s="17">
        <v>1998</v>
      </c>
      <c r="F108" s="18">
        <v>29885</v>
      </c>
      <c r="G108" s="18">
        <v>25447</v>
      </c>
      <c r="H108" s="50">
        <f t="shared" ca="1" si="1"/>
        <v>55.777777777777779</v>
      </c>
    </row>
    <row r="109" spans="1:8" hidden="1" x14ac:dyDescent="0.25">
      <c r="A109" s="16" t="s">
        <v>239</v>
      </c>
      <c r="B109" s="16" t="s">
        <v>159</v>
      </c>
      <c r="C109" s="16" t="s">
        <v>119</v>
      </c>
      <c r="D109" s="16" t="s">
        <v>107</v>
      </c>
      <c r="E109" s="17">
        <v>1392</v>
      </c>
      <c r="F109" s="18">
        <v>29877</v>
      </c>
      <c r="G109" s="18">
        <v>25458</v>
      </c>
      <c r="H109" s="50">
        <f t="shared" ca="1" si="1"/>
        <v>55.74722222222222</v>
      </c>
    </row>
    <row r="110" spans="1:8" hidden="1" x14ac:dyDescent="0.25">
      <c r="A110" s="16" t="s">
        <v>240</v>
      </c>
      <c r="B110" s="16" t="s">
        <v>143</v>
      </c>
      <c r="C110" s="16" t="s">
        <v>144</v>
      </c>
      <c r="D110" s="16" t="s">
        <v>109</v>
      </c>
      <c r="E110" s="17">
        <v>2273</v>
      </c>
      <c r="F110" s="18">
        <v>32087</v>
      </c>
      <c r="G110" s="18">
        <v>25462</v>
      </c>
      <c r="H110" s="50">
        <f t="shared" ca="1" si="1"/>
        <v>55.736111111111114</v>
      </c>
    </row>
    <row r="111" spans="1:8" hidden="1" x14ac:dyDescent="0.25">
      <c r="A111" s="16" t="s">
        <v>137</v>
      </c>
      <c r="B111" s="16" t="s">
        <v>128</v>
      </c>
      <c r="C111" s="16" t="s">
        <v>126</v>
      </c>
      <c r="D111" s="16" t="s">
        <v>107</v>
      </c>
      <c r="E111" s="17">
        <v>1914</v>
      </c>
      <c r="F111" s="18">
        <v>33346</v>
      </c>
      <c r="G111" s="18">
        <v>25746</v>
      </c>
      <c r="H111" s="50">
        <f t="shared" ca="1" si="1"/>
        <v>54.955555555555556</v>
      </c>
    </row>
    <row r="112" spans="1:8" hidden="1" x14ac:dyDescent="0.25">
      <c r="A112" s="16" t="s">
        <v>241</v>
      </c>
      <c r="B112" s="16" t="s">
        <v>179</v>
      </c>
      <c r="C112" s="16" t="s">
        <v>123</v>
      </c>
      <c r="D112" s="16" t="s">
        <v>109</v>
      </c>
      <c r="E112" s="17">
        <v>1382</v>
      </c>
      <c r="F112" s="18">
        <v>33338</v>
      </c>
      <c r="G112" s="18">
        <v>25757</v>
      </c>
      <c r="H112" s="50">
        <f t="shared" ca="1" si="1"/>
        <v>54.924999999999997</v>
      </c>
    </row>
    <row r="113" spans="1:8" hidden="1" x14ac:dyDescent="0.25">
      <c r="A113" s="16" t="s">
        <v>242</v>
      </c>
      <c r="B113" s="16" t="s">
        <v>155</v>
      </c>
      <c r="C113" s="16" t="s">
        <v>123</v>
      </c>
      <c r="D113" s="16" t="s">
        <v>107</v>
      </c>
      <c r="E113" s="17">
        <v>2040</v>
      </c>
      <c r="F113" s="18">
        <v>33890</v>
      </c>
      <c r="G113" s="18">
        <v>25761</v>
      </c>
      <c r="H113" s="50">
        <f t="shared" ca="1" si="1"/>
        <v>54.913888888888891</v>
      </c>
    </row>
    <row r="114" spans="1:8" hidden="1" x14ac:dyDescent="0.25">
      <c r="A114" s="16" t="s">
        <v>243</v>
      </c>
      <c r="B114" s="16" t="s">
        <v>196</v>
      </c>
      <c r="C114" s="16" t="s">
        <v>133</v>
      </c>
      <c r="D114" s="16" t="s">
        <v>107</v>
      </c>
      <c r="E114" s="17">
        <v>1313</v>
      </c>
      <c r="F114" s="18">
        <v>33365</v>
      </c>
      <c r="G114" s="18">
        <v>25839</v>
      </c>
      <c r="H114" s="50">
        <f t="shared" ca="1" si="1"/>
        <v>54.702777777777776</v>
      </c>
    </row>
    <row r="115" spans="1:8" hidden="1" x14ac:dyDescent="0.25">
      <c r="A115" s="16" t="s">
        <v>150</v>
      </c>
      <c r="B115" s="16" t="s">
        <v>179</v>
      </c>
      <c r="C115" s="16" t="s">
        <v>123</v>
      </c>
      <c r="D115" s="16" t="s">
        <v>108</v>
      </c>
      <c r="E115" s="17">
        <v>1382</v>
      </c>
      <c r="F115" s="18">
        <v>33357</v>
      </c>
      <c r="G115" s="18">
        <v>25850</v>
      </c>
      <c r="H115" s="50">
        <f t="shared" ca="1" si="1"/>
        <v>54.672222222222224</v>
      </c>
    </row>
  </sheetData>
  <autoFilter ref="A1:H115" xr:uid="{00000000-0001-0000-0500-000000000000}">
    <filterColumn colId="4">
      <top10 val="10" filterVal="4630"/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97D2-E3DD-48EF-B7C7-516AAF43DDD5}">
  <sheetPr filterMode="1"/>
  <dimension ref="A1:J115"/>
  <sheetViews>
    <sheetView tabSelected="1" workbookViewId="0">
      <selection activeCell="J116" sqref="J116"/>
    </sheetView>
  </sheetViews>
  <sheetFormatPr defaultRowHeight="15" x14ac:dyDescent="0.25"/>
  <cols>
    <col min="1" max="1" width="10" style="19" bestFit="1" customWidth="1"/>
    <col min="2" max="2" width="26.42578125" style="19" customWidth="1"/>
    <col min="3" max="3" width="15.42578125" style="19" bestFit="1" customWidth="1"/>
    <col min="4" max="4" width="14.85546875" style="19" customWidth="1"/>
    <col min="5" max="5" width="11" style="19" bestFit="1" customWidth="1"/>
    <col min="6" max="7" width="14.85546875" style="19" customWidth="1"/>
    <col min="8" max="8" width="11.5703125" customWidth="1"/>
    <col min="9" max="9" width="6.5703125" customWidth="1"/>
    <col min="10" max="10" width="62.85546875" bestFit="1" customWidth="1"/>
  </cols>
  <sheetData>
    <row r="1" spans="1:10" x14ac:dyDescent="0.25">
      <c r="A1" s="15" t="s">
        <v>110</v>
      </c>
      <c r="B1" s="15" t="s">
        <v>111</v>
      </c>
      <c r="C1" s="15" t="s">
        <v>112</v>
      </c>
      <c r="D1" s="15" t="s">
        <v>113</v>
      </c>
      <c r="E1" s="15" t="s">
        <v>114</v>
      </c>
      <c r="F1" s="15" t="s">
        <v>115</v>
      </c>
      <c r="G1" s="15" t="s">
        <v>116</v>
      </c>
      <c r="H1" s="15" t="s">
        <v>342</v>
      </c>
      <c r="J1" s="12" t="s">
        <v>70</v>
      </c>
    </row>
    <row r="2" spans="1:10" x14ac:dyDescent="0.25">
      <c r="A2" s="16" t="s">
        <v>117</v>
      </c>
      <c r="B2" s="16" t="s">
        <v>118</v>
      </c>
      <c r="C2" s="16" t="s">
        <v>119</v>
      </c>
      <c r="D2" s="16" t="s">
        <v>107</v>
      </c>
      <c r="E2" s="17">
        <v>6990</v>
      </c>
      <c r="F2" s="18">
        <v>29153</v>
      </c>
      <c r="G2" s="18">
        <v>32013</v>
      </c>
      <c r="H2" s="50">
        <f ca="1">YEARFRAC(G2,TODAY())</f>
        <v>37.797222222222224</v>
      </c>
      <c r="J2" t="s">
        <v>120</v>
      </c>
    </row>
    <row r="3" spans="1:10" x14ac:dyDescent="0.25">
      <c r="A3" s="16" t="s">
        <v>121</v>
      </c>
      <c r="B3" s="16" t="s">
        <v>122</v>
      </c>
      <c r="C3" s="16" t="s">
        <v>123</v>
      </c>
      <c r="D3" s="16" t="s">
        <v>107</v>
      </c>
      <c r="E3" s="17">
        <v>6345</v>
      </c>
      <c r="F3" s="18">
        <v>29066</v>
      </c>
      <c r="G3" s="18">
        <v>29472</v>
      </c>
      <c r="H3" s="50">
        <f t="shared" ref="H3:H4" ca="1" si="0">YEARFRAC(G3,TODAY())</f>
        <v>44.758333333333333</v>
      </c>
    </row>
    <row r="4" spans="1:10" x14ac:dyDescent="0.25">
      <c r="A4" s="16" t="s">
        <v>124</v>
      </c>
      <c r="B4" s="16" t="s">
        <v>125</v>
      </c>
      <c r="C4" s="16" t="s">
        <v>126</v>
      </c>
      <c r="D4" s="16" t="s">
        <v>109</v>
      </c>
      <c r="E4" s="17">
        <v>6273</v>
      </c>
      <c r="F4" s="18">
        <v>29863</v>
      </c>
      <c r="G4" s="18">
        <v>29654</v>
      </c>
      <c r="H4" s="50">
        <f t="shared" ca="1" si="0"/>
        <v>44.255555555555553</v>
      </c>
      <c r="J4" t="s">
        <v>345</v>
      </c>
    </row>
    <row r="5" spans="1:10" hidden="1" x14ac:dyDescent="0.25">
      <c r="A5" s="16" t="s">
        <v>127</v>
      </c>
      <c r="B5" s="16" t="s">
        <v>128</v>
      </c>
      <c r="C5" s="16" t="s">
        <v>126</v>
      </c>
      <c r="D5" s="16" t="s">
        <v>108</v>
      </c>
      <c r="E5" s="17">
        <v>3996</v>
      </c>
      <c r="F5" s="18">
        <v>32072</v>
      </c>
      <c r="G5" s="18">
        <v>31143</v>
      </c>
      <c r="H5" s="50"/>
      <c r="J5" t="s">
        <v>344</v>
      </c>
    </row>
    <row r="6" spans="1:10" hidden="1" x14ac:dyDescent="0.25">
      <c r="A6" s="16" t="s">
        <v>129</v>
      </c>
      <c r="B6" s="16" t="s">
        <v>130</v>
      </c>
      <c r="C6" s="16" t="s">
        <v>123</v>
      </c>
      <c r="D6" s="16" t="s">
        <v>107</v>
      </c>
      <c r="E6" s="17">
        <v>4144</v>
      </c>
      <c r="F6" s="18">
        <v>31538</v>
      </c>
      <c r="G6" s="18">
        <v>32361</v>
      </c>
      <c r="H6" s="50"/>
      <c r="J6" t="s">
        <v>343</v>
      </c>
    </row>
    <row r="7" spans="1:10" hidden="1" x14ac:dyDescent="0.25">
      <c r="A7" s="16" t="s">
        <v>131</v>
      </c>
      <c r="B7" s="16" t="s">
        <v>132</v>
      </c>
      <c r="C7" s="16" t="s">
        <v>133</v>
      </c>
      <c r="D7" s="16" t="s">
        <v>109</v>
      </c>
      <c r="E7" s="17">
        <v>2871</v>
      </c>
      <c r="F7" s="18">
        <v>32671</v>
      </c>
      <c r="G7" s="18">
        <v>32667</v>
      </c>
      <c r="H7" s="50"/>
    </row>
    <row r="8" spans="1:10" hidden="1" x14ac:dyDescent="0.25">
      <c r="A8" s="16" t="s">
        <v>134</v>
      </c>
      <c r="B8" s="16" t="s">
        <v>130</v>
      </c>
      <c r="C8" s="16" t="s">
        <v>123</v>
      </c>
      <c r="D8" s="16" t="s">
        <v>109</v>
      </c>
      <c r="E8" s="17">
        <v>4052</v>
      </c>
      <c r="F8" s="18">
        <v>30689</v>
      </c>
      <c r="G8" s="18">
        <v>32671</v>
      </c>
      <c r="H8" s="50"/>
    </row>
    <row r="9" spans="1:10" hidden="1" x14ac:dyDescent="0.25">
      <c r="A9" s="16" t="s">
        <v>135</v>
      </c>
      <c r="B9" s="16" t="s">
        <v>136</v>
      </c>
      <c r="C9" s="16" t="s">
        <v>126</v>
      </c>
      <c r="D9" s="16" t="s">
        <v>107</v>
      </c>
      <c r="E9" s="17">
        <v>3778</v>
      </c>
      <c r="F9" s="18">
        <v>29871</v>
      </c>
      <c r="G9" s="18">
        <v>33295</v>
      </c>
      <c r="H9" s="50"/>
    </row>
    <row r="10" spans="1:10" x14ac:dyDescent="0.25">
      <c r="A10" s="16" t="s">
        <v>137</v>
      </c>
      <c r="B10" s="16" t="s">
        <v>125</v>
      </c>
      <c r="C10" s="16" t="s">
        <v>126</v>
      </c>
      <c r="D10" s="16" t="s">
        <v>107</v>
      </c>
      <c r="E10" s="17">
        <v>5825</v>
      </c>
      <c r="F10" s="18">
        <v>28523</v>
      </c>
      <c r="G10" s="18">
        <v>34487</v>
      </c>
      <c r="H10" s="50">
        <f ca="1">YEARFRAC(G10,TODAY())</f>
        <v>31.024999999999999</v>
      </c>
    </row>
    <row r="11" spans="1:10" hidden="1" x14ac:dyDescent="0.25">
      <c r="A11" s="16" t="s">
        <v>138</v>
      </c>
      <c r="B11" s="16" t="s">
        <v>128</v>
      </c>
      <c r="C11" s="16" t="s">
        <v>126</v>
      </c>
      <c r="D11" s="16" t="s">
        <v>107</v>
      </c>
      <c r="E11" s="17">
        <v>3496</v>
      </c>
      <c r="F11" s="18">
        <v>30054</v>
      </c>
      <c r="G11" s="18">
        <v>33864</v>
      </c>
      <c r="H11" s="50"/>
    </row>
    <row r="12" spans="1:10" hidden="1" x14ac:dyDescent="0.25">
      <c r="A12" s="16" t="s">
        <v>139</v>
      </c>
      <c r="B12" s="16" t="s">
        <v>140</v>
      </c>
      <c r="C12" s="16" t="s">
        <v>119</v>
      </c>
      <c r="D12" s="16" t="s">
        <v>108</v>
      </c>
      <c r="E12" s="17">
        <v>3949</v>
      </c>
      <c r="F12" s="18">
        <v>30046</v>
      </c>
      <c r="G12" s="18">
        <v>33509</v>
      </c>
      <c r="H12" s="50"/>
    </row>
    <row r="13" spans="1:10" hidden="1" x14ac:dyDescent="0.25">
      <c r="A13" s="16" t="s">
        <v>141</v>
      </c>
      <c r="B13" s="16" t="s">
        <v>128</v>
      </c>
      <c r="C13" s="16" t="s">
        <v>126</v>
      </c>
      <c r="D13" s="16" t="s">
        <v>108</v>
      </c>
      <c r="E13" s="17">
        <v>3496</v>
      </c>
      <c r="F13" s="18">
        <v>32612</v>
      </c>
      <c r="G13" s="18">
        <v>29861</v>
      </c>
      <c r="H13" s="50"/>
    </row>
    <row r="14" spans="1:10" hidden="1" x14ac:dyDescent="0.25">
      <c r="A14" s="16" t="s">
        <v>142</v>
      </c>
      <c r="B14" s="16" t="s">
        <v>143</v>
      </c>
      <c r="C14" s="16" t="s">
        <v>144</v>
      </c>
      <c r="D14" s="16" t="s">
        <v>108</v>
      </c>
      <c r="E14" s="17">
        <v>3884</v>
      </c>
      <c r="F14" s="18">
        <v>32445</v>
      </c>
      <c r="G14" s="18">
        <v>33944</v>
      </c>
      <c r="H14" s="50"/>
    </row>
    <row r="15" spans="1:10" hidden="1" x14ac:dyDescent="0.25">
      <c r="A15" s="16" t="s">
        <v>145</v>
      </c>
      <c r="B15" s="16" t="s">
        <v>136</v>
      </c>
      <c r="C15" s="16" t="s">
        <v>126</v>
      </c>
      <c r="D15" s="16" t="s">
        <v>108</v>
      </c>
      <c r="E15" s="17">
        <v>3508</v>
      </c>
      <c r="F15" s="18">
        <v>28531</v>
      </c>
      <c r="G15" s="18">
        <v>34476</v>
      </c>
      <c r="H15" s="50"/>
    </row>
    <row r="16" spans="1:10" x14ac:dyDescent="0.25">
      <c r="A16" s="16" t="s">
        <v>184</v>
      </c>
      <c r="B16" s="16" t="s">
        <v>165</v>
      </c>
      <c r="C16" s="16" t="s">
        <v>123</v>
      </c>
      <c r="D16" s="16" t="s">
        <v>108</v>
      </c>
      <c r="E16" s="17">
        <v>4800</v>
      </c>
      <c r="F16" s="18">
        <v>31751</v>
      </c>
      <c r="G16" s="18">
        <v>22336</v>
      </c>
      <c r="H16" s="50">
        <f ca="1">YEARFRAC(G16,TODAY())</f>
        <v>64.297222222222217</v>
      </c>
    </row>
    <row r="17" spans="1:8" hidden="1" x14ac:dyDescent="0.25">
      <c r="A17" s="16" t="s">
        <v>148</v>
      </c>
      <c r="B17" s="16" t="s">
        <v>149</v>
      </c>
      <c r="C17" s="16" t="s">
        <v>123</v>
      </c>
      <c r="D17" s="16" t="s">
        <v>108</v>
      </c>
      <c r="E17" s="17">
        <v>2453</v>
      </c>
      <c r="F17" s="18">
        <v>30939</v>
      </c>
      <c r="G17" s="18">
        <v>30919</v>
      </c>
      <c r="H17" s="50"/>
    </row>
    <row r="18" spans="1:8" hidden="1" x14ac:dyDescent="0.25">
      <c r="A18" s="16" t="s">
        <v>150</v>
      </c>
      <c r="B18" s="16" t="s">
        <v>147</v>
      </c>
      <c r="C18" s="16" t="s">
        <v>123</v>
      </c>
      <c r="D18" s="16" t="s">
        <v>109</v>
      </c>
      <c r="E18" s="17">
        <v>3501</v>
      </c>
      <c r="F18" s="18">
        <v>30931</v>
      </c>
      <c r="G18" s="18">
        <v>36774</v>
      </c>
      <c r="H18" s="50"/>
    </row>
    <row r="19" spans="1:8" x14ac:dyDescent="0.25">
      <c r="A19" s="16" t="s">
        <v>146</v>
      </c>
      <c r="B19" s="16" t="s">
        <v>147</v>
      </c>
      <c r="C19" s="16" t="s">
        <v>123</v>
      </c>
      <c r="D19" s="16" t="s">
        <v>107</v>
      </c>
      <c r="E19" s="17">
        <v>4758</v>
      </c>
      <c r="F19" s="18">
        <v>30967</v>
      </c>
      <c r="G19" s="18">
        <v>32889</v>
      </c>
      <c r="H19" s="50">
        <f t="shared" ref="H19:H20" ca="1" si="1">YEARFRAC(G19,TODAY())</f>
        <v>35.402777777777779</v>
      </c>
    </row>
    <row r="20" spans="1:8" x14ac:dyDescent="0.25">
      <c r="A20" s="16" t="s">
        <v>151</v>
      </c>
      <c r="B20" s="16" t="s">
        <v>152</v>
      </c>
      <c r="C20" s="16" t="s">
        <v>123</v>
      </c>
      <c r="D20" s="16" t="s">
        <v>109</v>
      </c>
      <c r="E20" s="17">
        <v>4756</v>
      </c>
      <c r="F20" s="18">
        <v>30892</v>
      </c>
      <c r="G20" s="18">
        <v>31234</v>
      </c>
      <c r="H20" s="50">
        <f t="shared" ca="1" si="1"/>
        <v>39.930555555555557</v>
      </c>
    </row>
    <row r="21" spans="1:8" hidden="1" x14ac:dyDescent="0.25">
      <c r="A21" s="16" t="s">
        <v>154</v>
      </c>
      <c r="B21" s="16" t="s">
        <v>155</v>
      </c>
      <c r="C21" s="16" t="s">
        <v>123</v>
      </c>
      <c r="D21" s="16" t="s">
        <v>108</v>
      </c>
      <c r="E21" s="17">
        <v>3370</v>
      </c>
      <c r="F21" s="18">
        <v>32205</v>
      </c>
      <c r="G21" s="18">
        <v>31238</v>
      </c>
      <c r="H21" s="50"/>
    </row>
    <row r="22" spans="1:8" hidden="1" x14ac:dyDescent="0.25">
      <c r="A22" s="16" t="s">
        <v>156</v>
      </c>
      <c r="B22" s="16" t="s">
        <v>130</v>
      </c>
      <c r="C22" s="16" t="s">
        <v>123</v>
      </c>
      <c r="D22" s="16" t="s">
        <v>108</v>
      </c>
      <c r="E22" s="17">
        <v>3499</v>
      </c>
      <c r="F22" s="18">
        <v>31421</v>
      </c>
      <c r="G22" s="18">
        <v>34970</v>
      </c>
      <c r="H22" s="50"/>
    </row>
    <row r="23" spans="1:8" hidden="1" x14ac:dyDescent="0.25">
      <c r="A23" s="16" t="s">
        <v>157</v>
      </c>
      <c r="B23" s="16" t="s">
        <v>155</v>
      </c>
      <c r="C23" s="16" t="s">
        <v>123</v>
      </c>
      <c r="D23" s="16" t="s">
        <v>107</v>
      </c>
      <c r="E23" s="17">
        <v>4370</v>
      </c>
      <c r="F23" s="18">
        <v>31965</v>
      </c>
      <c r="G23" s="18">
        <v>34280</v>
      </c>
      <c r="H23" s="50"/>
    </row>
    <row r="24" spans="1:8" hidden="1" x14ac:dyDescent="0.25">
      <c r="A24" s="16" t="s">
        <v>158</v>
      </c>
      <c r="B24" s="16" t="s">
        <v>159</v>
      </c>
      <c r="C24" s="16" t="s">
        <v>119</v>
      </c>
      <c r="D24" s="16" t="s">
        <v>108</v>
      </c>
      <c r="E24" s="17">
        <v>2147</v>
      </c>
      <c r="F24" s="18">
        <v>31042</v>
      </c>
      <c r="G24" s="18">
        <v>35169</v>
      </c>
      <c r="H24" s="50"/>
    </row>
    <row r="25" spans="1:8" hidden="1" x14ac:dyDescent="0.25">
      <c r="A25" s="16" t="s">
        <v>160</v>
      </c>
      <c r="B25" s="16" t="s">
        <v>128</v>
      </c>
      <c r="C25" s="16" t="s">
        <v>126</v>
      </c>
      <c r="D25" s="16" t="s">
        <v>108</v>
      </c>
      <c r="E25" s="17">
        <v>3080</v>
      </c>
      <c r="F25" s="18">
        <v>32101</v>
      </c>
      <c r="G25" s="18">
        <v>35173</v>
      </c>
      <c r="H25" s="50"/>
    </row>
    <row r="26" spans="1:8" hidden="1" x14ac:dyDescent="0.25">
      <c r="A26" s="16" t="s">
        <v>161</v>
      </c>
      <c r="B26" s="16" t="s">
        <v>162</v>
      </c>
      <c r="C26" s="16" t="s">
        <v>144</v>
      </c>
      <c r="D26" s="16" t="s">
        <v>107</v>
      </c>
      <c r="E26" s="17">
        <v>3567</v>
      </c>
      <c r="F26" s="18">
        <v>28368</v>
      </c>
      <c r="G26" s="18">
        <v>35873</v>
      </c>
      <c r="H26" s="50"/>
    </row>
    <row r="27" spans="1:8" hidden="1" x14ac:dyDescent="0.25">
      <c r="A27" s="16" t="s">
        <v>163</v>
      </c>
      <c r="B27" s="16" t="s">
        <v>130</v>
      </c>
      <c r="C27" s="16" t="s">
        <v>123</v>
      </c>
      <c r="D27" s="16" t="s">
        <v>108</v>
      </c>
      <c r="E27" s="17">
        <v>3223</v>
      </c>
      <c r="F27" s="18">
        <v>31728</v>
      </c>
      <c r="G27" s="18">
        <v>35877</v>
      </c>
      <c r="H27" s="50"/>
    </row>
    <row r="28" spans="1:8" hidden="1" x14ac:dyDescent="0.25">
      <c r="A28" s="16" t="s">
        <v>164</v>
      </c>
      <c r="B28" s="16" t="s">
        <v>165</v>
      </c>
      <c r="C28" s="16" t="s">
        <v>123</v>
      </c>
      <c r="D28" s="16" t="s">
        <v>108</v>
      </c>
      <c r="E28" s="17">
        <v>1864</v>
      </c>
      <c r="F28" s="18">
        <v>30212</v>
      </c>
      <c r="G28" s="18">
        <v>35998</v>
      </c>
      <c r="H28" s="50"/>
    </row>
    <row r="29" spans="1:8" hidden="1" x14ac:dyDescent="0.25">
      <c r="A29" s="16" t="s">
        <v>166</v>
      </c>
      <c r="B29" s="16" t="s">
        <v>162</v>
      </c>
      <c r="C29" s="16" t="s">
        <v>144</v>
      </c>
      <c r="D29" s="16" t="s">
        <v>108</v>
      </c>
      <c r="E29" s="17">
        <v>3567</v>
      </c>
      <c r="F29" s="18">
        <v>30204</v>
      </c>
      <c r="G29" s="18">
        <v>36009</v>
      </c>
      <c r="H29" s="50"/>
    </row>
    <row r="30" spans="1:8" x14ac:dyDescent="0.25">
      <c r="A30" s="16" t="s">
        <v>209</v>
      </c>
      <c r="B30" s="16" t="s">
        <v>147</v>
      </c>
      <c r="C30" s="16" t="s">
        <v>123</v>
      </c>
      <c r="D30" s="16" t="s">
        <v>108</v>
      </c>
      <c r="E30" s="17">
        <v>4750</v>
      </c>
      <c r="F30" s="18">
        <v>31438</v>
      </c>
      <c r="G30" s="18">
        <v>23713</v>
      </c>
      <c r="H30" s="50">
        <f ca="1">YEARFRAC(G30,TODAY())</f>
        <v>60.524999999999999</v>
      </c>
    </row>
    <row r="31" spans="1:8" hidden="1" x14ac:dyDescent="0.25">
      <c r="A31" s="16" t="s">
        <v>168</v>
      </c>
      <c r="B31" s="16" t="s">
        <v>159</v>
      </c>
      <c r="C31" s="16" t="s">
        <v>119</v>
      </c>
      <c r="D31" s="16" t="s">
        <v>109</v>
      </c>
      <c r="E31" s="17">
        <v>1973</v>
      </c>
      <c r="F31" s="18">
        <v>30386</v>
      </c>
      <c r="G31" s="18">
        <v>36288</v>
      </c>
      <c r="H31" s="50"/>
    </row>
    <row r="32" spans="1:8" hidden="1" x14ac:dyDescent="0.25">
      <c r="A32" s="16" t="s">
        <v>169</v>
      </c>
      <c r="B32" s="16" t="s">
        <v>162</v>
      </c>
      <c r="C32" s="16" t="s">
        <v>144</v>
      </c>
      <c r="D32" s="16" t="s">
        <v>109</v>
      </c>
      <c r="E32" s="17">
        <v>3465</v>
      </c>
      <c r="F32" s="18">
        <v>30378</v>
      </c>
      <c r="G32" s="18">
        <v>36299</v>
      </c>
      <c r="H32" s="50"/>
    </row>
    <row r="33" spans="1:8" hidden="1" x14ac:dyDescent="0.25">
      <c r="A33" s="16" t="s">
        <v>170</v>
      </c>
      <c r="B33" s="16" t="s">
        <v>143</v>
      </c>
      <c r="C33" s="16" t="s">
        <v>144</v>
      </c>
      <c r="D33" s="16" t="s">
        <v>108</v>
      </c>
      <c r="E33" s="17">
        <v>3221</v>
      </c>
      <c r="F33" s="18">
        <v>32108</v>
      </c>
      <c r="G33" s="18">
        <v>33016</v>
      </c>
      <c r="H33" s="50"/>
    </row>
    <row r="34" spans="1:8" hidden="1" x14ac:dyDescent="0.25">
      <c r="A34" s="16" t="s">
        <v>171</v>
      </c>
      <c r="B34" s="16" t="s">
        <v>118</v>
      </c>
      <c r="C34" s="16" t="s">
        <v>119</v>
      </c>
      <c r="D34" s="16" t="s">
        <v>109</v>
      </c>
      <c r="E34" s="17">
        <v>4369</v>
      </c>
      <c r="F34" s="18">
        <v>30817</v>
      </c>
      <c r="G34" s="18">
        <v>33868</v>
      </c>
      <c r="H34" s="50"/>
    </row>
    <row r="35" spans="1:8" hidden="1" x14ac:dyDescent="0.25">
      <c r="A35" s="16" t="s">
        <v>172</v>
      </c>
      <c r="B35" s="16" t="s">
        <v>173</v>
      </c>
      <c r="C35" s="16" t="s">
        <v>174</v>
      </c>
      <c r="D35" s="16" t="s">
        <v>109</v>
      </c>
      <c r="E35" s="17">
        <v>2285</v>
      </c>
      <c r="F35" s="18">
        <v>30975</v>
      </c>
      <c r="G35" s="18">
        <v>32878</v>
      </c>
      <c r="H35" s="50"/>
    </row>
    <row r="36" spans="1:8" hidden="1" x14ac:dyDescent="0.25">
      <c r="A36" s="16" t="s">
        <v>175</v>
      </c>
      <c r="B36" s="16" t="s">
        <v>149</v>
      </c>
      <c r="C36" s="16" t="s">
        <v>123</v>
      </c>
      <c r="D36" s="16" t="s">
        <v>108</v>
      </c>
      <c r="E36" s="17">
        <v>2076</v>
      </c>
      <c r="F36" s="18">
        <v>32339</v>
      </c>
      <c r="G36" s="18">
        <v>33013</v>
      </c>
      <c r="H36" s="50"/>
    </row>
    <row r="37" spans="1:8" hidden="1" x14ac:dyDescent="0.25">
      <c r="A37" s="16" t="s">
        <v>176</v>
      </c>
      <c r="B37" s="16" t="s">
        <v>132</v>
      </c>
      <c r="C37" s="16" t="s">
        <v>133</v>
      </c>
      <c r="D37" s="16" t="s">
        <v>109</v>
      </c>
      <c r="E37" s="17">
        <v>2153</v>
      </c>
      <c r="F37" s="18">
        <v>32331</v>
      </c>
      <c r="G37" s="18">
        <v>34120</v>
      </c>
      <c r="H37" s="50"/>
    </row>
    <row r="38" spans="1:8" hidden="1" x14ac:dyDescent="0.25">
      <c r="A38" s="16" t="s">
        <v>137</v>
      </c>
      <c r="B38" s="16" t="s">
        <v>130</v>
      </c>
      <c r="C38" s="16" t="s">
        <v>123</v>
      </c>
      <c r="D38" s="16" t="s">
        <v>109</v>
      </c>
      <c r="E38" s="17">
        <v>3039</v>
      </c>
      <c r="F38" s="18">
        <v>31452</v>
      </c>
      <c r="G38" s="18">
        <v>33028</v>
      </c>
      <c r="H38" s="50"/>
    </row>
    <row r="39" spans="1:8" hidden="1" x14ac:dyDescent="0.25">
      <c r="A39" s="16" t="s">
        <v>177</v>
      </c>
      <c r="B39" s="16" t="s">
        <v>136</v>
      </c>
      <c r="C39" s="16" t="s">
        <v>126</v>
      </c>
      <c r="D39" s="16" t="s">
        <v>108</v>
      </c>
      <c r="E39" s="17">
        <v>2969</v>
      </c>
      <c r="F39" s="18">
        <v>33094</v>
      </c>
      <c r="G39" s="18">
        <v>22074</v>
      </c>
      <c r="H39" s="50"/>
    </row>
    <row r="40" spans="1:8" hidden="1" x14ac:dyDescent="0.25">
      <c r="A40" s="16" t="s">
        <v>178</v>
      </c>
      <c r="B40" s="16" t="s">
        <v>179</v>
      </c>
      <c r="C40" s="16" t="s">
        <v>123</v>
      </c>
      <c r="D40" s="16" t="s">
        <v>107</v>
      </c>
      <c r="E40" s="17">
        <v>1983</v>
      </c>
      <c r="F40" s="18">
        <v>32356</v>
      </c>
      <c r="G40" s="18">
        <v>22085</v>
      </c>
      <c r="H40" s="50"/>
    </row>
    <row r="41" spans="1:8" hidden="1" x14ac:dyDescent="0.25">
      <c r="A41" s="16" t="s">
        <v>180</v>
      </c>
      <c r="B41" s="16" t="s">
        <v>149</v>
      </c>
      <c r="C41" s="16" t="s">
        <v>144</v>
      </c>
      <c r="D41" s="16" t="s">
        <v>108</v>
      </c>
      <c r="E41" s="17">
        <v>2076</v>
      </c>
      <c r="F41" s="18">
        <v>32346</v>
      </c>
      <c r="G41" s="18">
        <v>22089</v>
      </c>
      <c r="H41" s="50"/>
    </row>
    <row r="42" spans="1:8" hidden="1" x14ac:dyDescent="0.25">
      <c r="A42" s="16" t="s">
        <v>181</v>
      </c>
      <c r="B42" s="16" t="s">
        <v>159</v>
      </c>
      <c r="C42" s="16" t="s">
        <v>126</v>
      </c>
      <c r="D42" s="16" t="s">
        <v>108</v>
      </c>
      <c r="E42" s="17">
        <v>1915</v>
      </c>
      <c r="F42" s="18">
        <v>32779</v>
      </c>
      <c r="G42" s="18">
        <v>22161</v>
      </c>
      <c r="H42" s="50"/>
    </row>
    <row r="43" spans="1:8" hidden="1" x14ac:dyDescent="0.25">
      <c r="A43" s="16" t="s">
        <v>182</v>
      </c>
      <c r="B43" s="16" t="s">
        <v>179</v>
      </c>
      <c r="C43" s="16" t="s">
        <v>126</v>
      </c>
      <c r="D43" s="16" t="s">
        <v>108</v>
      </c>
      <c r="E43" s="17">
        <v>1983</v>
      </c>
      <c r="F43" s="18">
        <v>32771</v>
      </c>
      <c r="G43" s="18">
        <v>22172</v>
      </c>
      <c r="H43" s="50"/>
    </row>
    <row r="44" spans="1:8" hidden="1" x14ac:dyDescent="0.25">
      <c r="A44" s="16" t="s">
        <v>183</v>
      </c>
      <c r="B44" s="16" t="s">
        <v>155</v>
      </c>
      <c r="C44" s="16" t="s">
        <v>123</v>
      </c>
      <c r="D44" s="16" t="s">
        <v>109</v>
      </c>
      <c r="E44" s="17">
        <v>2927</v>
      </c>
      <c r="F44" s="18">
        <v>33490</v>
      </c>
      <c r="G44" s="18">
        <v>22202</v>
      </c>
      <c r="H44" s="50"/>
    </row>
    <row r="45" spans="1:8" x14ac:dyDescent="0.25">
      <c r="A45" s="16" t="s">
        <v>153</v>
      </c>
      <c r="B45" s="16" t="s">
        <v>118</v>
      </c>
      <c r="C45" s="16" t="s">
        <v>119</v>
      </c>
      <c r="D45" s="16" t="s">
        <v>108</v>
      </c>
      <c r="E45" s="17">
        <v>4743</v>
      </c>
      <c r="F45" s="18">
        <v>28533</v>
      </c>
      <c r="G45" s="18">
        <v>20235</v>
      </c>
      <c r="H45" s="50">
        <f ca="1">YEARFRAC(G45,TODAY())</f>
        <v>70.041666666666671</v>
      </c>
    </row>
    <row r="46" spans="1:8" hidden="1" x14ac:dyDescent="0.25">
      <c r="A46" s="16" t="s">
        <v>164</v>
      </c>
      <c r="B46" s="16" t="s">
        <v>136</v>
      </c>
      <c r="C46" s="16" t="s">
        <v>126</v>
      </c>
      <c r="D46" s="16" t="s">
        <v>109</v>
      </c>
      <c r="E46" s="17">
        <v>2879</v>
      </c>
      <c r="F46" s="18">
        <v>31743</v>
      </c>
      <c r="G46" s="18">
        <v>22347</v>
      </c>
      <c r="H46" s="50"/>
    </row>
    <row r="47" spans="1:8" hidden="1" x14ac:dyDescent="0.25">
      <c r="A47" s="16" t="s">
        <v>185</v>
      </c>
      <c r="B47" s="16" t="s">
        <v>173</v>
      </c>
      <c r="C47" s="16" t="s">
        <v>174</v>
      </c>
      <c r="D47" s="16" t="s">
        <v>109</v>
      </c>
      <c r="E47" s="17">
        <v>2216</v>
      </c>
      <c r="F47" s="18">
        <v>32040</v>
      </c>
      <c r="G47" s="18">
        <v>22554</v>
      </c>
      <c r="H47" s="50"/>
    </row>
    <row r="48" spans="1:8" hidden="1" x14ac:dyDescent="0.25">
      <c r="A48" s="16" t="s">
        <v>186</v>
      </c>
      <c r="B48" s="16" t="s">
        <v>147</v>
      </c>
      <c r="C48" s="16" t="s">
        <v>123</v>
      </c>
      <c r="D48" s="16" t="s">
        <v>108</v>
      </c>
      <c r="E48" s="17">
        <v>2872</v>
      </c>
      <c r="F48" s="18">
        <v>32032</v>
      </c>
      <c r="G48" s="18">
        <v>22565</v>
      </c>
      <c r="H48" s="50"/>
    </row>
    <row r="49" spans="1:8" hidden="1" x14ac:dyDescent="0.25">
      <c r="A49" s="16" t="s">
        <v>187</v>
      </c>
      <c r="B49" s="16" t="s">
        <v>159</v>
      </c>
      <c r="C49" s="16" t="s">
        <v>123</v>
      </c>
      <c r="D49" s="16" t="s">
        <v>107</v>
      </c>
      <c r="E49" s="17">
        <v>1798</v>
      </c>
      <c r="F49" s="18">
        <v>32979</v>
      </c>
      <c r="G49" s="18">
        <v>22890</v>
      </c>
      <c r="H49" s="50"/>
    </row>
    <row r="50" spans="1:8" hidden="1" x14ac:dyDescent="0.25">
      <c r="A50" s="16" t="s">
        <v>188</v>
      </c>
      <c r="B50" s="16" t="s">
        <v>179</v>
      </c>
      <c r="C50" s="16" t="s">
        <v>144</v>
      </c>
      <c r="D50" s="16" t="s">
        <v>107</v>
      </c>
      <c r="E50" s="17">
        <v>1862</v>
      </c>
      <c r="F50" s="18">
        <v>32971</v>
      </c>
      <c r="G50" s="18">
        <v>22901</v>
      </c>
      <c r="H50" s="50"/>
    </row>
    <row r="51" spans="1:8" hidden="1" x14ac:dyDescent="0.25">
      <c r="A51" s="16" t="s">
        <v>171</v>
      </c>
      <c r="B51" s="16" t="s">
        <v>173</v>
      </c>
      <c r="C51" s="16" t="s">
        <v>174</v>
      </c>
      <c r="D51" s="16" t="s">
        <v>108</v>
      </c>
      <c r="E51" s="17">
        <v>2147</v>
      </c>
      <c r="F51" s="18">
        <v>30028</v>
      </c>
      <c r="G51" s="18">
        <v>22942</v>
      </c>
      <c r="H51" s="50"/>
    </row>
    <row r="52" spans="1:8" hidden="1" x14ac:dyDescent="0.25">
      <c r="A52" s="16" t="s">
        <v>189</v>
      </c>
      <c r="B52" s="16" t="s">
        <v>159</v>
      </c>
      <c r="C52" s="16" t="s">
        <v>123</v>
      </c>
      <c r="D52" s="16" t="s">
        <v>109</v>
      </c>
      <c r="E52" s="17">
        <v>1798</v>
      </c>
      <c r="F52" s="18">
        <v>31217</v>
      </c>
      <c r="G52" s="18">
        <v>22943</v>
      </c>
      <c r="H52" s="50"/>
    </row>
    <row r="53" spans="1:8" hidden="1" x14ac:dyDescent="0.25">
      <c r="A53" s="16" t="s">
        <v>190</v>
      </c>
      <c r="B53" s="16" t="s">
        <v>122</v>
      </c>
      <c r="C53" s="16" t="s">
        <v>123</v>
      </c>
      <c r="D53" s="16" t="s">
        <v>108</v>
      </c>
      <c r="E53" s="17">
        <v>3711</v>
      </c>
      <c r="F53" s="18">
        <v>30020</v>
      </c>
      <c r="G53" s="18">
        <v>22953</v>
      </c>
      <c r="H53" s="50"/>
    </row>
    <row r="54" spans="1:8" hidden="1" x14ac:dyDescent="0.25">
      <c r="A54" s="16" t="s">
        <v>191</v>
      </c>
      <c r="B54" s="16" t="s">
        <v>147</v>
      </c>
      <c r="C54" s="16" t="s">
        <v>123</v>
      </c>
      <c r="D54" s="16" t="s">
        <v>107</v>
      </c>
      <c r="E54" s="17">
        <v>2783</v>
      </c>
      <c r="F54" s="18">
        <v>31209</v>
      </c>
      <c r="G54" s="18">
        <v>22954</v>
      </c>
      <c r="H54" s="50"/>
    </row>
    <row r="55" spans="1:8" hidden="1" x14ac:dyDescent="0.25">
      <c r="A55" s="16" t="s">
        <v>192</v>
      </c>
      <c r="B55" s="16" t="s">
        <v>159</v>
      </c>
      <c r="C55" s="16" t="s">
        <v>126</v>
      </c>
      <c r="D55" s="16" t="s">
        <v>108</v>
      </c>
      <c r="E55" s="17">
        <v>1798</v>
      </c>
      <c r="F55" s="18">
        <v>31503</v>
      </c>
      <c r="G55" s="18">
        <v>22971</v>
      </c>
      <c r="H55" s="50"/>
    </row>
    <row r="56" spans="1:8" hidden="1" x14ac:dyDescent="0.25">
      <c r="A56" s="16" t="s">
        <v>131</v>
      </c>
      <c r="B56" s="16" t="s">
        <v>159</v>
      </c>
      <c r="C56" s="16" t="s">
        <v>119</v>
      </c>
      <c r="D56" s="16" t="s">
        <v>108</v>
      </c>
      <c r="E56" s="17">
        <v>1798</v>
      </c>
      <c r="F56" s="18">
        <v>31495</v>
      </c>
      <c r="G56" s="18">
        <v>22982</v>
      </c>
      <c r="H56" s="50"/>
    </row>
    <row r="57" spans="1:8" hidden="1" x14ac:dyDescent="0.25">
      <c r="A57" s="16" t="s">
        <v>193</v>
      </c>
      <c r="B57" s="16" t="s">
        <v>136</v>
      </c>
      <c r="C57" s="16" t="s">
        <v>126</v>
      </c>
      <c r="D57" s="16" t="s">
        <v>109</v>
      </c>
      <c r="E57" s="17">
        <v>2789</v>
      </c>
      <c r="F57" s="18">
        <v>31051</v>
      </c>
      <c r="G57" s="18">
        <v>22991</v>
      </c>
      <c r="H57" s="50"/>
    </row>
    <row r="58" spans="1:8" hidden="1" x14ac:dyDescent="0.25">
      <c r="A58" s="16" t="s">
        <v>194</v>
      </c>
      <c r="B58" s="16" t="s">
        <v>152</v>
      </c>
      <c r="C58" s="16" t="s">
        <v>123</v>
      </c>
      <c r="D58" s="16" t="s">
        <v>107</v>
      </c>
      <c r="E58" s="17">
        <v>4256</v>
      </c>
      <c r="F58" s="18">
        <v>29276</v>
      </c>
      <c r="G58" s="18">
        <v>21790</v>
      </c>
      <c r="H58" s="50"/>
    </row>
    <row r="59" spans="1:8" hidden="1" x14ac:dyDescent="0.25">
      <c r="A59" s="16" t="s">
        <v>195</v>
      </c>
      <c r="B59" s="16" t="s">
        <v>196</v>
      </c>
      <c r="C59" s="16" t="s">
        <v>133</v>
      </c>
      <c r="D59" s="16" t="s">
        <v>108</v>
      </c>
      <c r="E59" s="17">
        <v>1713</v>
      </c>
      <c r="F59" s="18">
        <v>31112</v>
      </c>
      <c r="G59" s="18">
        <v>23188</v>
      </c>
      <c r="H59" s="50"/>
    </row>
    <row r="60" spans="1:8" hidden="1" x14ac:dyDescent="0.25">
      <c r="A60" s="16" t="s">
        <v>197</v>
      </c>
      <c r="B60" s="16" t="s">
        <v>198</v>
      </c>
      <c r="C60" s="16" t="s">
        <v>123</v>
      </c>
      <c r="D60" s="16" t="s">
        <v>108</v>
      </c>
      <c r="E60" s="17">
        <v>3755</v>
      </c>
      <c r="F60" s="18">
        <v>31104</v>
      </c>
      <c r="G60" s="18">
        <v>23199</v>
      </c>
      <c r="H60" s="50"/>
    </row>
    <row r="61" spans="1:8" hidden="1" x14ac:dyDescent="0.25">
      <c r="A61" s="16" t="s">
        <v>199</v>
      </c>
      <c r="B61" s="16" t="s">
        <v>155</v>
      </c>
      <c r="C61" s="16" t="s">
        <v>123</v>
      </c>
      <c r="D61" s="16" t="s">
        <v>108</v>
      </c>
      <c r="E61" s="17">
        <v>2661</v>
      </c>
      <c r="F61" s="18">
        <v>33042</v>
      </c>
      <c r="G61" s="18">
        <v>23203</v>
      </c>
      <c r="H61" s="50"/>
    </row>
    <row r="62" spans="1:8" hidden="1" x14ac:dyDescent="0.25">
      <c r="A62" s="16" t="s">
        <v>200</v>
      </c>
      <c r="B62" s="16" t="s">
        <v>159</v>
      </c>
      <c r="C62" s="16" t="s">
        <v>126</v>
      </c>
      <c r="D62" s="16" t="s">
        <v>107</v>
      </c>
      <c r="E62" s="17">
        <v>1740</v>
      </c>
      <c r="F62" s="18">
        <v>32125</v>
      </c>
      <c r="G62" s="18">
        <v>23283</v>
      </c>
      <c r="H62" s="50"/>
    </row>
    <row r="63" spans="1:8" hidden="1" x14ac:dyDescent="0.25">
      <c r="A63" s="16" t="s">
        <v>201</v>
      </c>
      <c r="B63" s="16" t="s">
        <v>132</v>
      </c>
      <c r="C63" s="16" t="s">
        <v>133</v>
      </c>
      <c r="D63" s="16" t="s">
        <v>108</v>
      </c>
      <c r="E63" s="17">
        <v>1957</v>
      </c>
      <c r="F63" s="18">
        <v>32117</v>
      </c>
      <c r="G63" s="18">
        <v>23294</v>
      </c>
      <c r="H63" s="50"/>
    </row>
    <row r="64" spans="1:8" hidden="1" x14ac:dyDescent="0.25">
      <c r="A64" s="16" t="s">
        <v>202</v>
      </c>
      <c r="B64" s="16" t="s">
        <v>155</v>
      </c>
      <c r="C64" s="16" t="s">
        <v>123</v>
      </c>
      <c r="D64" s="16" t="s">
        <v>107</v>
      </c>
      <c r="E64" s="17">
        <v>2661</v>
      </c>
      <c r="F64" s="18">
        <v>32300</v>
      </c>
      <c r="G64" s="18">
        <v>23298</v>
      </c>
      <c r="H64" s="50"/>
    </row>
    <row r="65" spans="1:8" hidden="1" x14ac:dyDescent="0.25">
      <c r="A65" s="16" t="s">
        <v>193</v>
      </c>
      <c r="B65" s="16" t="s">
        <v>196</v>
      </c>
      <c r="C65" s="16" t="s">
        <v>133</v>
      </c>
      <c r="D65" s="16" t="s">
        <v>109</v>
      </c>
      <c r="E65" s="17">
        <v>1655</v>
      </c>
      <c r="F65" s="18">
        <v>33688</v>
      </c>
      <c r="G65" s="18">
        <v>23393</v>
      </c>
      <c r="H65" s="50"/>
    </row>
    <row r="66" spans="1:8" hidden="1" x14ac:dyDescent="0.25">
      <c r="A66" s="16" t="s">
        <v>203</v>
      </c>
      <c r="B66" s="16" t="s">
        <v>179</v>
      </c>
      <c r="C66" s="16" t="s">
        <v>133</v>
      </c>
      <c r="D66" s="16" t="s">
        <v>109</v>
      </c>
      <c r="E66" s="17">
        <v>1742</v>
      </c>
      <c r="F66" s="18">
        <v>33680</v>
      </c>
      <c r="G66" s="18">
        <v>23404</v>
      </c>
      <c r="H66" s="50"/>
    </row>
    <row r="67" spans="1:8" hidden="1" x14ac:dyDescent="0.25">
      <c r="A67" s="16" t="s">
        <v>204</v>
      </c>
      <c r="B67" s="16" t="s">
        <v>149</v>
      </c>
      <c r="C67" s="16" t="s">
        <v>123</v>
      </c>
      <c r="D67" s="16" t="s">
        <v>108</v>
      </c>
      <c r="E67" s="17">
        <v>1824</v>
      </c>
      <c r="F67" s="18">
        <v>32561</v>
      </c>
      <c r="G67" s="18">
        <v>23503</v>
      </c>
      <c r="H67" s="50"/>
    </row>
    <row r="68" spans="1:8" hidden="1" x14ac:dyDescent="0.25">
      <c r="A68" s="16" t="s">
        <v>205</v>
      </c>
      <c r="B68" s="16" t="s">
        <v>132</v>
      </c>
      <c r="C68" s="16" t="s">
        <v>133</v>
      </c>
      <c r="D68" s="16" t="s">
        <v>107</v>
      </c>
      <c r="E68" s="17">
        <v>1892</v>
      </c>
      <c r="F68" s="18">
        <v>32553</v>
      </c>
      <c r="G68" s="18">
        <v>23514</v>
      </c>
      <c r="H68" s="50"/>
    </row>
    <row r="69" spans="1:8" hidden="1" x14ac:dyDescent="0.25">
      <c r="A69" s="16" t="s">
        <v>206</v>
      </c>
      <c r="B69" s="16" t="s">
        <v>155</v>
      </c>
      <c r="C69" s="16" t="s">
        <v>123</v>
      </c>
      <c r="D69" s="16" t="s">
        <v>108</v>
      </c>
      <c r="E69" s="17">
        <v>2572</v>
      </c>
      <c r="F69" s="18">
        <v>32639</v>
      </c>
      <c r="G69" s="18">
        <v>23518</v>
      </c>
      <c r="H69" s="50"/>
    </row>
    <row r="70" spans="1:8" hidden="1" x14ac:dyDescent="0.25">
      <c r="A70" s="16" t="s">
        <v>131</v>
      </c>
      <c r="B70" s="16" t="s">
        <v>149</v>
      </c>
      <c r="C70" s="16" t="s">
        <v>123</v>
      </c>
      <c r="D70" s="16" t="s">
        <v>109</v>
      </c>
      <c r="E70" s="17">
        <v>1824</v>
      </c>
      <c r="F70" s="18">
        <v>31689</v>
      </c>
      <c r="G70" s="18">
        <v>23683</v>
      </c>
      <c r="H70" s="50"/>
    </row>
    <row r="71" spans="1:8" hidden="1" x14ac:dyDescent="0.25">
      <c r="A71" s="16" t="s">
        <v>207</v>
      </c>
      <c r="B71" s="16" t="s">
        <v>136</v>
      </c>
      <c r="C71" s="16" t="s">
        <v>126</v>
      </c>
      <c r="D71" s="16" t="s">
        <v>108</v>
      </c>
      <c r="E71" s="17">
        <v>2609</v>
      </c>
      <c r="F71" s="18">
        <v>31681</v>
      </c>
      <c r="G71" s="18">
        <v>23694</v>
      </c>
      <c r="H71" s="50"/>
    </row>
    <row r="72" spans="1:8" hidden="1" x14ac:dyDescent="0.25">
      <c r="A72" s="16" t="s">
        <v>208</v>
      </c>
      <c r="B72" s="16" t="s">
        <v>196</v>
      </c>
      <c r="C72" s="16" t="s">
        <v>133</v>
      </c>
      <c r="D72" s="16" t="s">
        <v>107</v>
      </c>
      <c r="E72" s="17">
        <v>1655</v>
      </c>
      <c r="F72" s="18">
        <v>31446</v>
      </c>
      <c r="G72" s="18">
        <v>23702</v>
      </c>
      <c r="H72" s="50"/>
    </row>
    <row r="73" spans="1:8" x14ac:dyDescent="0.25">
      <c r="A73" s="16" t="s">
        <v>167</v>
      </c>
      <c r="B73" s="16" t="s">
        <v>125</v>
      </c>
      <c r="C73" s="16" t="s">
        <v>126</v>
      </c>
      <c r="D73" s="16" t="s">
        <v>108</v>
      </c>
      <c r="E73" s="17">
        <v>4630</v>
      </c>
      <c r="F73" s="18">
        <v>31043</v>
      </c>
      <c r="G73" s="18">
        <v>23002</v>
      </c>
      <c r="H73" s="50">
        <f ca="1">YEARFRAC(G73,TODAY())</f>
        <v>62.469444444444441</v>
      </c>
    </row>
    <row r="74" spans="1:8" hidden="1" x14ac:dyDescent="0.25">
      <c r="A74" s="16" t="s">
        <v>150</v>
      </c>
      <c r="B74" s="16" t="s">
        <v>179</v>
      </c>
      <c r="C74" s="16" t="s">
        <v>144</v>
      </c>
      <c r="D74" s="16" t="s">
        <v>108</v>
      </c>
      <c r="E74" s="17">
        <v>1682</v>
      </c>
      <c r="F74" s="18">
        <v>33710</v>
      </c>
      <c r="G74" s="18">
        <v>23767</v>
      </c>
      <c r="H74" s="50"/>
    </row>
    <row r="75" spans="1:8" hidden="1" x14ac:dyDescent="0.25">
      <c r="A75" s="16" t="s">
        <v>210</v>
      </c>
      <c r="B75" s="16" t="s">
        <v>179</v>
      </c>
      <c r="C75" s="16" t="s">
        <v>133</v>
      </c>
      <c r="D75" s="16" t="s">
        <v>107</v>
      </c>
      <c r="E75" s="17">
        <v>1682</v>
      </c>
      <c r="F75" s="18">
        <v>31729</v>
      </c>
      <c r="G75" s="18">
        <v>23823</v>
      </c>
      <c r="H75" s="50"/>
    </row>
    <row r="76" spans="1:8" hidden="1" x14ac:dyDescent="0.25">
      <c r="A76" s="16" t="s">
        <v>211</v>
      </c>
      <c r="B76" s="16" t="s">
        <v>159</v>
      </c>
      <c r="C76" s="16" t="s">
        <v>119</v>
      </c>
      <c r="D76" s="16" t="s">
        <v>109</v>
      </c>
      <c r="E76" s="17">
        <v>1624</v>
      </c>
      <c r="F76" s="18">
        <v>31721</v>
      </c>
      <c r="G76" s="18">
        <v>23834</v>
      </c>
      <c r="H76" s="50"/>
    </row>
    <row r="77" spans="1:8" hidden="1" x14ac:dyDescent="0.25">
      <c r="A77" s="16" t="s">
        <v>212</v>
      </c>
      <c r="B77" s="16" t="s">
        <v>149</v>
      </c>
      <c r="C77" s="16" t="s">
        <v>123</v>
      </c>
      <c r="D77" s="16" t="s">
        <v>109</v>
      </c>
      <c r="E77" s="17">
        <v>1761</v>
      </c>
      <c r="F77" s="18">
        <v>33091</v>
      </c>
      <c r="G77" s="18">
        <v>23872</v>
      </c>
      <c r="H77" s="50"/>
    </row>
    <row r="78" spans="1:8" hidden="1" x14ac:dyDescent="0.25">
      <c r="A78" s="16" t="s">
        <v>213</v>
      </c>
      <c r="B78" s="16" t="s">
        <v>179</v>
      </c>
      <c r="C78" s="16" t="s">
        <v>126</v>
      </c>
      <c r="D78" s="16" t="s">
        <v>108</v>
      </c>
      <c r="E78" s="17">
        <v>1682</v>
      </c>
      <c r="F78" s="18">
        <v>33083</v>
      </c>
      <c r="G78" s="18">
        <v>23883</v>
      </c>
      <c r="H78" s="50"/>
    </row>
    <row r="79" spans="1:8" hidden="1" x14ac:dyDescent="0.25">
      <c r="A79" s="16" t="s">
        <v>214</v>
      </c>
      <c r="B79" s="16" t="s">
        <v>159</v>
      </c>
      <c r="C79" s="16" t="s">
        <v>126</v>
      </c>
      <c r="D79" s="16" t="s">
        <v>109</v>
      </c>
      <c r="E79" s="17">
        <v>1624</v>
      </c>
      <c r="F79" s="18">
        <v>30900</v>
      </c>
      <c r="G79" s="18">
        <v>23918</v>
      </c>
      <c r="H79" s="50"/>
    </row>
    <row r="80" spans="1:8" hidden="1" x14ac:dyDescent="0.25">
      <c r="A80" s="16" t="s">
        <v>197</v>
      </c>
      <c r="B80" s="16" t="s">
        <v>149</v>
      </c>
      <c r="C80" s="16" t="s">
        <v>123</v>
      </c>
      <c r="D80" s="16" t="s">
        <v>108</v>
      </c>
      <c r="E80" s="17">
        <v>1761</v>
      </c>
      <c r="F80" s="18">
        <v>29916</v>
      </c>
      <c r="G80" s="18">
        <v>23996</v>
      </c>
      <c r="H80" s="50"/>
    </row>
    <row r="81" spans="1:8" hidden="1" x14ac:dyDescent="0.25">
      <c r="A81" s="16" t="s">
        <v>169</v>
      </c>
      <c r="B81" s="16" t="s">
        <v>165</v>
      </c>
      <c r="C81" s="16" t="s">
        <v>123</v>
      </c>
      <c r="D81" s="16" t="s">
        <v>107</v>
      </c>
      <c r="E81" s="17">
        <v>1491</v>
      </c>
      <c r="F81" s="18">
        <v>32863</v>
      </c>
      <c r="G81" s="18">
        <v>23998</v>
      </c>
      <c r="H81" s="50"/>
    </row>
    <row r="82" spans="1:8" hidden="1" x14ac:dyDescent="0.25">
      <c r="A82" s="16" t="s">
        <v>164</v>
      </c>
      <c r="B82" s="16" t="s">
        <v>159</v>
      </c>
      <c r="C82" s="16" t="s">
        <v>119</v>
      </c>
      <c r="D82" s="16" t="s">
        <v>107</v>
      </c>
      <c r="E82" s="17">
        <v>1624</v>
      </c>
      <c r="F82" s="18">
        <v>29908</v>
      </c>
      <c r="G82" s="18">
        <v>24007</v>
      </c>
      <c r="H82" s="50"/>
    </row>
    <row r="83" spans="1:8" hidden="1" x14ac:dyDescent="0.25">
      <c r="A83" s="16" t="s">
        <v>215</v>
      </c>
      <c r="B83" s="16" t="s">
        <v>132</v>
      </c>
      <c r="C83" s="16" t="s">
        <v>133</v>
      </c>
      <c r="D83" s="16" t="s">
        <v>108</v>
      </c>
      <c r="E83" s="17">
        <v>1827</v>
      </c>
      <c r="F83" s="18">
        <v>32855</v>
      </c>
      <c r="G83" s="18">
        <v>24009</v>
      </c>
      <c r="H83" s="50"/>
    </row>
    <row r="84" spans="1:8" hidden="1" x14ac:dyDescent="0.25">
      <c r="A84" s="16" t="s">
        <v>216</v>
      </c>
      <c r="B84" s="16" t="s">
        <v>136</v>
      </c>
      <c r="C84" s="16" t="s">
        <v>126</v>
      </c>
      <c r="D84" s="16" t="s">
        <v>107</v>
      </c>
      <c r="E84" s="17">
        <v>2519</v>
      </c>
      <c r="F84" s="18">
        <v>30240</v>
      </c>
      <c r="G84" s="18">
        <v>24011</v>
      </c>
      <c r="H84" s="50"/>
    </row>
    <row r="85" spans="1:8" hidden="1" x14ac:dyDescent="0.25">
      <c r="A85" s="16" t="s">
        <v>217</v>
      </c>
      <c r="B85" s="16" t="s">
        <v>149</v>
      </c>
      <c r="C85" s="16" t="s">
        <v>123</v>
      </c>
      <c r="D85" s="16" t="s">
        <v>107</v>
      </c>
      <c r="E85" s="17">
        <v>1761</v>
      </c>
      <c r="F85" s="18">
        <v>32979</v>
      </c>
      <c r="G85" s="18">
        <v>24022</v>
      </c>
      <c r="H85" s="50"/>
    </row>
    <row r="86" spans="1:8" hidden="1" x14ac:dyDescent="0.25">
      <c r="A86" s="16" t="s">
        <v>218</v>
      </c>
      <c r="B86" s="16" t="s">
        <v>179</v>
      </c>
      <c r="C86" s="16" t="s">
        <v>144</v>
      </c>
      <c r="D86" s="16" t="s">
        <v>109</v>
      </c>
      <c r="E86" s="17">
        <v>1682</v>
      </c>
      <c r="F86" s="18">
        <v>32971</v>
      </c>
      <c r="G86" s="18">
        <v>24033</v>
      </c>
      <c r="H86" s="50"/>
    </row>
    <row r="87" spans="1:8" hidden="1" x14ac:dyDescent="0.25">
      <c r="A87" s="16" t="s">
        <v>145</v>
      </c>
      <c r="B87" s="16" t="s">
        <v>196</v>
      </c>
      <c r="C87" s="16" t="s">
        <v>133</v>
      </c>
      <c r="D87" s="16" t="s">
        <v>108</v>
      </c>
      <c r="E87" s="17">
        <v>1598</v>
      </c>
      <c r="F87" s="18">
        <v>32894</v>
      </c>
      <c r="G87" s="18">
        <v>24038</v>
      </c>
      <c r="H87" s="50"/>
    </row>
    <row r="88" spans="1:8" hidden="1" x14ac:dyDescent="0.25">
      <c r="A88" s="16" t="s">
        <v>219</v>
      </c>
      <c r="B88" s="16" t="s">
        <v>179</v>
      </c>
      <c r="C88" s="16" t="s">
        <v>133</v>
      </c>
      <c r="D88" s="16" t="s">
        <v>108</v>
      </c>
      <c r="E88" s="17">
        <v>1682</v>
      </c>
      <c r="F88" s="18">
        <v>32886</v>
      </c>
      <c r="G88" s="18">
        <v>24049</v>
      </c>
      <c r="H88" s="50"/>
    </row>
    <row r="89" spans="1:8" hidden="1" x14ac:dyDescent="0.25">
      <c r="A89" s="16" t="s">
        <v>220</v>
      </c>
      <c r="B89" s="16" t="s">
        <v>159</v>
      </c>
      <c r="C89" s="16" t="s">
        <v>119</v>
      </c>
      <c r="D89" s="16" t="s">
        <v>109</v>
      </c>
      <c r="E89" s="17">
        <v>1566</v>
      </c>
      <c r="F89" s="18">
        <v>31050</v>
      </c>
      <c r="G89" s="18">
        <v>24200</v>
      </c>
      <c r="H89" s="50"/>
    </row>
    <row r="90" spans="1:8" hidden="1" x14ac:dyDescent="0.25">
      <c r="A90" s="16" t="s">
        <v>221</v>
      </c>
      <c r="B90" s="16" t="s">
        <v>159</v>
      </c>
      <c r="C90" s="16" t="s">
        <v>123</v>
      </c>
      <c r="D90" s="16" t="s">
        <v>108</v>
      </c>
      <c r="E90" s="17">
        <v>1508</v>
      </c>
      <c r="F90" s="18">
        <v>31805</v>
      </c>
      <c r="G90" s="18">
        <v>24476</v>
      </c>
      <c r="H90" s="50"/>
    </row>
    <row r="91" spans="1:8" hidden="1" x14ac:dyDescent="0.25">
      <c r="A91" s="16" t="s">
        <v>222</v>
      </c>
      <c r="B91" s="16" t="s">
        <v>159</v>
      </c>
      <c r="C91" s="16" t="s">
        <v>119</v>
      </c>
      <c r="D91" s="16" t="s">
        <v>108</v>
      </c>
      <c r="E91" s="17">
        <v>1508</v>
      </c>
      <c r="F91" s="18">
        <v>33258</v>
      </c>
      <c r="G91" s="18">
        <v>24487</v>
      </c>
      <c r="H91" s="50"/>
    </row>
    <row r="92" spans="1:8" hidden="1" x14ac:dyDescent="0.25">
      <c r="A92" s="16" t="s">
        <v>223</v>
      </c>
      <c r="B92" s="16" t="s">
        <v>143</v>
      </c>
      <c r="C92" s="16" t="s">
        <v>144</v>
      </c>
      <c r="D92" s="16" t="s">
        <v>107</v>
      </c>
      <c r="E92" s="17">
        <v>2463</v>
      </c>
      <c r="F92" s="18">
        <v>31543</v>
      </c>
      <c r="G92" s="18">
        <v>24491</v>
      </c>
      <c r="H92" s="50"/>
    </row>
    <row r="93" spans="1:8" hidden="1" x14ac:dyDescent="0.25">
      <c r="A93" s="16" t="s">
        <v>224</v>
      </c>
      <c r="B93" s="16" t="s">
        <v>225</v>
      </c>
      <c r="C93" s="16" t="s">
        <v>174</v>
      </c>
      <c r="D93" s="16" t="s">
        <v>107</v>
      </c>
      <c r="E93" s="17">
        <v>1510</v>
      </c>
      <c r="F93" s="18">
        <v>33344</v>
      </c>
      <c r="G93" s="18">
        <v>24693</v>
      </c>
      <c r="H93" s="50"/>
    </row>
    <row r="94" spans="1:8" hidden="1" x14ac:dyDescent="0.25">
      <c r="A94" s="16" t="s">
        <v>226</v>
      </c>
      <c r="B94" s="16" t="s">
        <v>179</v>
      </c>
      <c r="C94" s="16" t="s">
        <v>126</v>
      </c>
      <c r="D94" s="16" t="s">
        <v>107</v>
      </c>
      <c r="E94" s="17">
        <v>1562</v>
      </c>
      <c r="F94" s="18">
        <v>33336</v>
      </c>
      <c r="G94" s="18">
        <v>24704</v>
      </c>
      <c r="H94" s="50"/>
    </row>
    <row r="95" spans="1:8" hidden="1" x14ac:dyDescent="0.25">
      <c r="A95" s="16" t="s">
        <v>227</v>
      </c>
      <c r="B95" s="16" t="s">
        <v>173</v>
      </c>
      <c r="C95" s="16" t="s">
        <v>174</v>
      </c>
      <c r="D95" s="16" t="s">
        <v>107</v>
      </c>
      <c r="E95" s="17">
        <v>1800</v>
      </c>
      <c r="F95" s="18">
        <v>29385</v>
      </c>
      <c r="G95" s="18">
        <v>24730</v>
      </c>
      <c r="H95" s="50"/>
    </row>
    <row r="96" spans="1:8" hidden="1" x14ac:dyDescent="0.25">
      <c r="A96" s="16" t="s">
        <v>228</v>
      </c>
      <c r="B96" s="16" t="s">
        <v>122</v>
      </c>
      <c r="C96" s="16" t="s">
        <v>123</v>
      </c>
      <c r="D96" s="16" t="s">
        <v>109</v>
      </c>
      <c r="E96" s="17">
        <v>3112</v>
      </c>
      <c r="F96" s="18">
        <v>29377</v>
      </c>
      <c r="G96" s="18">
        <v>24741</v>
      </c>
      <c r="H96" s="50"/>
    </row>
    <row r="97" spans="1:8" hidden="1" x14ac:dyDescent="0.25">
      <c r="A97" s="16" t="s">
        <v>229</v>
      </c>
      <c r="B97" s="16" t="s">
        <v>128</v>
      </c>
      <c r="C97" s="16" t="s">
        <v>126</v>
      </c>
      <c r="D97" s="16" t="s">
        <v>109</v>
      </c>
      <c r="E97" s="17">
        <v>2081</v>
      </c>
      <c r="F97" s="18">
        <v>28376</v>
      </c>
      <c r="G97" s="18">
        <v>24906</v>
      </c>
      <c r="H97" s="50"/>
    </row>
    <row r="98" spans="1:8" hidden="1" x14ac:dyDescent="0.25">
      <c r="A98" s="16" t="s">
        <v>230</v>
      </c>
      <c r="B98" s="16" t="s">
        <v>173</v>
      </c>
      <c r="C98" s="16" t="s">
        <v>174</v>
      </c>
      <c r="D98" s="16" t="s">
        <v>107</v>
      </c>
      <c r="E98" s="17">
        <v>1731</v>
      </c>
      <c r="F98" s="18">
        <v>33231</v>
      </c>
      <c r="G98" s="18">
        <v>25114</v>
      </c>
      <c r="H98" s="50"/>
    </row>
    <row r="99" spans="1:8" hidden="1" x14ac:dyDescent="0.25">
      <c r="A99" s="16" t="s">
        <v>231</v>
      </c>
      <c r="B99" s="16" t="s">
        <v>159</v>
      </c>
      <c r="C99" s="16" t="s">
        <v>119</v>
      </c>
      <c r="D99" s="16" t="s">
        <v>109</v>
      </c>
      <c r="E99" s="17">
        <v>1450</v>
      </c>
      <c r="F99" s="18">
        <v>33223</v>
      </c>
      <c r="G99" s="18">
        <v>25125</v>
      </c>
      <c r="H99" s="50"/>
    </row>
    <row r="100" spans="1:8" hidden="1" x14ac:dyDescent="0.25">
      <c r="A100" s="16" t="s">
        <v>232</v>
      </c>
      <c r="B100" s="16" t="s">
        <v>136</v>
      </c>
      <c r="C100" s="16" t="s">
        <v>126</v>
      </c>
      <c r="D100" s="16" t="s">
        <v>109</v>
      </c>
      <c r="E100" s="17">
        <v>2249</v>
      </c>
      <c r="F100" s="18">
        <v>31034</v>
      </c>
      <c r="G100" s="18">
        <v>25129</v>
      </c>
      <c r="H100" s="50"/>
    </row>
    <row r="101" spans="1:8" hidden="1" x14ac:dyDescent="0.25">
      <c r="A101" s="16" t="s">
        <v>233</v>
      </c>
      <c r="B101" s="16" t="s">
        <v>225</v>
      </c>
      <c r="C101" s="16" t="s">
        <v>174</v>
      </c>
      <c r="D101" s="16" t="s">
        <v>109</v>
      </c>
      <c r="E101" s="17">
        <v>1394</v>
      </c>
      <c r="F101" s="18">
        <v>33559</v>
      </c>
      <c r="G101" s="18">
        <v>25327</v>
      </c>
      <c r="H101" s="50"/>
    </row>
    <row r="102" spans="1:8" hidden="1" x14ac:dyDescent="0.25">
      <c r="A102" s="16" t="s">
        <v>142</v>
      </c>
      <c r="B102" s="16" t="s">
        <v>159</v>
      </c>
      <c r="C102" s="16" t="s">
        <v>119</v>
      </c>
      <c r="D102" s="16" t="s">
        <v>107</v>
      </c>
      <c r="E102" s="17">
        <v>1392</v>
      </c>
      <c r="F102" s="18">
        <v>33551</v>
      </c>
      <c r="G102" s="18">
        <v>25338</v>
      </c>
      <c r="H102" s="50"/>
    </row>
    <row r="103" spans="1:8" hidden="1" x14ac:dyDescent="0.25">
      <c r="A103" s="16" t="s">
        <v>177</v>
      </c>
      <c r="B103" s="16" t="s">
        <v>136</v>
      </c>
      <c r="C103" s="16" t="s">
        <v>126</v>
      </c>
      <c r="D103" s="16" t="s">
        <v>107</v>
      </c>
      <c r="E103" s="17">
        <v>2159</v>
      </c>
      <c r="F103" s="18">
        <v>33970</v>
      </c>
      <c r="G103" s="18">
        <v>25342</v>
      </c>
      <c r="H103" s="50"/>
    </row>
    <row r="104" spans="1:8" hidden="1" x14ac:dyDescent="0.25">
      <c r="A104" s="16" t="s">
        <v>234</v>
      </c>
      <c r="B104" s="16" t="s">
        <v>132</v>
      </c>
      <c r="C104" s="16" t="s">
        <v>133</v>
      </c>
      <c r="D104" s="16" t="s">
        <v>107</v>
      </c>
      <c r="E104" s="17">
        <v>1566</v>
      </c>
      <c r="F104" s="18">
        <v>32679</v>
      </c>
      <c r="G104" s="18">
        <v>25351</v>
      </c>
      <c r="H104" s="50"/>
    </row>
    <row r="105" spans="1:8" hidden="1" x14ac:dyDescent="0.25">
      <c r="A105" s="16" t="s">
        <v>235</v>
      </c>
      <c r="B105" s="16" t="s">
        <v>165</v>
      </c>
      <c r="C105" s="16" t="s">
        <v>123</v>
      </c>
      <c r="D105" s="16" t="s">
        <v>109</v>
      </c>
      <c r="E105" s="17">
        <v>1278</v>
      </c>
      <c r="F105" s="18">
        <v>32571</v>
      </c>
      <c r="G105" s="18">
        <v>25432</v>
      </c>
      <c r="H105" s="50"/>
    </row>
    <row r="106" spans="1:8" hidden="1" x14ac:dyDescent="0.25">
      <c r="A106" s="16" t="s">
        <v>236</v>
      </c>
      <c r="B106" s="16" t="s">
        <v>225</v>
      </c>
      <c r="C106" s="16" t="s">
        <v>174</v>
      </c>
      <c r="D106" s="16" t="s">
        <v>108</v>
      </c>
      <c r="E106" s="17">
        <v>1394</v>
      </c>
      <c r="F106" s="18">
        <v>33823</v>
      </c>
      <c r="G106" s="18">
        <v>25443</v>
      </c>
      <c r="H106" s="50"/>
    </row>
    <row r="107" spans="1:8" hidden="1" x14ac:dyDescent="0.25">
      <c r="A107" s="16" t="s">
        <v>237</v>
      </c>
      <c r="B107" s="16" t="s">
        <v>155</v>
      </c>
      <c r="C107" s="16" t="s">
        <v>123</v>
      </c>
      <c r="D107" s="16" t="s">
        <v>109</v>
      </c>
      <c r="E107" s="17">
        <v>2128</v>
      </c>
      <c r="F107" s="18">
        <v>33062</v>
      </c>
      <c r="G107" s="18">
        <v>25447</v>
      </c>
      <c r="H107" s="50"/>
    </row>
    <row r="108" spans="1:8" hidden="1" x14ac:dyDescent="0.25">
      <c r="A108" s="16" t="s">
        <v>238</v>
      </c>
      <c r="B108" s="16" t="s">
        <v>128</v>
      </c>
      <c r="C108" s="16" t="s">
        <v>126</v>
      </c>
      <c r="D108" s="16" t="s">
        <v>107</v>
      </c>
      <c r="E108" s="17">
        <v>1998</v>
      </c>
      <c r="F108" s="18">
        <v>29885</v>
      </c>
      <c r="G108" s="18">
        <v>25447</v>
      </c>
      <c r="H108" s="50"/>
    </row>
    <row r="109" spans="1:8" hidden="1" x14ac:dyDescent="0.25">
      <c r="A109" s="16" t="s">
        <v>239</v>
      </c>
      <c r="B109" s="16" t="s">
        <v>159</v>
      </c>
      <c r="C109" s="16" t="s">
        <v>119</v>
      </c>
      <c r="D109" s="16" t="s">
        <v>107</v>
      </c>
      <c r="E109" s="17">
        <v>1392</v>
      </c>
      <c r="F109" s="18">
        <v>29877</v>
      </c>
      <c r="G109" s="18">
        <v>25458</v>
      </c>
      <c r="H109" s="50"/>
    </row>
    <row r="110" spans="1:8" hidden="1" x14ac:dyDescent="0.25">
      <c r="A110" s="16" t="s">
        <v>240</v>
      </c>
      <c r="B110" s="16" t="s">
        <v>143</v>
      </c>
      <c r="C110" s="16" t="s">
        <v>144</v>
      </c>
      <c r="D110" s="16" t="s">
        <v>109</v>
      </c>
      <c r="E110" s="17">
        <v>2273</v>
      </c>
      <c r="F110" s="18">
        <v>32087</v>
      </c>
      <c r="G110" s="18">
        <v>25462</v>
      </c>
      <c r="H110" s="50"/>
    </row>
    <row r="111" spans="1:8" hidden="1" x14ac:dyDescent="0.25">
      <c r="A111" s="16" t="s">
        <v>137</v>
      </c>
      <c r="B111" s="16" t="s">
        <v>128</v>
      </c>
      <c r="C111" s="16" t="s">
        <v>126</v>
      </c>
      <c r="D111" s="16" t="s">
        <v>107</v>
      </c>
      <c r="E111" s="17">
        <v>1914</v>
      </c>
      <c r="F111" s="18">
        <v>33346</v>
      </c>
      <c r="G111" s="18">
        <v>25746</v>
      </c>
      <c r="H111" s="50"/>
    </row>
    <row r="112" spans="1:8" hidden="1" x14ac:dyDescent="0.25">
      <c r="A112" s="16" t="s">
        <v>241</v>
      </c>
      <c r="B112" s="16" t="s">
        <v>179</v>
      </c>
      <c r="C112" s="16" t="s">
        <v>123</v>
      </c>
      <c r="D112" s="16" t="s">
        <v>109</v>
      </c>
      <c r="E112" s="17">
        <v>1382</v>
      </c>
      <c r="F112" s="18">
        <v>33338</v>
      </c>
      <c r="G112" s="18">
        <v>25757</v>
      </c>
      <c r="H112" s="50"/>
    </row>
    <row r="113" spans="1:8" hidden="1" x14ac:dyDescent="0.25">
      <c r="A113" s="16" t="s">
        <v>242</v>
      </c>
      <c r="B113" s="16" t="s">
        <v>155</v>
      </c>
      <c r="C113" s="16" t="s">
        <v>123</v>
      </c>
      <c r="D113" s="16" t="s">
        <v>107</v>
      </c>
      <c r="E113" s="17">
        <v>2040</v>
      </c>
      <c r="F113" s="18">
        <v>33890</v>
      </c>
      <c r="G113" s="18">
        <v>25761</v>
      </c>
      <c r="H113" s="50"/>
    </row>
    <row r="114" spans="1:8" hidden="1" x14ac:dyDescent="0.25">
      <c r="A114" s="16" t="s">
        <v>243</v>
      </c>
      <c r="B114" s="16" t="s">
        <v>196</v>
      </c>
      <c r="C114" s="16" t="s">
        <v>133</v>
      </c>
      <c r="D114" s="16" t="s">
        <v>107</v>
      </c>
      <c r="E114" s="17">
        <v>1313</v>
      </c>
      <c r="F114" s="18">
        <v>33365</v>
      </c>
      <c r="G114" s="18">
        <v>25839</v>
      </c>
      <c r="H114" s="50"/>
    </row>
    <row r="115" spans="1:8" hidden="1" x14ac:dyDescent="0.25">
      <c r="A115" s="16" t="s">
        <v>150</v>
      </c>
      <c r="B115" s="16" t="s">
        <v>179</v>
      </c>
      <c r="C115" s="16" t="s">
        <v>123</v>
      </c>
      <c r="D115" s="16" t="s">
        <v>108</v>
      </c>
      <c r="E115" s="17">
        <v>1382</v>
      </c>
      <c r="F115" s="18">
        <v>33357</v>
      </c>
      <c r="G115" s="18">
        <v>25850</v>
      </c>
      <c r="H115" s="50"/>
    </row>
  </sheetData>
  <autoFilter ref="A1:H115" xr:uid="{DEC597D2-E3DD-48EF-B7C7-516AAF43DDD5}">
    <filterColumn colId="4">
      <customFilters>
        <customFilter operator="greaterThan" val="450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13</vt:i4>
      </vt:variant>
      <vt:variant>
        <vt:lpstr>Intervalos com Nome</vt:lpstr>
      </vt:variant>
      <vt:variant>
        <vt:i4>1</vt:i4>
      </vt:variant>
    </vt:vector>
  </HeadingPairs>
  <TitlesOfParts>
    <vt:vector size="14" baseType="lpstr">
      <vt:lpstr>Ex1</vt:lpstr>
      <vt:lpstr>Ex2</vt:lpstr>
      <vt:lpstr>Ex3</vt:lpstr>
      <vt:lpstr>Ex4</vt:lpstr>
      <vt:lpstr>Ex4 (2)</vt:lpstr>
      <vt:lpstr>Ex5</vt:lpstr>
      <vt:lpstr>Ex6</vt:lpstr>
      <vt:lpstr>Ex6 (2)</vt:lpstr>
      <vt:lpstr>Ex6 (3)</vt:lpstr>
      <vt:lpstr>Ex6 (4)</vt:lpstr>
      <vt:lpstr>Ex7</vt:lpstr>
      <vt:lpstr>Ex8</vt:lpstr>
      <vt:lpstr>Ex8 (2)</vt:lpstr>
      <vt:lpstr>'Ex7'!Extrair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</dc:creator>
  <cp:lastModifiedBy>MANOEL BARATA</cp:lastModifiedBy>
  <dcterms:created xsi:type="dcterms:W3CDTF">2018-11-27T10:58:16Z</dcterms:created>
  <dcterms:modified xsi:type="dcterms:W3CDTF">2025-06-11T18:15:07Z</dcterms:modified>
</cp:coreProperties>
</file>