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"/>
    </mc:Choice>
  </mc:AlternateContent>
  <xr:revisionPtr revIDLastSave="0" documentId="13_ncr:1_{BEDEFB0D-E42C-4AF9-9835-77A7E764117C}" xr6:coauthVersionLast="47" xr6:coauthVersionMax="47" xr10:uidLastSave="{00000000-0000-0000-0000-000000000000}"/>
  <bookViews>
    <workbookView xWindow="-120" yWindow="-120" windowWidth="20730" windowHeight="11160" xr2:uid="{9D2BCDEB-287C-4BC3-9757-41B41B0B62FF}"/>
  </bookViews>
  <sheets>
    <sheet name="Ex1" sheetId="4" r:id="rId1"/>
    <sheet name="Ex2" sheetId="2" r:id="rId2"/>
    <sheet name="Ex3" sheetId="3" r:id="rId3"/>
    <sheet name="Ex4" sheetId="9" r:id="rId4"/>
    <sheet name="Ex5" sheetId="1" r:id="rId5"/>
    <sheet name="Ex6" sheetId="6" r:id="rId6"/>
    <sheet name="Ex7" sheetId="7" r:id="rId7"/>
    <sheet name="Ex8" sheetId="5" r:id="rId8"/>
    <sheet name="Ex9" sheetId="8" r:id="rId9"/>
    <sheet name="Ex10" sheetId="10" r:id="rId10"/>
  </sheets>
  <definedNames>
    <definedName name="_xlnm._FilterDatabase" localSheetId="8" hidden="1">'Ex9'!$I$2:$I$9</definedName>
  </definedNames>
  <calcPr calcId="191029"/>
  <pivotCaches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4" i="2"/>
  <c r="C12" i="8"/>
  <c r="E10" i="8"/>
  <c r="C10" i="8"/>
  <c r="C9" i="8"/>
  <c r="C8" i="8"/>
  <c r="O29" i="5"/>
  <c r="O28" i="5"/>
  <c r="O27" i="5"/>
  <c r="O26" i="5"/>
  <c r="L23" i="5"/>
  <c r="L20" i="5"/>
  <c r="L21" i="5"/>
  <c r="L22" i="5"/>
  <c r="L19" i="5"/>
  <c r="L10" i="5"/>
  <c r="L11" i="5"/>
  <c r="L12" i="5"/>
  <c r="L9" i="5"/>
  <c r="P23" i="5"/>
  <c r="P13" i="5"/>
  <c r="P20" i="5"/>
  <c r="P21" i="5"/>
  <c r="P22" i="5"/>
  <c r="P19" i="5"/>
  <c r="P10" i="5"/>
  <c r="P11" i="5"/>
  <c r="P12" i="5"/>
  <c r="P9" i="5"/>
  <c r="G56" i="7"/>
  <c r="G53" i="7"/>
  <c r="G46" i="7"/>
  <c r="G43" i="7"/>
  <c r="G39" i="7"/>
  <c r="G57" i="7" s="1"/>
  <c r="G27" i="7"/>
  <c r="G21" i="7"/>
  <c r="G14" i="7"/>
  <c r="G11" i="7"/>
  <c r="G7" i="7"/>
  <c r="G4" i="7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4" i="6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O6" i="9"/>
  <c r="O5" i="9"/>
  <c r="O4" i="9"/>
  <c r="O3" i="9"/>
  <c r="O2" i="9"/>
  <c r="E7" i="2"/>
  <c r="E8" i="2"/>
  <c r="E9" i="2"/>
  <c r="E10" i="2"/>
  <c r="E11" i="2"/>
  <c r="E12" i="2"/>
  <c r="E13" i="2"/>
  <c r="E14" i="2"/>
  <c r="E15" i="2"/>
  <c r="E6" i="2"/>
  <c r="E5" i="2"/>
  <c r="E4" i="2"/>
  <c r="D14" i="2" a="1"/>
  <c r="D14" i="2" s="1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5" i="2" a="1"/>
  <c r="D15" i="2"/>
  <c r="D4" i="2" a="1"/>
  <c r="D4" i="2" s="1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8" i="4"/>
  <c r="F25" i="4"/>
  <c r="F24" i="4"/>
  <c r="F23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8" i="4"/>
  <c r="F22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8" i="4"/>
  <c r="D6" i="10"/>
  <c r="D5" i="10"/>
  <c r="D4" i="10"/>
  <c r="D3" i="10"/>
  <c r="D2" i="10"/>
  <c r="L13" i="5" l="1"/>
  <c r="G2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<sst xmlns="http://schemas.openxmlformats.org/spreadsheetml/2006/main" count="1328" uniqueCount="366">
  <si>
    <t>Nome</t>
  </si>
  <si>
    <t>Maria Cecília</t>
  </si>
  <si>
    <t>Marco Antônio</t>
  </si>
  <si>
    <t>José Maria</t>
  </si>
  <si>
    <t>Solange</t>
  </si>
  <si>
    <t>Silvana</t>
  </si>
  <si>
    <t>Marcelo</t>
  </si>
  <si>
    <t>Salário</t>
  </si>
  <si>
    <t>Vendedor</t>
  </si>
  <si>
    <t>Valor das Vendas</t>
  </si>
  <si>
    <t>Classificação</t>
  </si>
  <si>
    <t>Comissão</t>
  </si>
  <si>
    <t>Valor da Comissão</t>
  </si>
  <si>
    <t>João</t>
  </si>
  <si>
    <t>Jorge</t>
  </si>
  <si>
    <t>José Mendes</t>
  </si>
  <si>
    <t>Marco Serrano</t>
  </si>
  <si>
    <t>Mário Falcão</t>
  </si>
  <si>
    <t>Nuno Balhau</t>
  </si>
  <si>
    <t>Comissões e Classificação</t>
  </si>
  <si>
    <t>Vendas</t>
  </si>
  <si>
    <t>Suficiente</t>
  </si>
  <si>
    <t>Normal</t>
  </si>
  <si>
    <t>Bom</t>
  </si>
  <si>
    <t>Melhorar</t>
  </si>
  <si>
    <t>Tipo</t>
  </si>
  <si>
    <t>Continente</t>
  </si>
  <si>
    <t>País</t>
  </si>
  <si>
    <t>Mês</t>
  </si>
  <si>
    <t>Compras</t>
  </si>
  <si>
    <t>Actual</t>
  </si>
  <si>
    <t>Europa</t>
  </si>
  <si>
    <t>Inglaterra</t>
  </si>
  <si>
    <t>Maio</t>
  </si>
  <si>
    <t>Escócia</t>
  </si>
  <si>
    <t>Dezembro</t>
  </si>
  <si>
    <t>País de Gales</t>
  </si>
  <si>
    <t>Agosto</t>
  </si>
  <si>
    <t>Irlanda</t>
  </si>
  <si>
    <t>Alemanha</t>
  </si>
  <si>
    <t>Outubro</t>
  </si>
  <si>
    <t>França</t>
  </si>
  <si>
    <t>Novembro</t>
  </si>
  <si>
    <t>Itália</t>
  </si>
  <si>
    <t>Abril</t>
  </si>
  <si>
    <t>Espanha</t>
  </si>
  <si>
    <t>Janeiro</t>
  </si>
  <si>
    <t>Grécia</t>
  </si>
  <si>
    <t>Portugal</t>
  </si>
  <si>
    <t>Estimado</t>
  </si>
  <si>
    <t>Junho</t>
  </si>
  <si>
    <t>Fevereiro</t>
  </si>
  <si>
    <t>América</t>
  </si>
  <si>
    <t>EUA</t>
  </si>
  <si>
    <t>Canadá</t>
  </si>
  <si>
    <t>México</t>
  </si>
  <si>
    <t>Março</t>
  </si>
  <si>
    <t>Colómbia</t>
  </si>
  <si>
    <t>Brasil</t>
  </si>
  <si>
    <t>Chile</t>
  </si>
  <si>
    <t>Venezuela</t>
  </si>
  <si>
    <t>Cuba</t>
  </si>
  <si>
    <t>Uruguai</t>
  </si>
  <si>
    <t>Argentina</t>
  </si>
  <si>
    <t>Setembro</t>
  </si>
  <si>
    <t>Julho</t>
  </si>
  <si>
    <t>Ásia</t>
  </si>
  <si>
    <t>Austrália</t>
  </si>
  <si>
    <t>Nova Zelândia</t>
  </si>
  <si>
    <t>China</t>
  </si>
  <si>
    <t>Hong Kong</t>
  </si>
  <si>
    <t>Índia</t>
  </si>
  <si>
    <t>Pakistão</t>
  </si>
  <si>
    <t>Bangladesh</t>
  </si>
  <si>
    <t>Vietnam</t>
  </si>
  <si>
    <t>Camboja</t>
  </si>
  <si>
    <t>Laos</t>
  </si>
  <si>
    <t>África</t>
  </si>
  <si>
    <t>Argélia</t>
  </si>
  <si>
    <t>Egipto</t>
  </si>
  <si>
    <t>Etiópia</t>
  </si>
  <si>
    <t>Quénia</t>
  </si>
  <si>
    <t>Libéria</t>
  </si>
  <si>
    <t>Ilhas Mauricias</t>
  </si>
  <si>
    <t>Nigéria</t>
  </si>
  <si>
    <t>África do Sul</t>
  </si>
  <si>
    <t>Tunisia</t>
  </si>
  <si>
    <t>Zimbabwe</t>
  </si>
  <si>
    <t>CENTRAL COMPRAS - Compra Tudo, S.A.</t>
  </si>
  <si>
    <t>Cotação de equipamentos e comparação de preços entre fornecedores</t>
  </si>
  <si>
    <t>Taxa de custo pagamento 30 dias</t>
  </si>
  <si>
    <t>Desconto PP</t>
  </si>
  <si>
    <t>Descrição</t>
  </si>
  <si>
    <t>Fornecedor</t>
  </si>
  <si>
    <t>PVP</t>
  </si>
  <si>
    <t>Quantidade</t>
  </si>
  <si>
    <t>Total</t>
  </si>
  <si>
    <t>Desconto</t>
  </si>
  <si>
    <t>Preço 30 dias</t>
  </si>
  <si>
    <t>Impressora Laser</t>
  </si>
  <si>
    <t>SUperPreços, S.A</t>
  </si>
  <si>
    <t>PC´s e componentes, Lda.</t>
  </si>
  <si>
    <t>PC Pentium IV</t>
  </si>
  <si>
    <t>MegaComp, Lda.</t>
  </si>
  <si>
    <t>Rato USB</t>
  </si>
  <si>
    <t>Scanner</t>
  </si>
  <si>
    <t>Kit Multimédia</t>
  </si>
  <si>
    <t>Fax Laser</t>
  </si>
  <si>
    <t>Valor maximo</t>
  </si>
  <si>
    <t>Média</t>
  </si>
  <si>
    <t>Minimo</t>
  </si>
  <si>
    <t>Func</t>
  </si>
  <si>
    <t>Nomes</t>
  </si>
  <si>
    <t>Cidade</t>
  </si>
  <si>
    <t>Cargo</t>
  </si>
  <si>
    <t>Departamento</t>
  </si>
  <si>
    <t>Anos Serviço</t>
  </si>
  <si>
    <t>Ordenado</t>
  </si>
  <si>
    <t>Alda Xavier</t>
  </si>
  <si>
    <t>Lisboa</t>
  </si>
  <si>
    <t>Analista</t>
  </si>
  <si>
    <t>Administração</t>
  </si>
  <si>
    <t>Alvaro Nunes</t>
  </si>
  <si>
    <t>Escriturário</t>
  </si>
  <si>
    <t>Contabilidade</t>
  </si>
  <si>
    <t>Amélia Oliveira</t>
  </si>
  <si>
    <t>Finanças</t>
  </si>
  <si>
    <t>Amélia Xavier</t>
  </si>
  <si>
    <t>Santarém</t>
  </si>
  <si>
    <t>Ana Camargo</t>
  </si>
  <si>
    <t>Leiria</t>
  </si>
  <si>
    <t>Produção</t>
  </si>
  <si>
    <t>Antonio Carvalho</t>
  </si>
  <si>
    <t>Porto</t>
  </si>
  <si>
    <t>Antonio Flores</t>
  </si>
  <si>
    <t>Antonio Lima</t>
  </si>
  <si>
    <t>Antonio Silva</t>
  </si>
  <si>
    <t>Aparecida Rodrigues</t>
  </si>
  <si>
    <t>Diretor(a)</t>
  </si>
  <si>
    <t>Augusto Figueira</t>
  </si>
  <si>
    <t>Contador(a)</t>
  </si>
  <si>
    <t>Bernardete Serra</t>
  </si>
  <si>
    <t>Secretária</t>
  </si>
  <si>
    <t>Bernardo Ramires</t>
  </si>
  <si>
    <t>Bernardo Vieira</t>
  </si>
  <si>
    <t>Bruno Lima</t>
  </si>
  <si>
    <t>Camila Vieira</t>
  </si>
  <si>
    <t>Carlos Silva</t>
  </si>
  <si>
    <t>Comprador</t>
  </si>
  <si>
    <t>Carlos Tavares</t>
  </si>
  <si>
    <t>Carlos Xavier</t>
  </si>
  <si>
    <t>Gerente</t>
  </si>
  <si>
    <t>Celeste Rodrigues</t>
  </si>
  <si>
    <t>Empresa</t>
  </si>
  <si>
    <t xml:space="preserve">Total </t>
  </si>
  <si>
    <t>Instruções</t>
  </si>
  <si>
    <t>1- Calcule a Quantidade e Total de Pagamentos por Cidade</t>
  </si>
  <si>
    <t>Carla Sousa</t>
  </si>
  <si>
    <t>Quantidade pagamentos Por Cidade</t>
  </si>
  <si>
    <t>Total por Cidade</t>
  </si>
  <si>
    <t>1- Calcule o Total</t>
  </si>
  <si>
    <t>2- Calcule o valor de Desconto</t>
  </si>
  <si>
    <t>Preço Final</t>
  </si>
  <si>
    <t>3- Calcule o Preço Final</t>
  </si>
  <si>
    <t>4- Calcule o Preço a 30 dias- com a Taxa de 6%</t>
  </si>
  <si>
    <t>5- Calcule os Totais- e restante na tabela abaixo</t>
  </si>
  <si>
    <t>1- Atribua a Classificaçãoi- para cada vendedor- baseando na Tabela Comissões e Classificação</t>
  </si>
  <si>
    <t>2- Calcule a percentagem de Comissão</t>
  </si>
  <si>
    <t>% Comissão</t>
  </si>
  <si>
    <t>3- Calcule o Valor da Comissão</t>
  </si>
  <si>
    <t>1- Crie uma Tabela dinâmica ao seu gosto</t>
  </si>
  <si>
    <t>2- Criar um Gráfico Dinâmico e use também a Segmentação de Dados (Slicer)</t>
  </si>
  <si>
    <t>RELAÇÃO DE PROJETOS CORPORATIVOS</t>
  </si>
  <si>
    <t>Nome do Projeto</t>
  </si>
  <si>
    <t>Vice Presidência</t>
  </si>
  <si>
    <t>Término Planeado</t>
  </si>
  <si>
    <t>% Progresso Previsto</t>
  </si>
  <si>
    <t>% Progresso Realizado</t>
  </si>
  <si>
    <t>Status de Progresso</t>
  </si>
  <si>
    <t>ARV - Posição Estratégica Comercial</t>
  </si>
  <si>
    <t>Finanças e RI</t>
  </si>
  <si>
    <t>BANCO ABC - DOMICILIO BANCÁRIO</t>
  </si>
  <si>
    <t>Soluções em Negócios</t>
  </si>
  <si>
    <t>Contactless</t>
  </si>
  <si>
    <t>Tecnologia e Operações</t>
  </si>
  <si>
    <t>Elo Beneficio</t>
  </si>
  <si>
    <t>Implementação ERP</t>
  </si>
  <si>
    <t>Dir. Controlos Internos</t>
  </si>
  <si>
    <t>Implementação CRM</t>
  </si>
  <si>
    <t>Desenho dos Processos de Negócios</t>
  </si>
  <si>
    <t>Criação da Célula Interna de Service Desk</t>
  </si>
  <si>
    <t>Implantação Project Server 2010</t>
  </si>
  <si>
    <t>Melhoria de Processo ITIL</t>
  </si>
  <si>
    <t>Comercial e Trade Mkt</t>
  </si>
  <si>
    <t>Melhoria de Processos Organizacionais</t>
  </si>
  <si>
    <t>Migração do SQL Server [2005 - 2008]</t>
  </si>
  <si>
    <t>Desenv. Organizacional</t>
  </si>
  <si>
    <t>Projeto de Outsourcing - Suporte de 2nd Nível</t>
  </si>
  <si>
    <t>Adequação dos Processos de Pré-Venda</t>
  </si>
  <si>
    <t>Desenvolvimento de Software - RH</t>
  </si>
  <si>
    <t>Implantação do Escritório de Projetos - PMO</t>
  </si>
  <si>
    <t>Implantação do Sistema de Controle de Acesso</t>
  </si>
  <si>
    <t>Migração EPM [2007-2010]</t>
  </si>
  <si>
    <t>Programa de Upgrade de Sistemas de TI</t>
  </si>
  <si>
    <t>Update do Microsoft Office</t>
  </si>
  <si>
    <t>Update do Sistema de Controle Logístico</t>
  </si>
  <si>
    <t>Site iCorp</t>
  </si>
  <si>
    <t>Projeto Dispositivo Óptico</t>
  </si>
  <si>
    <t>Normativo PSA</t>
  </si>
  <si>
    <t>Nº de Ordenados de valor superior a 1500 € de Lisboa:</t>
  </si>
  <si>
    <t>Total em Ordenado dos Analistas do Porto</t>
  </si>
  <si>
    <t>Total em Ordenados da Adminstração com mais de  5 anos de serviço</t>
  </si>
  <si>
    <t>Nº de Ordenados da Contabilidade com mais de  3 anos de serviço</t>
  </si>
  <si>
    <t>Quantidade pagamentos Por Departamento</t>
  </si>
  <si>
    <t>Total por Departamento</t>
  </si>
  <si>
    <t>2- Calcule a Quantidade e Total de Pagamentos por Departamento</t>
  </si>
  <si>
    <t>3- Resolva as Tabelas abaixo- com Funções diversas</t>
  </si>
  <si>
    <t>Tabelas</t>
  </si>
  <si>
    <t>4- Crie 4 Gráficos ao seu gosto a partir das Tabelas por Cidade e Departamento</t>
  </si>
  <si>
    <t>Nº</t>
  </si>
  <si>
    <t>Localidade</t>
  </si>
  <si>
    <t>Telemóvel</t>
  </si>
  <si>
    <t>Contribuinte</t>
  </si>
  <si>
    <t>Sector</t>
  </si>
  <si>
    <t>Data de admissão</t>
  </si>
  <si>
    <t>Ana Álvaro</t>
  </si>
  <si>
    <t>Tavira</t>
  </si>
  <si>
    <t>Ana Sousa</t>
  </si>
  <si>
    <t>Pessoal</t>
  </si>
  <si>
    <t>Calcular Subtotais por Localidade</t>
  </si>
  <si>
    <t>António Pinto</t>
  </si>
  <si>
    <t>Faro</t>
  </si>
  <si>
    <t>António Sousa</t>
  </si>
  <si>
    <t>V.R.S.António</t>
  </si>
  <si>
    <t>Formação</t>
  </si>
  <si>
    <t>Dário Sousa</t>
  </si>
  <si>
    <t>Administrativo</t>
  </si>
  <si>
    <t>Fernanda Gomes</t>
  </si>
  <si>
    <t>Comercial</t>
  </si>
  <si>
    <t>Fernando Sousa</t>
  </si>
  <si>
    <t>Financeiro</t>
  </si>
  <si>
    <t>José Soares</t>
  </si>
  <si>
    <t>Olhão</t>
  </si>
  <si>
    <t>Liberto Silva</t>
  </si>
  <si>
    <t>Luísa Matos</t>
  </si>
  <si>
    <t>Manuel Abrantes</t>
  </si>
  <si>
    <t>Manuel Castro</t>
  </si>
  <si>
    <t>Manuel Nunes</t>
  </si>
  <si>
    <t>Margarida Sousa</t>
  </si>
  <si>
    <t>Nuno Alves</t>
  </si>
  <si>
    <t>Pedro Ramos</t>
  </si>
  <si>
    <t>Quarteira</t>
  </si>
  <si>
    <t>Rita Santos</t>
  </si>
  <si>
    <t>Rui Sequeira</t>
  </si>
  <si>
    <t>Sérgio Silva</t>
  </si>
  <si>
    <t>Victor Inácio</t>
  </si>
  <si>
    <t>Calcular Subtotais por Sector</t>
  </si>
  <si>
    <t>Projecto Nº</t>
  </si>
  <si>
    <t>Projecto</t>
  </si>
  <si>
    <t>Responsável</t>
  </si>
  <si>
    <t>Local</t>
  </si>
  <si>
    <t>Dimensão</t>
  </si>
  <si>
    <t>Data Final</t>
  </si>
  <si>
    <t>A101</t>
  </si>
  <si>
    <t>Herdade da Antinha</t>
  </si>
  <si>
    <t>Tiago</t>
  </si>
  <si>
    <t>Ladoeiro</t>
  </si>
  <si>
    <t>310 Ha</t>
  </si>
  <si>
    <t>A102</t>
  </si>
  <si>
    <t>Herdade da Panasqueira</t>
  </si>
  <si>
    <t>Ferreira do Alentejo</t>
  </si>
  <si>
    <t>150 Ha</t>
  </si>
  <si>
    <t>A103</t>
  </si>
  <si>
    <t>Herdade dos Mourinhos</t>
  </si>
  <si>
    <t>João Carlos</t>
  </si>
  <si>
    <t>640 Ha</t>
  </si>
  <si>
    <t>A104</t>
  </si>
  <si>
    <t>Monte Novo</t>
  </si>
  <si>
    <t>Sandra</t>
  </si>
  <si>
    <t>280 Ha</t>
  </si>
  <si>
    <t>A105</t>
  </si>
  <si>
    <t>Almargias</t>
  </si>
  <si>
    <t>Marisa</t>
  </si>
  <si>
    <t>Viana do Alentejo</t>
  </si>
  <si>
    <t>300 Ha</t>
  </si>
  <si>
    <t>A106</t>
  </si>
  <si>
    <t>Herdade dos Mouros</t>
  </si>
  <si>
    <t>Rita</t>
  </si>
  <si>
    <t>Évora</t>
  </si>
  <si>
    <t>320 Ha</t>
  </si>
  <si>
    <t>Quinta de Sintra</t>
  </si>
  <si>
    <t>Duarte</t>
  </si>
  <si>
    <t>Beira Baixa</t>
  </si>
  <si>
    <t>700 Ha</t>
  </si>
  <si>
    <t>A108</t>
  </si>
  <si>
    <t>Quinta do Oeste</t>
  </si>
  <si>
    <t>Alentejo</t>
  </si>
  <si>
    <t>200 Ha</t>
  </si>
  <si>
    <t>Projecto 2025</t>
  </si>
  <si>
    <t>1º Vai usar a Função adequada para saber os dados do Cliente</t>
  </si>
  <si>
    <t>2º Crie a lista dos números do Projecto</t>
  </si>
  <si>
    <t>Agosto 2025 - Dias de Férias</t>
  </si>
  <si>
    <t>Colaboradores</t>
  </si>
  <si>
    <t>Dias de Férias</t>
  </si>
  <si>
    <t>Rui</t>
  </si>
  <si>
    <t>Carla</t>
  </si>
  <si>
    <t>Maria</t>
  </si>
  <si>
    <t>Fernando</t>
  </si>
  <si>
    <t>Vitória</t>
  </si>
  <si>
    <t>Inqueritos enviados</t>
  </si>
  <si>
    <t>Respondidos</t>
  </si>
  <si>
    <t>N/Respondidos</t>
  </si>
  <si>
    <t>D.pt Gold</t>
  </si>
  <si>
    <t>D.pt Silver</t>
  </si>
  <si>
    <t>D.pt Partner</t>
  </si>
  <si>
    <t>D.pt Pro</t>
  </si>
  <si>
    <t>Respondido</t>
  </si>
  <si>
    <t>Wholesaler</t>
  </si>
  <si>
    <t>2- Criar um Gráfico Colunas - com todos os dados</t>
  </si>
  <si>
    <t xml:space="preserve">1- Criar 3 Gráficos Circulares com: </t>
  </si>
  <si>
    <t>Marca Veículo</t>
  </si>
  <si>
    <t>Preço Compra</t>
  </si>
  <si>
    <t>Lucro</t>
  </si>
  <si>
    <t>Preço Venda</t>
  </si>
  <si>
    <t>Financiamento - Meses</t>
  </si>
  <si>
    <t>Cada Prestação</t>
  </si>
  <si>
    <t>Caro/Barato</t>
  </si>
  <si>
    <t>CORSA</t>
  </si>
  <si>
    <t>AUDI</t>
  </si>
  <si>
    <t>1- Formatar como Tabela</t>
  </si>
  <si>
    <t>RANGER</t>
  </si>
  <si>
    <t>2- Calcular o Lucro, Preço Venda, etc.</t>
  </si>
  <si>
    <t>SILVERADO</t>
  </si>
  <si>
    <t xml:space="preserve">3 -Determinar se o veículo é considerado CARO ou BARATO </t>
  </si>
  <si>
    <t>PEUGEOUT</t>
  </si>
  <si>
    <t>Se o carro custar de €25.000,00 e acima, o carro será considerado CARO</t>
  </si>
  <si>
    <t>S10</t>
  </si>
  <si>
    <t>Se o carro custar menos do que €25.000,00, o carro será considerado BARATO</t>
  </si>
  <si>
    <t>FERRARI</t>
  </si>
  <si>
    <t>FORD</t>
  </si>
  <si>
    <t>CELTA</t>
  </si>
  <si>
    <t>OMEGA</t>
  </si>
  <si>
    <t>1- Calcule o número de Dias de cada colaborador</t>
  </si>
  <si>
    <t>2- APLICAR FUNDO COR DE LARANJA A TODOS OS PROJECTOS EM ATRASO.</t>
  </si>
  <si>
    <r>
      <t xml:space="preserve">1- Se a </t>
    </r>
    <r>
      <rPr>
        <b/>
        <sz val="11"/>
        <color theme="1"/>
        <rFont val="Aptos Narrow"/>
        <family val="2"/>
        <scheme val="minor"/>
      </rPr>
      <t>% Progresso Realizado &gt;=Progresso Previsto</t>
    </r>
    <r>
      <rPr>
        <sz val="11"/>
        <color theme="1"/>
        <rFont val="Aptos Narrow"/>
        <family val="2"/>
        <scheme val="minor"/>
      </rPr>
      <t>, o Status de Progresso será "Conforme Planeado", caso contrário, será "Atrasado".</t>
    </r>
  </si>
  <si>
    <t>melhorar</t>
  </si>
  <si>
    <t>formatar tabela</t>
  </si>
  <si>
    <t>se</t>
  </si>
  <si>
    <t>formatacao condicional</t>
  </si>
  <si>
    <t>Rótulos de Linha</t>
  </si>
  <si>
    <t>Soma de Vendas</t>
  </si>
  <si>
    <t>Total Geral</t>
  </si>
  <si>
    <t>(em branco)</t>
  </si>
  <si>
    <t>Soma de Compras</t>
  </si>
  <si>
    <t>Produção Total</t>
  </si>
  <si>
    <t>Pessoal Total</t>
  </si>
  <si>
    <t>Formação Total</t>
  </si>
  <si>
    <t>Administrativo Total</t>
  </si>
  <si>
    <t>Comercial Total</t>
  </si>
  <si>
    <t>Financeiro Total</t>
  </si>
  <si>
    <t>Faro Total</t>
  </si>
  <si>
    <t>Olhão Total</t>
  </si>
  <si>
    <t>Quarteira Total</t>
  </si>
  <si>
    <t>Tavira Total</t>
  </si>
  <si>
    <t>V.R.S.António Total</t>
  </si>
  <si>
    <t>PROCV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</si>
</sst>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[$€]_-;\-* #,##0.00\ [$€]_-;_-* &quot;-&quot;??\ [$€]_-;_-@_-"/>
    <numFmt numFmtId="166" formatCode="#,##0.00\ &quot;€&quot;"/>
    <numFmt numFmtId="167" formatCode="0.0%"/>
    <numFmt numFmtId="169" formatCode="_-* #,##0.00\ [$€-816]_-;\-* #,##0.00\ [$€-816]_-;_-* &quot;-&quot;??\ [$€-816]_-;_-@_-"/>
    <numFmt numFmtId="170" formatCode="_(&quot;R$ &quot;* #,##0.00_);_(&quot;R$ &quot;* \(#,##0.00\);_(&quot;R$ &quot;* &quot;-&quot;??_);_(@_)"/>
    <numFmt numFmtId="171" formatCode="dd/mm/yyyy;@"/>
    <numFmt numFmtId="172" formatCode="0.0"/>
    <numFmt numFmtId="173" formatCode="0000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Aptos Narrow"/>
      <family val="2"/>
      <charset val="16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rial"/>
      <family val="2"/>
    </font>
    <font>
      <b/>
      <sz val="11"/>
      <color rgb="FF002060"/>
      <name val="Aptos Narrow"/>
      <family val="2"/>
      <scheme val="minor"/>
    </font>
    <font>
      <i/>
      <sz val="11"/>
      <color rgb="FF00206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7F7F7F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b/>
      <sz val="12"/>
      <color indexed="9"/>
      <name val="Aptos Narrow"/>
      <family val="2"/>
      <scheme val="minor"/>
    </font>
    <font>
      <sz val="11"/>
      <name val="Verdana"/>
      <family val="2"/>
    </font>
    <font>
      <sz val="12"/>
      <name val="Aptos Narrow"/>
      <family val="2"/>
      <scheme val="minor"/>
    </font>
    <font>
      <sz val="14"/>
      <name val="Aptos Narrow"/>
      <family val="2"/>
      <scheme val="minor"/>
    </font>
    <font>
      <b/>
      <sz val="11"/>
      <color theme="3" tint="-0.249977111117893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C00000"/>
      </top>
      <bottom/>
      <diagonal/>
    </border>
    <border>
      <left/>
      <right style="medium">
        <color indexed="64"/>
      </right>
      <top style="thin">
        <color rgb="FFC00000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medium">
        <color indexed="64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5" borderId="0" applyNumberFormat="0" applyBorder="0" applyAlignment="0" applyProtection="0"/>
    <xf numFmtId="0" fontId="9" fillId="6" borderId="20" applyNumberFormat="0" applyAlignment="0" applyProtection="0"/>
    <xf numFmtId="0" fontId="10" fillId="0" borderId="21" applyNumberFormat="0" applyFill="0" applyAlignment="0" applyProtection="0"/>
    <xf numFmtId="0" fontId="11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" fillId="0" borderId="0"/>
    <xf numFmtId="0" fontId="25" fillId="0" borderId="0"/>
    <xf numFmtId="0" fontId="5" fillId="0" borderId="0"/>
  </cellStyleXfs>
  <cellXfs count="22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justify" vertical="top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9" fontId="5" fillId="0" borderId="15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9" fontId="5" fillId="0" borderId="16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9" fontId="5" fillId="0" borderId="19" xfId="0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0" fontId="0" fillId="0" borderId="2" xfId="0" applyBorder="1"/>
    <xf numFmtId="164" fontId="5" fillId="0" borderId="2" xfId="2" applyFont="1" applyBorder="1"/>
    <xf numFmtId="164" fontId="5" fillId="0" borderId="13" xfId="2" applyFont="1" applyBorder="1"/>
    <xf numFmtId="164" fontId="5" fillId="0" borderId="8" xfId="2" applyFont="1" applyBorder="1"/>
    <xf numFmtId="164" fontId="5" fillId="0" borderId="17" xfId="2" applyFont="1" applyBorder="1"/>
    <xf numFmtId="0" fontId="5" fillId="3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169" fontId="7" fillId="4" borderId="0" xfId="1" applyNumberFormat="1" applyFont="1" applyFill="1" applyAlignment="1">
      <alignment horizontal="center"/>
    </xf>
    <xf numFmtId="169" fontId="2" fillId="4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169" fontId="0" fillId="0" borderId="0" xfId="1" applyNumberFormat="1" applyFont="1" applyFill="1" applyAlignment="1">
      <alignment horizontal="center"/>
    </xf>
    <xf numFmtId="169" fontId="0" fillId="0" borderId="0" xfId="1" applyNumberFormat="1" applyFont="1" applyAlignment="1">
      <alignment horizontal="center"/>
    </xf>
    <xf numFmtId="9" fontId="0" fillId="7" borderId="28" xfId="0" applyNumberFormat="1" applyFill="1" applyBorder="1"/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0" borderId="32" xfId="0" applyBorder="1"/>
    <xf numFmtId="166" fontId="0" fillId="0" borderId="2" xfId="0" applyNumberFormat="1" applyBorder="1"/>
    <xf numFmtId="3" fontId="0" fillId="0" borderId="2" xfId="0" applyNumberFormat="1" applyBorder="1" applyAlignment="1">
      <alignment horizontal="center"/>
    </xf>
    <xf numFmtId="164" fontId="0" fillId="0" borderId="2" xfId="2" applyFont="1" applyBorder="1"/>
    <xf numFmtId="166" fontId="0" fillId="0" borderId="33" xfId="0" applyNumberFormat="1" applyBorder="1"/>
    <xf numFmtId="166" fontId="0" fillId="0" borderId="5" xfId="0" applyNumberFormat="1" applyBorder="1"/>
    <xf numFmtId="0" fontId="0" fillId="0" borderId="34" xfId="0" applyBorder="1"/>
    <xf numFmtId="0" fontId="0" fillId="0" borderId="35" xfId="0" applyBorder="1"/>
    <xf numFmtId="166" fontId="0" fillId="0" borderId="36" xfId="0" applyNumberFormat="1" applyBorder="1"/>
    <xf numFmtId="3" fontId="0" fillId="0" borderId="35" xfId="0" applyNumberFormat="1" applyBorder="1" applyAlignment="1">
      <alignment horizontal="center"/>
    </xf>
    <xf numFmtId="0" fontId="0" fillId="0" borderId="4" xfId="0" applyBorder="1"/>
    <xf numFmtId="169" fontId="0" fillId="0" borderId="0" xfId="9" applyNumberFormat="1" applyFont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15" fillId="0" borderId="0" xfId="0" applyFont="1"/>
    <xf numFmtId="0" fontId="5" fillId="0" borderId="2" xfId="10" applyNumberFormat="1" applyBorder="1" applyAlignment="1">
      <alignment horizontal="center" vertical="center"/>
    </xf>
    <xf numFmtId="169" fontId="5" fillId="0" borderId="2" xfId="1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69" fontId="0" fillId="0" borderId="2" xfId="9" applyNumberFormat="1" applyFont="1" applyBorder="1" applyAlignment="1">
      <alignment horizontal="center"/>
    </xf>
    <xf numFmtId="164" fontId="0" fillId="0" borderId="0" xfId="2" applyFont="1" applyBorder="1"/>
    <xf numFmtId="0" fontId="12" fillId="0" borderId="0" xfId="11" applyFont="1"/>
    <xf numFmtId="0" fontId="16" fillId="0" borderId="0" xfId="0" applyFont="1"/>
    <xf numFmtId="0" fontId="1" fillId="0" borderId="0" xfId="11"/>
    <xf numFmtId="0" fontId="17" fillId="6" borderId="20" xfId="6" applyFont="1" applyAlignment="1">
      <alignment horizontal="center"/>
    </xf>
    <xf numFmtId="0" fontId="18" fillId="0" borderId="2" xfId="8" applyFont="1" applyBorder="1" applyAlignment="1">
      <alignment horizontal="center"/>
    </xf>
    <xf numFmtId="0" fontId="9" fillId="6" borderId="20" xfId="6"/>
    <xf numFmtId="1" fontId="19" fillId="6" borderId="20" xfId="6" applyNumberFormat="1" applyFont="1" applyAlignment="1">
      <alignment horizontal="center"/>
    </xf>
    <xf numFmtId="0" fontId="12" fillId="0" borderId="0" xfId="11" applyFont="1" applyAlignment="1">
      <alignment horizontal="center"/>
    </xf>
    <xf numFmtId="0" fontId="9" fillId="6" borderId="20" xfId="6" applyAlignment="1">
      <alignment horizontal="center"/>
    </xf>
    <xf numFmtId="0" fontId="12" fillId="0" borderId="0" xfId="7" applyFont="1" applyBorder="1" applyAlignment="1">
      <alignment horizontal="center"/>
    </xf>
    <xf numFmtId="0" fontId="12" fillId="0" borderId="0" xfId="7" applyFont="1" applyBorder="1" applyAlignment="1">
      <alignment horizontal="left"/>
    </xf>
    <xf numFmtId="164" fontId="21" fillId="0" borderId="2" xfId="2" applyFont="1" applyBorder="1"/>
    <xf numFmtId="0" fontId="12" fillId="0" borderId="0" xfId="0" applyFont="1"/>
    <xf numFmtId="0" fontId="20" fillId="0" borderId="0" xfId="0" applyFont="1"/>
    <xf numFmtId="14" fontId="0" fillId="0" borderId="0" xfId="0" applyNumberFormat="1" applyAlignment="1">
      <alignment horizontal="center" vertical="center"/>
    </xf>
    <xf numFmtId="0" fontId="8" fillId="5" borderId="2" xfId="5" applyBorder="1" applyAlignment="1">
      <alignment horizontal="center" vertical="center" wrapText="1"/>
    </xf>
    <xf numFmtId="14" fontId="8" fillId="5" borderId="2" xfId="5" applyNumberFormat="1" applyBorder="1" applyAlignment="1">
      <alignment horizontal="center" vertical="center" wrapText="1"/>
    </xf>
    <xf numFmtId="0" fontId="3" fillId="0" borderId="2" xfId="5" applyFont="1" applyFill="1" applyBorder="1"/>
    <xf numFmtId="14" fontId="3" fillId="0" borderId="2" xfId="5" applyNumberFormat="1" applyFont="1" applyFill="1" applyBorder="1" applyAlignment="1">
      <alignment horizontal="center" vertical="center"/>
    </xf>
    <xf numFmtId="172" fontId="3" fillId="0" borderId="2" xfId="5" applyNumberFormat="1" applyFont="1" applyFill="1" applyBorder="1" applyAlignment="1">
      <alignment horizontal="center"/>
    </xf>
    <xf numFmtId="0" fontId="22" fillId="0" borderId="0" xfId="0" applyFont="1"/>
    <xf numFmtId="0" fontId="24" fillId="0" borderId="2" xfId="0" applyFon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9" fillId="6" borderId="0" xfId="6" applyBorder="1"/>
    <xf numFmtId="0" fontId="26" fillId="9" borderId="39" xfId="12" applyFont="1" applyFill="1" applyBorder="1" applyAlignment="1">
      <alignment horizontal="center" vertical="center"/>
    </xf>
    <xf numFmtId="0" fontId="26" fillId="9" borderId="40" xfId="12" applyFont="1" applyFill="1" applyBorder="1" applyAlignment="1">
      <alignment horizontal="center" vertical="center"/>
    </xf>
    <xf numFmtId="0" fontId="26" fillId="9" borderId="41" xfId="12" applyFont="1" applyFill="1" applyBorder="1" applyAlignment="1">
      <alignment horizontal="center" vertical="center" wrapText="1"/>
    </xf>
    <xf numFmtId="0" fontId="27" fillId="0" borderId="0" xfId="12" applyFont="1" applyAlignment="1">
      <alignment vertical="center"/>
    </xf>
    <xf numFmtId="0" fontId="28" fillId="0" borderId="42" xfId="12" applyFont="1" applyBorder="1" applyAlignment="1">
      <alignment horizontal="center" vertical="center"/>
    </xf>
    <xf numFmtId="0" fontId="28" fillId="0" borderId="9" xfId="12" quotePrefix="1" applyFont="1" applyBorder="1" applyAlignment="1">
      <alignment vertical="center"/>
    </xf>
    <xf numFmtId="0" fontId="28" fillId="0" borderId="9" xfId="12" quotePrefix="1" applyFont="1" applyBorder="1" applyAlignment="1">
      <alignment horizontal="right" vertical="center"/>
    </xf>
    <xf numFmtId="165" fontId="28" fillId="0" borderId="9" xfId="4" applyFont="1" applyBorder="1" applyAlignment="1">
      <alignment vertical="center"/>
    </xf>
    <xf numFmtId="14" fontId="28" fillId="0" borderId="43" xfId="12" applyNumberFormat="1" applyFont="1" applyBorder="1" applyAlignment="1">
      <alignment vertical="center"/>
    </xf>
    <xf numFmtId="0" fontId="25" fillId="0" borderId="0" xfId="12" applyAlignment="1">
      <alignment vertical="center"/>
    </xf>
    <xf numFmtId="0" fontId="29" fillId="0" borderId="0" xfId="12" applyFont="1" applyAlignment="1">
      <alignment vertical="center"/>
    </xf>
    <xf numFmtId="0" fontId="28" fillId="0" borderId="44" xfId="12" applyFont="1" applyBorder="1" applyAlignment="1">
      <alignment horizontal="center" vertical="center"/>
    </xf>
    <xf numFmtId="0" fontId="28" fillId="0" borderId="45" xfId="12" quotePrefix="1" applyFont="1" applyBorder="1" applyAlignment="1">
      <alignment vertical="center"/>
    </xf>
    <xf numFmtId="0" fontId="28" fillId="0" borderId="45" xfId="12" quotePrefix="1" applyFont="1" applyBorder="1" applyAlignment="1">
      <alignment horizontal="right" vertical="center"/>
    </xf>
    <xf numFmtId="165" fontId="28" fillId="0" borderId="45" xfId="4" applyFont="1" applyBorder="1" applyAlignment="1">
      <alignment vertical="center"/>
    </xf>
    <xf numFmtId="14" fontId="28" fillId="0" borderId="46" xfId="12" applyNumberFormat="1" applyFont="1" applyBorder="1" applyAlignment="1">
      <alignment vertical="center"/>
    </xf>
    <xf numFmtId="0" fontId="25" fillId="0" borderId="0" xfId="12" quotePrefix="1" applyAlignment="1">
      <alignment vertical="center"/>
    </xf>
    <xf numFmtId="0" fontId="30" fillId="0" borderId="0" xfId="11" applyFont="1"/>
    <xf numFmtId="0" fontId="2" fillId="10" borderId="2" xfId="0" applyFont="1" applyFill="1" applyBorder="1" applyAlignment="1">
      <alignment horizontal="center"/>
    </xf>
    <xf numFmtId="169" fontId="2" fillId="10" borderId="2" xfId="0" applyNumberFormat="1" applyFont="1" applyFill="1" applyBorder="1" applyAlignment="1">
      <alignment horizontal="center"/>
    </xf>
    <xf numFmtId="173" fontId="12" fillId="0" borderId="2" xfId="0" applyNumberFormat="1" applyFont="1" applyBorder="1" applyAlignment="1">
      <alignment horizontal="center"/>
    </xf>
    <xf numFmtId="0" fontId="0" fillId="0" borderId="2" xfId="2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4" fillId="0" borderId="0" xfId="11" applyFont="1"/>
    <xf numFmtId="0" fontId="1" fillId="0" borderId="0" xfId="11" applyAlignment="1">
      <alignment horizontal="center"/>
    </xf>
    <xf numFmtId="0" fontId="24" fillId="11" borderId="22" xfId="11" applyFont="1" applyFill="1" applyBorder="1"/>
    <xf numFmtId="0" fontId="24" fillId="11" borderId="23" xfId="11" applyFont="1" applyFill="1" applyBorder="1"/>
    <xf numFmtId="0" fontId="24" fillId="11" borderId="24" xfId="11" applyFont="1" applyFill="1" applyBorder="1"/>
    <xf numFmtId="0" fontId="23" fillId="11" borderId="37" xfId="11" applyFont="1" applyFill="1" applyBorder="1"/>
    <xf numFmtId="14" fontId="24" fillId="11" borderId="50" xfId="11" applyNumberFormat="1" applyFont="1" applyFill="1" applyBorder="1"/>
    <xf numFmtId="0" fontId="23" fillId="11" borderId="48" xfId="11" applyFont="1" applyFill="1" applyBorder="1" applyAlignment="1">
      <alignment horizontal="right"/>
    </xf>
    <xf numFmtId="0" fontId="24" fillId="11" borderId="37" xfId="11" applyFont="1" applyFill="1" applyBorder="1"/>
    <xf numFmtId="0" fontId="24" fillId="11" borderId="0" xfId="11" applyFont="1" applyFill="1"/>
    <xf numFmtId="0" fontId="24" fillId="11" borderId="38" xfId="11" applyFont="1" applyFill="1" applyBorder="1"/>
    <xf numFmtId="0" fontId="23" fillId="11" borderId="37" xfId="11" applyFont="1" applyFill="1" applyBorder="1" applyAlignment="1">
      <alignment horizontal="center"/>
    </xf>
    <xf numFmtId="0" fontId="24" fillId="11" borderId="25" xfId="11" applyFont="1" applyFill="1" applyBorder="1"/>
    <xf numFmtId="0" fontId="24" fillId="11" borderId="52" xfId="11" applyFont="1" applyFill="1" applyBorder="1"/>
    <xf numFmtId="0" fontId="24" fillId="11" borderId="26" xfId="11" applyFont="1" applyFill="1" applyBorder="1"/>
    <xf numFmtId="0" fontId="24" fillId="11" borderId="27" xfId="11" applyFont="1" applyFill="1" applyBorder="1"/>
    <xf numFmtId="0" fontId="23" fillId="11" borderId="47" xfId="11" applyFont="1" applyFill="1" applyBorder="1" applyAlignment="1">
      <alignment horizontal="center"/>
    </xf>
    <xf numFmtId="164" fontId="5" fillId="0" borderId="2" xfId="2" applyFont="1" applyFill="1" applyBorder="1"/>
    <xf numFmtId="164" fontId="0" fillId="0" borderId="4" xfId="2" applyFont="1" applyBorder="1"/>
    <xf numFmtId="166" fontId="0" fillId="0" borderId="4" xfId="0" applyNumberFormat="1" applyBorder="1"/>
    <xf numFmtId="0" fontId="20" fillId="3" borderId="2" xfId="0" applyFont="1" applyFill="1" applyBorder="1" applyAlignment="1">
      <alignment horizontal="center"/>
    </xf>
    <xf numFmtId="0" fontId="0" fillId="13" borderId="56" xfId="0" applyFill="1" applyBorder="1"/>
    <xf numFmtId="0" fontId="0" fillId="13" borderId="57" xfId="0" applyFill="1" applyBorder="1"/>
    <xf numFmtId="0" fontId="0" fillId="13" borderId="58" xfId="0" applyFill="1" applyBorder="1"/>
    <xf numFmtId="0" fontId="0" fillId="14" borderId="2" xfId="0" applyFill="1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12" borderId="59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60" xfId="0" applyFill="1" applyBorder="1" applyAlignment="1">
      <alignment horizontal="center"/>
    </xf>
    <xf numFmtId="0" fontId="0" fillId="12" borderId="2" xfId="0" applyFill="1" applyBorder="1" applyAlignment="1">
      <alignment horizontal="left"/>
    </xf>
    <xf numFmtId="0" fontId="0" fillId="7" borderId="6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0" borderId="61" xfId="0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62" xfId="0" applyFill="1" applyBorder="1" applyAlignment="1">
      <alignment horizontal="center"/>
    </xf>
    <xf numFmtId="0" fontId="0" fillId="15" borderId="2" xfId="0" applyFill="1" applyBorder="1" applyAlignment="1">
      <alignment horizontal="left"/>
    </xf>
    <xf numFmtId="0" fontId="0" fillId="15" borderId="6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62" xfId="0" applyFill="1" applyBorder="1" applyAlignment="1">
      <alignment horizontal="center"/>
    </xf>
    <xf numFmtId="0" fontId="0" fillId="16" borderId="2" xfId="0" applyFill="1" applyBorder="1" applyAlignment="1">
      <alignment horizontal="left"/>
    </xf>
    <xf numFmtId="0" fontId="0" fillId="16" borderId="61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13" borderId="56" xfId="0" applyFill="1" applyBorder="1" applyAlignment="1">
      <alignment horizontal="center"/>
    </xf>
    <xf numFmtId="0" fontId="0" fillId="13" borderId="57" xfId="0" applyFill="1" applyBorder="1" applyAlignment="1">
      <alignment horizontal="center"/>
    </xf>
    <xf numFmtId="0" fontId="0" fillId="13" borderId="58" xfId="0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13" borderId="65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66" xfId="0" applyFill="1" applyBorder="1" applyAlignment="1">
      <alignment horizontal="center"/>
    </xf>
    <xf numFmtId="0" fontId="0" fillId="0" borderId="67" xfId="0" applyBorder="1"/>
    <xf numFmtId="0" fontId="0" fillId="0" borderId="68" xfId="0" applyBorder="1"/>
    <xf numFmtId="0" fontId="0" fillId="17" borderId="69" xfId="0" applyFill="1" applyBorder="1"/>
    <xf numFmtId="0" fontId="0" fillId="17" borderId="70" xfId="0" applyFill="1" applyBorder="1"/>
    <xf numFmtId="0" fontId="32" fillId="18" borderId="2" xfId="0" applyFont="1" applyFill="1" applyBorder="1" applyAlignment="1">
      <alignment horizontal="center" wrapText="1"/>
    </xf>
    <xf numFmtId="0" fontId="32" fillId="19" borderId="2" xfId="0" applyFont="1" applyFill="1" applyBorder="1"/>
    <xf numFmtId="0" fontId="32" fillId="0" borderId="2" xfId="0" applyFont="1" applyBorder="1" applyAlignment="1">
      <alignment horizontal="center"/>
    </xf>
    <xf numFmtId="9" fontId="34" fillId="0" borderId="2" xfId="3" applyFont="1" applyBorder="1" applyAlignment="1">
      <alignment horizontal="center"/>
    </xf>
    <xf numFmtId="169" fontId="34" fillId="0" borderId="2" xfId="2" applyNumberFormat="1" applyFont="1" applyBorder="1"/>
    <xf numFmtId="169" fontId="34" fillId="0" borderId="2" xfId="0" applyNumberFormat="1" applyFont="1" applyBorder="1"/>
    <xf numFmtId="0" fontId="34" fillId="0" borderId="2" xfId="0" applyFont="1" applyBorder="1" applyAlignment="1">
      <alignment horizontal="center"/>
    </xf>
    <xf numFmtId="0" fontId="23" fillId="0" borderId="1" xfId="0" applyFont="1" applyBorder="1" applyAlignment="1" applyProtection="1">
      <alignment horizontal="center"/>
      <protection locked="0"/>
    </xf>
    <xf numFmtId="0" fontId="3" fillId="0" borderId="0" xfId="13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9" fontId="0" fillId="0" borderId="0" xfId="0" applyNumberFormat="1"/>
    <xf numFmtId="0" fontId="34" fillId="0" borderId="3" xfId="0" applyFont="1" applyBorder="1"/>
    <xf numFmtId="0" fontId="34" fillId="0" borderId="5" xfId="0" applyFont="1" applyBorder="1"/>
    <xf numFmtId="0" fontId="33" fillId="0" borderId="71" xfId="0" applyFont="1" applyBorder="1" applyAlignment="1">
      <alignment horizontal="center" wrapText="1"/>
    </xf>
    <xf numFmtId="0" fontId="33" fillId="0" borderId="4" xfId="0" applyFont="1" applyBorder="1" applyAlignment="1">
      <alignment horizontal="center" wrapText="1"/>
    </xf>
    <xf numFmtId="0" fontId="33" fillId="0" borderId="72" xfId="0" applyFont="1" applyBorder="1" applyAlignment="1">
      <alignment horizontal="center" wrapText="1"/>
    </xf>
    <xf numFmtId="0" fontId="34" fillId="0" borderId="73" xfId="0" applyFont="1" applyBorder="1"/>
    <xf numFmtId="9" fontId="34" fillId="0" borderId="6" xfId="3" applyFont="1" applyBorder="1" applyAlignment="1">
      <alignment horizontal="center"/>
    </xf>
    <xf numFmtId="169" fontId="34" fillId="0" borderId="6" xfId="2" applyNumberFormat="1" applyFont="1" applyBorder="1"/>
    <xf numFmtId="169" fontId="34" fillId="0" borderId="6" xfId="0" applyNumberFormat="1" applyFont="1" applyBorder="1"/>
    <xf numFmtId="0" fontId="34" fillId="0" borderId="6" xfId="0" applyFont="1" applyBorder="1" applyAlignment="1">
      <alignment horizontal="center"/>
    </xf>
    <xf numFmtId="0" fontId="34" fillId="0" borderId="74" xfId="0" applyFont="1" applyBorder="1"/>
    <xf numFmtId="0" fontId="28" fillId="0" borderId="0" xfId="12" applyFont="1" applyAlignment="1">
      <alignment horizontal="center" vertical="center"/>
    </xf>
    <xf numFmtId="0" fontId="28" fillId="0" borderId="0" xfId="12" quotePrefix="1" applyFont="1" applyAlignment="1">
      <alignment vertical="center"/>
    </xf>
    <xf numFmtId="0" fontId="28" fillId="0" borderId="0" xfId="12" quotePrefix="1" applyFont="1" applyAlignment="1">
      <alignment horizontal="right" vertical="center"/>
    </xf>
    <xf numFmtId="165" fontId="28" fillId="0" borderId="0" xfId="4" applyFont="1" applyBorder="1" applyAlignment="1">
      <alignment vertical="center"/>
    </xf>
    <xf numFmtId="14" fontId="28" fillId="0" borderId="0" xfId="12" applyNumberFormat="1" applyFont="1" applyAlignment="1">
      <alignment vertical="center"/>
    </xf>
    <xf numFmtId="0" fontId="35" fillId="0" borderId="9" xfId="12" quotePrefix="1" applyFont="1" applyBorder="1" applyAlignment="1">
      <alignment vertical="center"/>
    </xf>
    <xf numFmtId="0" fontId="35" fillId="0" borderId="0" xfId="12" quotePrefix="1" applyFont="1" applyAlignment="1">
      <alignment vertic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" fontId="20" fillId="0" borderId="53" xfId="0" applyNumberFormat="1" applyFont="1" applyBorder="1" applyAlignment="1">
      <alignment horizontal="center"/>
    </xf>
    <xf numFmtId="17" fontId="20" fillId="0" borderId="54" xfId="0" applyNumberFormat="1" applyFont="1" applyBorder="1" applyAlignment="1">
      <alignment horizontal="center"/>
    </xf>
    <xf numFmtId="17" fontId="20" fillId="0" borderId="55" xfId="0" applyNumberFormat="1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4" fillId="11" borderId="0" xfId="11" applyFont="1" applyFill="1" applyAlignment="1">
      <alignment horizontal="left"/>
    </xf>
    <xf numFmtId="0" fontId="24" fillId="11" borderId="38" xfId="11" applyFont="1" applyFill="1" applyBorder="1" applyAlignment="1">
      <alignment horizontal="left"/>
    </xf>
    <xf numFmtId="0" fontId="24" fillId="11" borderId="48" xfId="11" applyFont="1" applyFill="1" applyBorder="1" applyAlignment="1">
      <alignment horizontal="left"/>
    </xf>
    <xf numFmtId="0" fontId="24" fillId="11" borderId="49" xfId="11" applyFont="1" applyFill="1" applyBorder="1" applyAlignment="1">
      <alignment horizontal="left"/>
    </xf>
    <xf numFmtId="0" fontId="24" fillId="11" borderId="50" xfId="11" applyFont="1" applyFill="1" applyBorder="1" applyAlignment="1">
      <alignment horizontal="left"/>
    </xf>
    <xf numFmtId="0" fontId="24" fillId="11" borderId="51" xfId="11" applyFont="1" applyFill="1" applyBorder="1" applyAlignment="1">
      <alignment horizontal="left"/>
    </xf>
    <xf numFmtId="14" fontId="24" fillId="11" borderId="0" xfId="2" applyNumberFormat="1" applyFont="1" applyFill="1" applyBorder="1" applyAlignment="1">
      <alignment horizontal="left"/>
    </xf>
    <xf numFmtId="164" fontId="5" fillId="0" borderId="2" xfId="2" applyFont="1" applyBorder="1" applyAlignment="1">
      <alignment horizontal="center"/>
    </xf>
  </cellXfs>
  <cellStyles count="14">
    <cellStyle name="Cálculo" xfId="6" builtinId="22"/>
    <cellStyle name="Célula Ligada" xfId="7" builtinId="24"/>
    <cellStyle name="Correto" xfId="5" builtinId="26"/>
    <cellStyle name="Euro" xfId="4" xr:uid="{CA0E1D1E-4E59-4352-9F5E-3F0B4FD7377F}"/>
    <cellStyle name="Moeda" xfId="2" builtinId="4"/>
    <cellStyle name="Moeda 2" xfId="9" xr:uid="{EB0B065A-81BC-45A8-9520-C617310A9181}"/>
    <cellStyle name="Moeda 4" xfId="10" xr:uid="{8A8DBD99-835F-4246-A928-680B20380462}"/>
    <cellStyle name="Normal" xfId="0" builtinId="0"/>
    <cellStyle name="Normal 3 3" xfId="13" xr:uid="{85CDBFBD-0FFE-483D-B7BE-5F56D678F99F}"/>
    <cellStyle name="Normal 4" xfId="11" xr:uid="{200FFDBB-6017-4BB8-8EE7-16B622F14FE6}"/>
    <cellStyle name="Normal_Funcionários" xfId="12" xr:uid="{FCE68B62-0953-495F-B1EA-52ABE277B367}"/>
    <cellStyle name="Percentagem" xfId="3" builtinId="5"/>
    <cellStyle name="Texto Explicativo" xfId="8" builtinId="53"/>
    <cellStyle name="Vírgula" xfId="1" builtinId="3"/>
  </cellStyles>
  <dxfs count="16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_-* #,##0.00\ [$€-816]_-;\-* #,##0.00\ [$€-816]_-;_-* &quot;-&quot;??\ [$€-816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_-* #,##0.00\ [$€-816]_-;\-* #,##0.00\ [$€-816]_-;_-* &quot;-&quot;??\ [$€-816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_-* #,##0.00\ [$€-816]_-;\-* #,##0.00\ [$€-816]_-;_-* &quot;-&quot;??\ [$€-816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9" formatCode="_-* #,##0.00\ [$€-816]_-;\-* #,##0.00\ [$€-816]_-;_-* &quot;-&quot;??\ [$€-816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ck">
          <color auto="1"/>
        </left>
        <right style="thick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[Ex_TarefaFinal_Manoel-BarataAte25-07.xlsx]Ex3!Tabela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Total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'Ex3'!$N$7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'Ex3'!$M$8:$M$58</c:f>
              <c:multiLvlStrCache>
                <c:ptCount val="45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Novembro</c:v>
                  </c:pt>
                  <c:pt idx="10">
                    <c:v>Dezembro</c:v>
                  </c:pt>
                  <c:pt idx="11">
                    <c:v>Janeiro</c:v>
                  </c:pt>
                  <c:pt idx="12">
                    <c:v>Fevereiro</c:v>
                  </c:pt>
                  <c:pt idx="13">
                    <c:v>Março</c:v>
                  </c:pt>
                  <c:pt idx="14">
                    <c:v>Abril</c:v>
                  </c:pt>
                  <c:pt idx="15">
                    <c:v>Maio</c:v>
                  </c:pt>
                  <c:pt idx="16">
                    <c:v>Julho</c:v>
                  </c:pt>
                  <c:pt idx="17">
                    <c:v>Agosto</c:v>
                  </c:pt>
                  <c:pt idx="18">
                    <c:v>Setembro</c:v>
                  </c:pt>
                  <c:pt idx="19">
                    <c:v>Outubro</c:v>
                  </c:pt>
                  <c:pt idx="20">
                    <c:v>Novembro</c:v>
                  </c:pt>
                  <c:pt idx="21">
                    <c:v>Dezembro</c:v>
                  </c:pt>
                  <c:pt idx="22">
                    <c:v>Janeiro</c:v>
                  </c:pt>
                  <c:pt idx="23">
                    <c:v>Fevereiro</c:v>
                  </c:pt>
                  <c:pt idx="24">
                    <c:v>Março</c:v>
                  </c:pt>
                  <c:pt idx="25">
                    <c:v>Maio</c:v>
                  </c:pt>
                  <c:pt idx="26">
                    <c:v>Junho</c:v>
                  </c:pt>
                  <c:pt idx="27">
                    <c:v>Julho</c:v>
                  </c:pt>
                  <c:pt idx="28">
                    <c:v>Agosto</c:v>
                  </c:pt>
                  <c:pt idx="29">
                    <c:v>Setembro</c:v>
                  </c:pt>
                  <c:pt idx="30">
                    <c:v>Outubro</c:v>
                  </c:pt>
                  <c:pt idx="31">
                    <c:v>Novembro</c:v>
                  </c:pt>
                  <c:pt idx="32">
                    <c:v>Dezembro</c:v>
                  </c:pt>
                  <c:pt idx="33">
                    <c:v>Janeiro</c:v>
                  </c:pt>
                  <c:pt idx="34">
                    <c:v>Fevereiro</c:v>
                  </c:pt>
                  <c:pt idx="35">
                    <c:v>Março</c:v>
                  </c:pt>
                  <c:pt idx="36">
                    <c:v>Abril</c:v>
                  </c:pt>
                  <c:pt idx="37">
                    <c:v>Maio</c:v>
                  </c:pt>
                  <c:pt idx="38">
                    <c:v>Junho</c:v>
                  </c:pt>
                  <c:pt idx="39">
                    <c:v>Julho</c:v>
                  </c:pt>
                  <c:pt idx="40">
                    <c:v>Agosto</c:v>
                  </c:pt>
                  <c:pt idx="41">
                    <c:v>Outubro</c:v>
                  </c:pt>
                  <c:pt idx="42">
                    <c:v>Novembro</c:v>
                  </c:pt>
                  <c:pt idx="43">
                    <c:v>Dezembro</c:v>
                  </c:pt>
                  <c:pt idx="44">
                    <c:v>(em branco)</c:v>
                  </c:pt>
                </c:lvl>
                <c:lvl>
                  <c:pt idx="0">
                    <c:v>África</c:v>
                  </c:pt>
                  <c:pt idx="11">
                    <c:v>América</c:v>
                  </c:pt>
                  <c:pt idx="22">
                    <c:v>Ásia</c:v>
                  </c:pt>
                  <c:pt idx="33">
                    <c:v>Europa</c:v>
                  </c:pt>
                  <c:pt idx="44">
                    <c:v>(em branco)</c:v>
                  </c:pt>
                </c:lvl>
              </c:multiLvlStrCache>
            </c:multiLvlStrRef>
          </c:cat>
          <c:val>
            <c:numRef>
              <c:f>'Ex3'!$N$8:$N$58</c:f>
              <c:numCache>
                <c:formatCode>General</c:formatCode>
                <c:ptCount val="45"/>
                <c:pt idx="0">
                  <c:v>5101615.1283840006</c:v>
                </c:pt>
                <c:pt idx="1">
                  <c:v>1876149</c:v>
                </c:pt>
                <c:pt idx="2">
                  <c:v>3677479.8292800002</c:v>
                </c:pt>
                <c:pt idx="3">
                  <c:v>6231262.6043999996</c:v>
                </c:pt>
                <c:pt idx="4">
                  <c:v>6009952.8323199991</c:v>
                </c:pt>
                <c:pt idx="5">
                  <c:v>9852034.9176000003</c:v>
                </c:pt>
                <c:pt idx="6">
                  <c:v>790759</c:v>
                </c:pt>
                <c:pt idx="7">
                  <c:v>2701192.4079999998</c:v>
                </c:pt>
                <c:pt idx="8">
                  <c:v>1800609.52104</c:v>
                </c:pt>
                <c:pt idx="9">
                  <c:v>3373101.2879999997</c:v>
                </c:pt>
                <c:pt idx="10">
                  <c:v>2277832.7306400002</c:v>
                </c:pt>
                <c:pt idx="11">
                  <c:v>8294871.3999999994</c:v>
                </c:pt>
                <c:pt idx="12">
                  <c:v>7008619.2560000001</c:v>
                </c:pt>
                <c:pt idx="13">
                  <c:v>6993268.4000000004</c:v>
                </c:pt>
                <c:pt idx="14">
                  <c:v>6093492.7999999998</c:v>
                </c:pt>
                <c:pt idx="15">
                  <c:v>4428883.68</c:v>
                </c:pt>
                <c:pt idx="16">
                  <c:v>2565014</c:v>
                </c:pt>
                <c:pt idx="17">
                  <c:v>7179023.1999999993</c:v>
                </c:pt>
                <c:pt idx="18">
                  <c:v>1344037.2</c:v>
                </c:pt>
                <c:pt idx="19">
                  <c:v>2046879</c:v>
                </c:pt>
                <c:pt idx="20">
                  <c:v>6000918.9199999999</c:v>
                </c:pt>
                <c:pt idx="21">
                  <c:v>6368808</c:v>
                </c:pt>
                <c:pt idx="22">
                  <c:v>1280584.8</c:v>
                </c:pt>
                <c:pt idx="23">
                  <c:v>6510267.4960000003</c:v>
                </c:pt>
                <c:pt idx="24">
                  <c:v>2753914.3119999999</c:v>
                </c:pt>
                <c:pt idx="25">
                  <c:v>7250356.8159999996</c:v>
                </c:pt>
                <c:pt idx="26">
                  <c:v>5578666.4287999999</c:v>
                </c:pt>
                <c:pt idx="27">
                  <c:v>6651138.3704000004</c:v>
                </c:pt>
                <c:pt idx="28">
                  <c:v>6065185.2332000006</c:v>
                </c:pt>
                <c:pt idx="29">
                  <c:v>2635285.5360000003</c:v>
                </c:pt>
                <c:pt idx="30">
                  <c:v>2112509.2000000002</c:v>
                </c:pt>
                <c:pt idx="31">
                  <c:v>5431504.432</c:v>
                </c:pt>
                <c:pt idx="32">
                  <c:v>8693982.879999999</c:v>
                </c:pt>
                <c:pt idx="33">
                  <c:v>6999535.1600000001</c:v>
                </c:pt>
                <c:pt idx="34">
                  <c:v>4774726</c:v>
                </c:pt>
                <c:pt idx="35">
                  <c:v>915639</c:v>
                </c:pt>
                <c:pt idx="36">
                  <c:v>4418611</c:v>
                </c:pt>
                <c:pt idx="37">
                  <c:v>6666854</c:v>
                </c:pt>
                <c:pt idx="38">
                  <c:v>2118259</c:v>
                </c:pt>
                <c:pt idx="39">
                  <c:v>3121290</c:v>
                </c:pt>
                <c:pt idx="40">
                  <c:v>9361013.5999999996</c:v>
                </c:pt>
                <c:pt idx="41">
                  <c:v>6113688</c:v>
                </c:pt>
                <c:pt idx="42">
                  <c:v>2020320</c:v>
                </c:pt>
                <c:pt idx="43">
                  <c:v>6980240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3-4072-B803-2484341AC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9609520"/>
        <c:axId val="679610000"/>
      </c:barChart>
      <c:catAx>
        <c:axId val="6796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9610000"/>
        <c:crosses val="autoZero"/>
        <c:auto val="1"/>
        <c:lblAlgn val="ctr"/>
        <c:lblOffset val="100"/>
        <c:noMultiLvlLbl val="0"/>
      </c:catAx>
      <c:valAx>
        <c:axId val="6796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96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[Ex_TarefaFinal_Manoel-BarataAte25-07.xlsx]Ex3!Tabela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Total Compras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'Ex3'!$P$7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'Ex3'!$O$8:$O$56</c:f>
              <c:multiLvlStrCache>
                <c:ptCount val="44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Novembro</c:v>
                  </c:pt>
                  <c:pt idx="10">
                    <c:v>Dezembro</c:v>
                  </c:pt>
                  <c:pt idx="11">
                    <c:v>Janeiro</c:v>
                  </c:pt>
                  <c:pt idx="12">
                    <c:v>Fevereiro</c:v>
                  </c:pt>
                  <c:pt idx="13">
                    <c:v>Março</c:v>
                  </c:pt>
                  <c:pt idx="14">
                    <c:v>Abril</c:v>
                  </c:pt>
                  <c:pt idx="15">
                    <c:v>Maio</c:v>
                  </c:pt>
                  <c:pt idx="16">
                    <c:v>Julho</c:v>
                  </c:pt>
                  <c:pt idx="17">
                    <c:v>Agosto</c:v>
                  </c:pt>
                  <c:pt idx="18">
                    <c:v>Setembro</c:v>
                  </c:pt>
                  <c:pt idx="19">
                    <c:v>Outubro</c:v>
                  </c:pt>
                  <c:pt idx="20">
                    <c:v>Novembro</c:v>
                  </c:pt>
                  <c:pt idx="21">
                    <c:v>Dezembro</c:v>
                  </c:pt>
                  <c:pt idx="22">
                    <c:v>Janeiro</c:v>
                  </c:pt>
                  <c:pt idx="23">
                    <c:v>Fevereiro</c:v>
                  </c:pt>
                  <c:pt idx="24">
                    <c:v>Março</c:v>
                  </c:pt>
                  <c:pt idx="25">
                    <c:v>Maio</c:v>
                  </c:pt>
                  <c:pt idx="26">
                    <c:v>Junho</c:v>
                  </c:pt>
                  <c:pt idx="27">
                    <c:v>Julho</c:v>
                  </c:pt>
                  <c:pt idx="28">
                    <c:v>Agosto</c:v>
                  </c:pt>
                  <c:pt idx="29">
                    <c:v>Setembro</c:v>
                  </c:pt>
                  <c:pt idx="30">
                    <c:v>Outubro</c:v>
                  </c:pt>
                  <c:pt idx="31">
                    <c:v>Novembro</c:v>
                  </c:pt>
                  <c:pt idx="32">
                    <c:v>Dezembro</c:v>
                  </c:pt>
                  <c:pt idx="33">
                    <c:v>Janeiro</c:v>
                  </c:pt>
                  <c:pt idx="34">
                    <c:v>Fevereiro</c:v>
                  </c:pt>
                  <c:pt idx="35">
                    <c:v>Março</c:v>
                  </c:pt>
                  <c:pt idx="36">
                    <c:v>Abril</c:v>
                  </c:pt>
                  <c:pt idx="37">
                    <c:v>Maio</c:v>
                  </c:pt>
                  <c:pt idx="38">
                    <c:v>Junho</c:v>
                  </c:pt>
                  <c:pt idx="39">
                    <c:v>Julho</c:v>
                  </c:pt>
                  <c:pt idx="40">
                    <c:v>Agosto</c:v>
                  </c:pt>
                  <c:pt idx="41">
                    <c:v>Outubro</c:v>
                  </c:pt>
                  <c:pt idx="42">
                    <c:v>Novembro</c:v>
                  </c:pt>
                  <c:pt idx="43">
                    <c:v>Dezembro</c:v>
                  </c:pt>
                </c:lvl>
                <c:lvl>
                  <c:pt idx="0">
                    <c:v>África</c:v>
                  </c:pt>
                  <c:pt idx="11">
                    <c:v>América</c:v>
                  </c:pt>
                  <c:pt idx="22">
                    <c:v>Ásia</c:v>
                  </c:pt>
                  <c:pt idx="33">
                    <c:v>Europa</c:v>
                  </c:pt>
                </c:lvl>
              </c:multiLvlStrCache>
            </c:multiLvlStrRef>
          </c:cat>
          <c:val>
            <c:numRef>
              <c:f>'Ex3'!$P$8:$P$56</c:f>
              <c:numCache>
                <c:formatCode>_-* #,##0.00\ [$€-816]_-;\-* #,##0.00\ [$€-816]_-;_-* "-"??\ [$€-816]_-;_-@_-</c:formatCode>
                <c:ptCount val="44"/>
                <c:pt idx="0">
                  <c:v>1966843.1483567103</c:v>
                </c:pt>
                <c:pt idx="1">
                  <c:v>1120808.48</c:v>
                </c:pt>
                <c:pt idx="2">
                  <c:v>1430605.3744422002</c:v>
                </c:pt>
                <c:pt idx="3">
                  <c:v>2651144.1179616898</c:v>
                </c:pt>
                <c:pt idx="4">
                  <c:v>2633624.871917</c:v>
                </c:pt>
                <c:pt idx="5">
                  <c:v>3770680.7791324998</c:v>
                </c:pt>
                <c:pt idx="6">
                  <c:v>442825.04</c:v>
                </c:pt>
                <c:pt idx="7">
                  <c:v>1387952.327</c:v>
                </c:pt>
                <c:pt idx="8">
                  <c:v>680957.78250240011</c:v>
                </c:pt>
                <c:pt idx="9">
                  <c:v>1443817.217928</c:v>
                </c:pt>
                <c:pt idx="10">
                  <c:v>830979.43297199998</c:v>
                </c:pt>
                <c:pt idx="11">
                  <c:v>3437188.1090000002</c:v>
                </c:pt>
                <c:pt idx="12">
                  <c:v>3281680.466</c:v>
                </c:pt>
                <c:pt idx="13">
                  <c:v>3211104.608</c:v>
                </c:pt>
                <c:pt idx="14">
                  <c:v>2833366.59</c:v>
                </c:pt>
                <c:pt idx="15">
                  <c:v>1650561.4476000001</c:v>
                </c:pt>
                <c:pt idx="16">
                  <c:v>1290167.49</c:v>
                </c:pt>
                <c:pt idx="17">
                  <c:v>3281364.4530000002</c:v>
                </c:pt>
                <c:pt idx="18">
                  <c:v>509054.0895</c:v>
                </c:pt>
                <c:pt idx="19">
                  <c:v>1216786.08</c:v>
                </c:pt>
                <c:pt idx="20">
                  <c:v>2641293.6494</c:v>
                </c:pt>
                <c:pt idx="21">
                  <c:v>3877652.1429999992</c:v>
                </c:pt>
                <c:pt idx="22">
                  <c:v>480219.3</c:v>
                </c:pt>
                <c:pt idx="23">
                  <c:v>3364765.06917</c:v>
                </c:pt>
                <c:pt idx="24">
                  <c:v>1262042.93716</c:v>
                </c:pt>
                <c:pt idx="25">
                  <c:v>3199469.75116</c:v>
                </c:pt>
                <c:pt idx="26">
                  <c:v>2271965.6424280005</c:v>
                </c:pt>
                <c:pt idx="27">
                  <c:v>3210814.0851130001</c:v>
                </c:pt>
                <c:pt idx="28">
                  <c:v>2452241.858858</c:v>
                </c:pt>
                <c:pt idx="29">
                  <c:v>968467.43448000005</c:v>
                </c:pt>
                <c:pt idx="30">
                  <c:v>984680.35149999999</c:v>
                </c:pt>
                <c:pt idx="31">
                  <c:v>2429648.92857</c:v>
                </c:pt>
                <c:pt idx="32">
                  <c:v>3761173.6204999997</c:v>
                </c:pt>
                <c:pt idx="33">
                  <c:v>2592434.2193999998</c:v>
                </c:pt>
                <c:pt idx="34">
                  <c:v>2330717.3149999999</c:v>
                </c:pt>
                <c:pt idx="35">
                  <c:v>576852.56999999995</c:v>
                </c:pt>
                <c:pt idx="36">
                  <c:v>1807055.46</c:v>
                </c:pt>
                <c:pt idx="37">
                  <c:v>3209464.2800000003</c:v>
                </c:pt>
                <c:pt idx="38">
                  <c:v>1008122.6499999999</c:v>
                </c:pt>
                <c:pt idx="39">
                  <c:v>1871731.94</c:v>
                </c:pt>
                <c:pt idx="40">
                  <c:v>3670418.8680000002</c:v>
                </c:pt>
                <c:pt idx="41">
                  <c:v>2730893.98</c:v>
                </c:pt>
                <c:pt idx="42">
                  <c:v>765196.2</c:v>
                </c:pt>
                <c:pt idx="43">
                  <c:v>2854089.3800000004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2-4759-B6BC-3C0E2C38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1913599"/>
        <c:axId val="1151910719"/>
      </c:barChart>
      <c:catAx>
        <c:axId val="11519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1910719"/>
        <c:crosses val="autoZero"/>
        <c:auto val="1"/>
        <c:lblAlgn val="ctr"/>
        <c:lblOffset val="100"/>
        <c:noMultiLvlLbl val="0"/>
      </c:catAx>
      <c:valAx>
        <c:axId val="115191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0\ [$€-816]_-;\-* #,##0.00\ [$€-816]_-;_-* &quot;-&quot;??\ [$€-816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191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pagamentos por Cidade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'Ex8'!$L$7:$L$8</c:f>
              <c:strCache>
                <c:ptCount val="2"/>
                <c:pt idx="0">
                  <c:v>Quantidade pagamentos Por Cidade</c:v>
                </c:pt>
                <c:pt idx="1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9B-4C24-8B5D-21B26B058A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9B-4C24-8B5D-21B26B058A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9B-4C24-8B5D-21B26B058A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9B-4C24-8B5D-21B26B058A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9B-4C24-8B5D-21B26B058A8E}"/>
              </c:ext>
            </c:extLst>
          </c:dPt>
          <c:cat>
            <c:strRef>
              <c:f>'Ex8'!$K$9:$K$13</c:f>
              <c:strCache>
                <c:ptCount val="5"/>
                <c:pt idx="0">
                  <c:v>Lisboa</c:v>
                </c:pt>
                <c:pt idx="1">
                  <c:v>Porto</c:v>
                </c:pt>
                <c:pt idx="2">
                  <c:v>Santarém</c:v>
                </c:pt>
                <c:pt idx="3">
                  <c:v>Leiria</c:v>
                </c:pt>
                <c:pt idx="4">
                  <c:v>Total </c:v>
                </c:pt>
              </c:strCache>
            </c:strRef>
          </c:cat>
          <c:val>
            <c:numRef>
              <c:f>'Ex8'!$L$9:$L$13</c:f>
              <c:numCache>
                <c:formatCode>0</c:formatCode>
                <c:ptCount val="5"/>
                <c:pt idx="0">
                  <c:v>9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C-4BF8-9A72-F58E19482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Quantidade Pagamentos por Cidade</a:t>
            </a:r>
          </a:p>
        </c:rich>
      </c:tx>
      <c:layout>
        <c:manualLayout>
          <c:xMode val="edge"/>
          <c:yMode val="edge"/>
          <c:x val="0.15298144264630237"/>
          <c:y val="4.5293691248599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'Ex8'!$K$9</c:f>
              <c:strCache>
                <c:ptCount val="1"/>
                <c:pt idx="0">
                  <c:v>Lisboa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'Ex8'!$L$8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'Ex8'!$L$9</c:f>
              <c:numCache>
                <c:formatCode>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7-481A-ADDF-D7A06457FAE0}"/>
            </c:ext>
          </c:extLst>
        </c:ser>
        <c:ser>
          <c:idx val="1"/>
          <c:order val="1"/>
          <c:tx>
            <c:strRef>
              <c:f>'Ex8'!$K$10</c:f>
              <c:strCache>
                <c:ptCount val="1"/>
                <c:pt idx="0">
                  <c:v>Porto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'Ex8'!$L$8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'Ex8'!$L$10</c:f>
              <c:numCache>
                <c:formatCode>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7-481A-ADDF-D7A06457FAE0}"/>
            </c:ext>
          </c:extLst>
        </c:ser>
        <c:ser>
          <c:idx val="2"/>
          <c:order val="2"/>
          <c:tx>
            <c:strRef>
              <c:f>'Ex8'!$K$11</c:f>
              <c:strCache>
                <c:ptCount val="1"/>
                <c:pt idx="0">
                  <c:v>Santarém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'Ex8'!$L$8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'Ex8'!$L$11</c:f>
              <c:numCache>
                <c:formatCode>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7-481A-ADDF-D7A06457FAE0}"/>
            </c:ext>
          </c:extLst>
        </c:ser>
        <c:ser>
          <c:idx val="3"/>
          <c:order val="3"/>
          <c:tx>
            <c:strRef>
              <c:f>'Ex8'!$K$12</c:f>
              <c:strCache>
                <c:ptCount val="1"/>
                <c:pt idx="0">
                  <c:v>Leiria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'Ex8'!$L$8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'Ex8'!$L$12</c:f>
              <c:numCache>
                <c:formatCode>0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77-481A-ADDF-D7A06457FAE0}"/>
            </c:ext>
          </c:extLst>
        </c:ser>
        <c:ser>
          <c:idx val="4"/>
          <c:order val="4"/>
          <c:tx>
            <c:strRef>
              <c:f>'Ex8'!$K$13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'Ex8'!$L$8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'Ex8'!$L$13</c:f>
              <c:numCache>
                <c:formatCode>0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77-481A-ADDF-D7A06457F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5636351"/>
        <c:axId val="1275633951"/>
      </c:barChart>
      <c:catAx>
        <c:axId val="12756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75633951"/>
        <c:crosses val="autoZero"/>
        <c:auto val="1"/>
        <c:lblAlgn val="ctr"/>
        <c:lblOffset val="100"/>
        <c:noMultiLvlLbl val="0"/>
      </c:catAx>
      <c:valAx>
        <c:axId val="12756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756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'Ex8'!$L$16:$L$18</c:f>
              <c:strCache>
                <c:ptCount val="3"/>
                <c:pt idx="0">
                  <c:v>Quantidade pagamentos Por Departamento</c:v>
                </c:pt>
                <c:pt idx="2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E58-4850-8901-76C8888AFB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E58-4850-8901-76C8888AFB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E58-4850-8901-76C8888AFB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E58-4850-8901-76C8888AFB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E58-4850-8901-76C8888AFB3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'Ex8'!$K$19:$K$23</c:f>
              <c:strCache>
                <c:ptCount val="5"/>
                <c:pt idx="0">
                  <c:v>Administração</c:v>
                </c:pt>
                <c:pt idx="1">
                  <c:v>Contabilidade</c:v>
                </c:pt>
                <c:pt idx="2">
                  <c:v>Produção</c:v>
                </c:pt>
                <c:pt idx="3">
                  <c:v>Finanças</c:v>
                </c:pt>
                <c:pt idx="4">
                  <c:v>Total </c:v>
                </c:pt>
              </c:strCache>
            </c:strRef>
          </c:cat>
          <c:val>
            <c:numRef>
              <c:f>'Ex8'!$L$19:$L$23</c:f>
              <c:numCache>
                <c:formatCode>0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6-4EE1-8013-C63F4AD07F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Quantidade pagamentos por Cidade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'Ex8'!$K$19</c:f>
              <c:strCache>
                <c:ptCount val="1"/>
                <c:pt idx="0">
                  <c:v>Administração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'Ex8'!$L$16:$L$18</c:f>
              <c:strCache>
                <c:ptCount val="3"/>
                <c:pt idx="2">
                  <c:v>Total</c:v>
                </c:pt>
              </c:strCache>
            </c:strRef>
          </c:cat>
          <c:val>
            <c:numRef>
              <c:f>'Ex8'!$L$19</c:f>
              <c:numCache>
                <c:formatCode>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7-49C1-B960-8ECBA615DDD7}"/>
            </c:ext>
          </c:extLst>
        </c:ser>
        <c:ser>
          <c:idx val="1"/>
          <c:order val="1"/>
          <c:tx>
            <c:strRef>
              <c:f>'Ex8'!$K$20</c:f>
              <c:strCache>
                <c:ptCount val="1"/>
                <c:pt idx="0">
                  <c:v>Contabilidade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'Ex8'!$L$16:$L$18</c:f>
              <c:strCache>
                <c:ptCount val="3"/>
                <c:pt idx="2">
                  <c:v>Total</c:v>
                </c:pt>
              </c:strCache>
            </c:strRef>
          </c:cat>
          <c:val>
            <c:numRef>
              <c:f>'Ex8'!$L$20</c:f>
              <c:numCache>
                <c:formatCode>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7-49C1-B960-8ECBA615DDD7}"/>
            </c:ext>
          </c:extLst>
        </c:ser>
        <c:ser>
          <c:idx val="2"/>
          <c:order val="2"/>
          <c:tx>
            <c:strRef>
              <c:f>'Ex8'!$K$21</c:f>
              <c:strCache>
                <c:ptCount val="1"/>
                <c:pt idx="0">
                  <c:v>Produção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'Ex8'!$L$16:$L$18</c:f>
              <c:strCache>
                <c:ptCount val="3"/>
                <c:pt idx="2">
                  <c:v>Total</c:v>
                </c:pt>
              </c:strCache>
            </c:strRef>
          </c:cat>
          <c:val>
            <c:numRef>
              <c:f>'Ex8'!$L$21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07-49C1-B960-8ECBA615DDD7}"/>
            </c:ext>
          </c:extLst>
        </c:ser>
        <c:ser>
          <c:idx val="3"/>
          <c:order val="3"/>
          <c:tx>
            <c:strRef>
              <c:f>'Ex8'!$K$22</c:f>
              <c:strCache>
                <c:ptCount val="1"/>
                <c:pt idx="0">
                  <c:v>Finanças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'Ex8'!$L$16:$L$18</c:f>
              <c:strCache>
                <c:ptCount val="3"/>
                <c:pt idx="2">
                  <c:v>Total</c:v>
                </c:pt>
              </c:strCache>
            </c:strRef>
          </c:cat>
          <c:val>
            <c:numRef>
              <c:f>'Ex8'!$L$22</c:f>
              <c:numCache>
                <c:formatCode>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07-49C1-B960-8ECBA615DDD7}"/>
            </c:ext>
          </c:extLst>
        </c:ser>
        <c:ser>
          <c:idx val="4"/>
          <c:order val="4"/>
          <c:tx>
            <c:strRef>
              <c:f>'Ex8'!$K$23</c:f>
              <c:strCache>
                <c:ptCount val="1"/>
                <c:pt idx="0">
                  <c:v>Total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'Ex8'!$L$16:$L$18</c:f>
              <c:strCache>
                <c:ptCount val="3"/>
                <c:pt idx="2">
                  <c:v>Total</c:v>
                </c:pt>
              </c:strCache>
            </c:strRef>
          </c:cat>
          <c:val>
            <c:numRef>
              <c:f>'Ex8'!$L$23</c:f>
              <c:numCache>
                <c:formatCode>0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7-49C1-B960-8ECBA615D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76036047"/>
        <c:axId val="1276036527"/>
      </c:barChart>
      <c:catAx>
        <c:axId val="1276036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76036527"/>
        <c:crosses val="autoZero"/>
        <c:auto val="1"/>
        <c:lblAlgn val="ctr"/>
        <c:lblOffset val="100"/>
        <c:noMultiLvlLbl val="0"/>
      </c:catAx>
      <c:valAx>
        <c:axId val="12760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7603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'Ex10'!$B$1</c:f>
              <c:strCache>
                <c:ptCount val="1"/>
                <c:pt idx="0">
                  <c:v>Inqueritos enviados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'Ex10'!$A$2:$A$6</c:f>
              <c:strCache>
                <c:ptCount val="5"/>
                <c:pt idx="0">
                  <c:v>D.pt Gold</c:v>
                </c:pt>
                <c:pt idx="1">
                  <c:v>D.pt Silver</c:v>
                </c:pt>
                <c:pt idx="2">
                  <c:v>D.pt Partner</c:v>
                </c:pt>
                <c:pt idx="3">
                  <c:v>D.pt Pro</c:v>
                </c:pt>
                <c:pt idx="4">
                  <c:v>Wholesaler</c:v>
                </c:pt>
              </c:strCache>
            </c:strRef>
          </c:cat>
          <c:val>
            <c:numRef>
              <c:f>'Ex10'!$B$2:$B$6</c:f>
              <c:numCache>
                <c:formatCode>General</c:formatCode>
                <c:ptCount val="5"/>
                <c:pt idx="0">
                  <c:v>81</c:v>
                </c:pt>
                <c:pt idx="1">
                  <c:v>94</c:v>
                </c:pt>
                <c:pt idx="2">
                  <c:v>177</c:v>
                </c:pt>
                <c:pt idx="3">
                  <c:v>283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A-4C3D-A8D5-BE5D90ABF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'Ex10'!$C$1</c:f>
              <c:strCache>
                <c:ptCount val="1"/>
                <c:pt idx="0">
                  <c:v>Respondidos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'Ex10'!$A$2:$A$6</c:f>
              <c:strCache>
                <c:ptCount val="5"/>
                <c:pt idx="0">
                  <c:v>D.pt Gold</c:v>
                </c:pt>
                <c:pt idx="1">
                  <c:v>D.pt Silver</c:v>
                </c:pt>
                <c:pt idx="2">
                  <c:v>D.pt Partner</c:v>
                </c:pt>
                <c:pt idx="3">
                  <c:v>D.pt Pro</c:v>
                </c:pt>
                <c:pt idx="4">
                  <c:v>Wholesaler</c:v>
                </c:pt>
              </c:strCache>
            </c:strRef>
          </c:cat>
          <c:val>
            <c:numRef>
              <c:f>'Ex10'!$C$2:$C$6</c:f>
              <c:numCache>
                <c:formatCode>General</c:formatCode>
                <c:ptCount val="5"/>
                <c:pt idx="0">
                  <c:v>33</c:v>
                </c:pt>
                <c:pt idx="1">
                  <c:v>33</c:v>
                </c:pt>
                <c:pt idx="2">
                  <c:v>46</c:v>
                </c:pt>
                <c:pt idx="3">
                  <c:v>88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0-4B3F-B8D0-D0EABF30BD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'Ex10'!$D$1</c:f>
              <c:strCache>
                <c:ptCount val="1"/>
                <c:pt idx="0">
                  <c:v>N/Respondidos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'Ex10'!$A$2:$A$6</c:f>
              <c:strCache>
                <c:ptCount val="5"/>
                <c:pt idx="0">
                  <c:v>D.pt Gold</c:v>
                </c:pt>
                <c:pt idx="1">
                  <c:v>D.pt Silver</c:v>
                </c:pt>
                <c:pt idx="2">
                  <c:v>D.pt Partner</c:v>
                </c:pt>
                <c:pt idx="3">
                  <c:v>D.pt Pro</c:v>
                </c:pt>
                <c:pt idx="4">
                  <c:v>Wholesaler</c:v>
                </c:pt>
              </c:strCache>
            </c:strRef>
          </c:cat>
          <c:val>
            <c:numRef>
              <c:f>'Ex10'!$D$2:$D$6</c:f>
              <c:numCache>
                <c:formatCode>General</c:formatCode>
                <c:ptCount val="5"/>
                <c:pt idx="0">
                  <c:v>48</c:v>
                </c:pt>
                <c:pt idx="1">
                  <c:v>61</c:v>
                </c:pt>
                <c:pt idx="2">
                  <c:v>131</c:v>
                </c:pt>
                <c:pt idx="3">
                  <c:v>195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C-4986-8742-AD9B65F98B7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Resultado dos inquéritos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'Ex10'!$B$1</c:f>
              <c:strCache>
                <c:ptCount val="1"/>
                <c:pt idx="0">
                  <c:v>Inqueritos enviados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'Ex10'!$A$2:$A$6</c:f>
              <c:strCache>
                <c:ptCount val="5"/>
                <c:pt idx="0">
                  <c:v>D.pt Gold</c:v>
                </c:pt>
                <c:pt idx="1">
                  <c:v>D.pt Silver</c:v>
                </c:pt>
                <c:pt idx="2">
                  <c:v>D.pt Partner</c:v>
                </c:pt>
                <c:pt idx="3">
                  <c:v>D.pt Pro</c:v>
                </c:pt>
                <c:pt idx="4">
                  <c:v>Wholesaler</c:v>
                </c:pt>
              </c:strCache>
            </c:strRef>
          </c:cat>
          <c:val>
            <c:numRef>
              <c:f>'Ex10'!$B$2:$B$6</c:f>
              <c:numCache>
                <c:formatCode>General</c:formatCode>
                <c:ptCount val="5"/>
                <c:pt idx="0">
                  <c:v>81</c:v>
                </c:pt>
                <c:pt idx="1">
                  <c:v>94</c:v>
                </c:pt>
                <c:pt idx="2">
                  <c:v>177</c:v>
                </c:pt>
                <c:pt idx="3">
                  <c:v>283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8-4EF7-9070-2F4D749DB8A4}"/>
            </c:ext>
          </c:extLst>
        </c:ser>
        <c:ser>
          <c:idx val="1"/>
          <c:order val="1"/>
          <c:tx>
            <c:strRef>
              <c:f>'Ex10'!$C$1</c:f>
              <c:strCache>
                <c:ptCount val="1"/>
                <c:pt idx="0">
                  <c:v>Respondidos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'Ex10'!$A$2:$A$6</c:f>
              <c:strCache>
                <c:ptCount val="5"/>
                <c:pt idx="0">
                  <c:v>D.pt Gold</c:v>
                </c:pt>
                <c:pt idx="1">
                  <c:v>D.pt Silver</c:v>
                </c:pt>
                <c:pt idx="2">
                  <c:v>D.pt Partner</c:v>
                </c:pt>
                <c:pt idx="3">
                  <c:v>D.pt Pro</c:v>
                </c:pt>
                <c:pt idx="4">
                  <c:v>Wholesaler</c:v>
                </c:pt>
              </c:strCache>
            </c:strRef>
          </c:cat>
          <c:val>
            <c:numRef>
              <c:f>'Ex10'!$C$2:$C$6</c:f>
              <c:numCache>
                <c:formatCode>General</c:formatCode>
                <c:ptCount val="5"/>
                <c:pt idx="0">
                  <c:v>33</c:v>
                </c:pt>
                <c:pt idx="1">
                  <c:v>33</c:v>
                </c:pt>
                <c:pt idx="2">
                  <c:v>46</c:v>
                </c:pt>
                <c:pt idx="3">
                  <c:v>88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8-4EF7-9070-2F4D749DB8A4}"/>
            </c:ext>
          </c:extLst>
        </c:ser>
        <c:ser>
          <c:idx val="2"/>
          <c:order val="2"/>
          <c:tx>
            <c:strRef>
              <c:f>'Ex10'!$D$1</c:f>
              <c:strCache>
                <c:ptCount val="1"/>
                <c:pt idx="0">
                  <c:v>N/Respondidos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'Ex10'!$A$2:$A$6</c:f>
              <c:strCache>
                <c:ptCount val="5"/>
                <c:pt idx="0">
                  <c:v>D.pt Gold</c:v>
                </c:pt>
                <c:pt idx="1">
                  <c:v>D.pt Silver</c:v>
                </c:pt>
                <c:pt idx="2">
                  <c:v>D.pt Partner</c:v>
                </c:pt>
                <c:pt idx="3">
                  <c:v>D.pt Pro</c:v>
                </c:pt>
                <c:pt idx="4">
                  <c:v>Wholesaler</c:v>
                </c:pt>
              </c:strCache>
            </c:strRef>
          </c:cat>
          <c:val>
            <c:numRef>
              <c:f>'Ex10'!$D$2:$D$6</c:f>
              <c:numCache>
                <c:formatCode>General</c:formatCode>
                <c:ptCount val="5"/>
                <c:pt idx="0">
                  <c:v>48</c:v>
                </c:pt>
                <c:pt idx="1">
                  <c:v>61</c:v>
                </c:pt>
                <c:pt idx="2">
                  <c:v>131</c:v>
                </c:pt>
                <c:pt idx="3">
                  <c:v>195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D8-4EF7-9070-2F4D749DB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34896496"/>
        <c:axId val="1034895536"/>
        <c:axId val="0"/>
      </c:bar3DChart>
      <c:catAx>
        <c:axId val="103489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34895536"/>
        <c:crosses val="autoZero"/>
        <c:auto val="1"/>
        <c:lblAlgn val="ctr"/>
        <c:lblOffset val="100"/>
        <c:noMultiLvlLbl val="0"/>
      </c:catAx>
      <c:valAx>
        <c:axId val="103489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3489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5</xdr:row>
      <xdr:rowOff>119062</xdr:rowOff>
    </xdr:from>
    <xdr:to>
      <xdr:col>11</xdr:col>
      <xdr:colOff>1085850</xdr:colOff>
      <xdr:row>20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691B6B-3405-C356-56E0-A905DD46B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161923</xdr:colOff>
      <xdr:row>20</xdr:row>
      <xdr:rowOff>76201</xdr:rowOff>
    </xdr:from>
    <xdr:to>
      <xdr:col>11</xdr:col>
      <xdr:colOff>1095374</xdr:colOff>
      <xdr:row>35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85C879-D127-31E2-EB46-88C2A53D7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23</xdr:row>
      <xdr:rowOff>61912</xdr:rowOff>
    </xdr:from>
    <xdr:to>
      <xdr:col>4</xdr:col>
      <xdr:colOff>0</xdr:colOff>
      <xdr:row>34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A65991-DF25-2790-DFD2-8A7B5EE00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23</xdr:row>
      <xdr:rowOff>42862</xdr:rowOff>
    </xdr:from>
    <xdr:to>
      <xdr:col>7</xdr:col>
      <xdr:colOff>314325</xdr:colOff>
      <xdr:row>35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5D6C68-E560-1077-2F03-FFAF8BB60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36</xdr:row>
      <xdr:rowOff>38100</xdr:rowOff>
    </xdr:from>
    <xdr:to>
      <xdr:col>3</xdr:col>
      <xdr:colOff>771525</xdr:colOff>
      <xdr:row>48</xdr:row>
      <xdr:rowOff>119061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F8F2FB-DE59-BF6E-F29E-78FFC8E48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85724</xdr:colOff>
      <xdr:row>35</xdr:row>
      <xdr:rowOff>152400</xdr:rowOff>
    </xdr:from>
    <xdr:to>
      <xdr:col>7</xdr:col>
      <xdr:colOff>304799</xdr:colOff>
      <xdr:row>48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0263B1-1653-75C1-1010-16EECDE24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166687</xdr:rowOff>
    </xdr:from>
    <xdr:to>
      <xdr:col>3</xdr:col>
      <xdr:colOff>714374</xdr:colOff>
      <xdr:row>18</xdr:row>
      <xdr:rowOff>57944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99DCC8-69F0-7633-F76A-1428D9EDD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738188</xdr:colOff>
      <xdr:row>8</xdr:row>
      <xdr:rowOff>150811</xdr:rowOff>
    </xdr:from>
    <xdr:to>
      <xdr:col>7</xdr:col>
      <xdr:colOff>1174750</xdr:colOff>
      <xdr:row>18</xdr:row>
      <xdr:rowOff>39687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94D976-1DA5-2F9B-52C6-E5C13F673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1190626</xdr:colOff>
      <xdr:row>8</xdr:row>
      <xdr:rowOff>142875</xdr:rowOff>
    </xdr:from>
    <xdr:to>
      <xdr:col>11</xdr:col>
      <xdr:colOff>381001</xdr:colOff>
      <xdr:row>18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A492CD-6111-0650-123E-73D9CCEAE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769938</xdr:colOff>
      <xdr:row>18</xdr:row>
      <xdr:rowOff>164305</xdr:rowOff>
    </xdr:from>
    <xdr:to>
      <xdr:col>8</xdr:col>
      <xdr:colOff>317500</xdr:colOff>
      <xdr:row>33</xdr:row>
      <xdr:rowOff>50005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54BC43E-7F9A-F512-D401-5735C2BDF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706737499997" createdVersion="8" refreshedVersion="8" minRefreshableVersion="3" recordCount="160" xr:uid="{DE3BD0AE-6416-49F8-8AE3-1BB152761E62}">
  <cacheSource type="worksheet">
    <worksheetSource ref="A1:F1048576" sheet="Ex3"/>
  </cacheSource>
  <cacheFields count="6">
    <cacheField name="Tipo" numFmtId="0">
      <sharedItems containsBlank="1"/>
    </cacheField>
    <cacheField name="Continente" numFmtId="0">
      <sharedItems containsBlank="1" count="5">
        <s v="Europa"/>
        <s v="América"/>
        <s v="Ásia"/>
        <s v="África"/>
        <m/>
      </sharedItems>
    </cacheField>
    <cacheField name="País" numFmtId="0">
      <sharedItems containsBlank="1"/>
    </cacheField>
    <cacheField name="Mês" numFmtId="0">
      <sharedItems containsBlank="1" count="13">
        <s v="Maio"/>
        <s v="Dezembro"/>
        <s v="Agosto"/>
        <s v="Outubro"/>
        <s v="Novembro"/>
        <s v="Abril"/>
        <s v="Janeiro"/>
        <s v="Junho"/>
        <s v="Fevereiro"/>
        <s v="Março"/>
        <s v="Setembro"/>
        <s v="Julho"/>
        <m/>
      </sharedItems>
    </cacheField>
    <cacheField name="Vendas" numFmtId="169">
      <sharedItems containsString="0" containsBlank="1" containsNumber="1" minValue="523057" maxValue="3189014.4"/>
    </cacheField>
    <cacheField name="Compras" numFmtId="169">
      <sharedItems containsString="0" containsBlank="1" containsNumber="1" minValue="285621.68527497002" maxValue="1625037.216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769402314814" createdVersion="8" refreshedVersion="8" minRefreshableVersion="3" recordCount="149" xr:uid="{F0964800-C03B-4581-A52C-BE151BC23AE6}">
  <cacheSource type="worksheet">
    <worksheetSource ref="A1:F150" sheet="Ex3"/>
  </cacheSource>
  <cacheFields count="6">
    <cacheField name="Tipo" numFmtId="0">
      <sharedItems/>
    </cacheField>
    <cacheField name="Continente" numFmtId="0">
      <sharedItems count="4">
        <s v="Europa"/>
        <s v="América"/>
        <s v="Ásia"/>
        <s v="África"/>
      </sharedItems>
    </cacheField>
    <cacheField name="País" numFmtId="0">
      <sharedItems count="40">
        <s v="Inglaterra"/>
        <s v="Escócia"/>
        <s v="País de Gales"/>
        <s v="Irlanda"/>
        <s v="Alemanha"/>
        <s v="França"/>
        <s v="Itália"/>
        <s v="Espanha"/>
        <s v="Grécia"/>
        <s v="Portugal"/>
        <s v="EUA"/>
        <s v="Canadá"/>
        <s v="México"/>
        <s v="Colómbia"/>
        <s v="Brasil"/>
        <s v="Chile"/>
        <s v="Venezuela"/>
        <s v="Cuba"/>
        <s v="Uruguai"/>
        <s v="Argentina"/>
        <s v="Austrália"/>
        <s v="Nova Zelândia"/>
        <s v="China"/>
        <s v="Hong Kong"/>
        <s v="Índia"/>
        <s v="Pakistão"/>
        <s v="Bangladesh"/>
        <s v="Vietnam"/>
        <s v="Camboja"/>
        <s v="Laos"/>
        <s v="Argélia"/>
        <s v="Egipto"/>
        <s v="Etiópia"/>
        <s v="Quénia"/>
        <s v="Libéria"/>
        <s v="Ilhas Mauricias"/>
        <s v="Nigéria"/>
        <s v="África do Sul"/>
        <s v="Tunisia"/>
        <s v="Zimbabwe"/>
      </sharedItems>
    </cacheField>
    <cacheField name="Mês" numFmtId="0">
      <sharedItems count="12">
        <s v="Maio"/>
        <s v="Dezembro"/>
        <s v="Agosto"/>
        <s v="Outubro"/>
        <s v="Novembro"/>
        <s v="Abril"/>
        <s v="Janeiro"/>
        <s v="Junho"/>
        <s v="Fevereiro"/>
        <s v="Março"/>
        <s v="Setembro"/>
        <s v="Julho"/>
      </sharedItems>
    </cacheField>
    <cacheField name="Vendas" numFmtId="169">
      <sharedItems containsSemiMixedTypes="0" containsString="0" containsNumber="1" minValue="523057" maxValue="3189014.4"/>
    </cacheField>
    <cacheField name="Compras" numFmtId="169">
      <sharedItems containsSemiMixedTypes="0" containsString="0" containsNumber="1" minValue="285621.68527497002" maxValue="1625037.216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Actual"/>
    <x v="0"/>
    <s v="Inglaterra"/>
    <x v="0"/>
    <n v="1689120"/>
    <n v="652422.6"/>
  </r>
  <r>
    <s v="Actual"/>
    <x v="0"/>
    <s v="Escócia"/>
    <x v="1"/>
    <n v="1286160"/>
    <n v="496779.3"/>
  </r>
  <r>
    <s v="Actual"/>
    <x v="0"/>
    <s v="País de Gales"/>
    <x v="2"/>
    <n v="1021200"/>
    <n v="382950"/>
  </r>
  <r>
    <s v="Actual"/>
    <x v="0"/>
    <s v="Irlanda"/>
    <x v="0"/>
    <n v="1782960"/>
    <n v="675296.1"/>
  </r>
  <r>
    <s v="Actual"/>
    <x v="0"/>
    <s v="Alemanha"/>
    <x v="3"/>
    <n v="1816080"/>
    <n v="687840.3"/>
  </r>
  <r>
    <s v="Actual"/>
    <x v="0"/>
    <s v="França"/>
    <x v="4"/>
    <n v="2020320"/>
    <n v="765196.2"/>
  </r>
  <r>
    <s v="Actual"/>
    <x v="0"/>
    <s v="Itália"/>
    <x v="5"/>
    <n v="949439.99999999977"/>
    <n v="370281.6"/>
  </r>
  <r>
    <s v="Actual"/>
    <x v="0"/>
    <s v="Espanha"/>
    <x v="6"/>
    <n v="2870400"/>
    <n v="485928"/>
  </r>
  <r>
    <s v="Actual"/>
    <x v="0"/>
    <s v="Grécia"/>
    <x v="2"/>
    <n v="2633040"/>
    <n v="987390"/>
  </r>
  <r>
    <s v="Actual"/>
    <x v="0"/>
    <s v="Portugal"/>
    <x v="2"/>
    <n v="1489185.5999999999"/>
    <n v="547275.70799999998"/>
  </r>
  <r>
    <s v="Estimado"/>
    <x v="0"/>
    <s v="Inglaterra"/>
    <x v="1"/>
    <n v="1604664"/>
    <n v="613783.98"/>
  </r>
  <r>
    <s v="Estimado"/>
    <x v="0"/>
    <s v="Escócia"/>
    <x v="5"/>
    <n v="1221852"/>
    <n v="471940.33500000002"/>
  </r>
  <r>
    <s v="Estimado"/>
    <x v="0"/>
    <s v="País de Gales"/>
    <x v="1"/>
    <n v="970140"/>
    <n v="363802.5"/>
  </r>
  <r>
    <s v="Estimado"/>
    <x v="0"/>
    <s v="Irlanda"/>
    <x v="5"/>
    <n v="1693812"/>
    <n v="616124.11499999999"/>
  </r>
  <r>
    <s v="Estimado"/>
    <x v="0"/>
    <s v="Alemanha"/>
    <x v="3"/>
    <n v="1997688.0000000002"/>
    <n v="756624.33000000007"/>
  </r>
  <r>
    <s v="Estimado"/>
    <x v="0"/>
    <s v="França"/>
    <x v="1"/>
    <n v="1919304"/>
    <n v="719739"/>
  </r>
  <r>
    <s v="Estimado"/>
    <x v="0"/>
    <s v="Itália"/>
    <x v="7"/>
    <n v="916320"/>
    <n v="347056.2"/>
  </r>
  <r>
    <s v="Estimado"/>
    <x v="0"/>
    <s v="Espanha"/>
    <x v="2"/>
    <n v="3157440"/>
    <n v="1148518.8"/>
  </r>
  <r>
    <s v="Estimado"/>
    <x v="0"/>
    <s v="Grécia"/>
    <x v="8"/>
    <n v="2501388"/>
    <n v="947400.70499999996"/>
  </r>
  <r>
    <s v="Estimado"/>
    <x v="0"/>
    <s v="Portugal"/>
    <x v="6"/>
    <n v="1638104.16"/>
    <n v="608146.16940000001"/>
  </r>
  <r>
    <s v="Actual"/>
    <x v="1"/>
    <s v="EUA"/>
    <x v="6"/>
    <n v="1706011.2"/>
    <n v="633356.65800000005"/>
  </r>
  <r>
    <s v="Actual"/>
    <x v="1"/>
    <s v="Canadá"/>
    <x v="2"/>
    <n v="1414776"/>
    <n v="519930.18"/>
  </r>
  <r>
    <s v="Actual"/>
    <x v="1"/>
    <s v="México"/>
    <x v="9"/>
    <n v="1123320"/>
    <n v="412820.10000000003"/>
  </r>
  <r>
    <s v="Actual"/>
    <x v="1"/>
    <s v="Colómbia"/>
    <x v="1"/>
    <n v="1800789.5999999999"/>
    <n v="1625037.2169999999"/>
  </r>
  <r>
    <s v="Actual"/>
    <x v="1"/>
    <s v="Brasil"/>
    <x v="8"/>
    <n v="2379064.7999999998"/>
    <n v="892149.3"/>
  </r>
  <r>
    <s v="Actual"/>
    <x v="1"/>
    <s v="Chile"/>
    <x v="6"/>
    <n v="2040523.2"/>
    <n v="788152.08600000013"/>
  </r>
  <r>
    <s v="Actual"/>
    <x v="1"/>
    <s v="Venezuela"/>
    <x v="5"/>
    <n v="958934.39999999979"/>
    <n v="366792.408"/>
  </r>
  <r>
    <s v="Actual"/>
    <x v="1"/>
    <s v="Cuba"/>
    <x v="0"/>
    <n v="2899104"/>
    <n v="1065420.72"/>
  </r>
  <r>
    <s v="Actual"/>
    <x v="1"/>
    <s v="Uruguai"/>
    <x v="5"/>
    <n v="2659370.4"/>
    <n v="977318.62199999997"/>
  </r>
  <r>
    <s v="Actual"/>
    <x v="1"/>
    <s v="Argentina"/>
    <x v="8"/>
    <n v="1504077.456"/>
    <n v="564029.04600000009"/>
  </r>
  <r>
    <s v="Estimado"/>
    <x v="1"/>
    <s v="EUA"/>
    <x v="4"/>
    <n v="1620710.64"/>
    <n v="595611.16019999993"/>
  </r>
  <r>
    <s v="Estimado"/>
    <x v="1"/>
    <s v="Canadá"/>
    <x v="10"/>
    <n v="1344037.2"/>
    <n v="509054.0895"/>
  </r>
  <r>
    <s v="Estimado"/>
    <x v="1"/>
    <s v="México"/>
    <x v="11"/>
    <n v="1164167.9999999998"/>
    <n v="449659.88999999996"/>
  </r>
  <r>
    <s v="Estimado"/>
    <x v="1"/>
    <s v="Colómbia"/>
    <x v="1"/>
    <n v="1711586.4"/>
    <n v="667518.696"/>
  </r>
  <r>
    <s v="Estimado"/>
    <x v="1"/>
    <s v="Brasil"/>
    <x v="4"/>
    <n v="2616971.2800000003"/>
    <n v="1020618.7992000002"/>
  </r>
  <r>
    <s v="Estimado"/>
    <x v="1"/>
    <s v="Chile"/>
    <x v="6"/>
    <n v="2224504.7999999998"/>
    <n v="859214.97900000005"/>
  </r>
  <r>
    <s v="Estimado"/>
    <x v="1"/>
    <s v="Venezuela"/>
    <x v="6"/>
    <n v="833851.2"/>
    <n v="322075.02600000001"/>
  </r>
  <r>
    <s v="Estimado"/>
    <x v="1"/>
    <s v="Cuba"/>
    <x v="9"/>
    <n v="3189014.4"/>
    <n v="1219798.0080000001"/>
  </r>
  <r>
    <s v="Estimado"/>
    <x v="1"/>
    <s v="Uruguai"/>
    <x v="2"/>
    <n v="2737423.1999999997"/>
    <n v="1016268.363"/>
  </r>
  <r>
    <s v="Estimado"/>
    <x v="1"/>
    <s v="Argentina"/>
    <x v="0"/>
    <n v="1529779.68"/>
    <n v="585140.72759999998"/>
  </r>
  <r>
    <s v="Actual"/>
    <x v="2"/>
    <s v="Austrália"/>
    <x v="9"/>
    <n v="1723071.3119999999"/>
    <n v="633228.70715999999"/>
  </r>
  <r>
    <s v="Actual"/>
    <x v="2"/>
    <s v="Nova Zelândia"/>
    <x v="1"/>
    <n v="1556253.5999999999"/>
    <n v="589431.05099999998"/>
  </r>
  <r>
    <s v="Actual"/>
    <x v="2"/>
    <s v="China"/>
    <x v="6"/>
    <n v="1280584.8"/>
    <n v="480219.3"/>
  </r>
  <r>
    <s v="Actual"/>
    <x v="2"/>
    <s v="Hong Kong"/>
    <x v="8"/>
    <n v="1818797.496"/>
    <n v="661587.58917000005"/>
  </r>
  <r>
    <s v="Actual"/>
    <x v="2"/>
    <s v="Índia"/>
    <x v="2"/>
    <n v="2640761.9280000003"/>
    <n v="1019994.2946900002"/>
  </r>
  <r>
    <s v="Actual"/>
    <x v="2"/>
    <s v="Pakistão"/>
    <x v="2"/>
    <n v="2060928.432"/>
    <n v="780576.64361999999"/>
  </r>
  <r>
    <s v="Actual"/>
    <x v="2"/>
    <s v="Bangladesh"/>
    <x v="11"/>
    <n v="872630.30399999989"/>
    <n v="340325.81855999999"/>
  </r>
  <r>
    <s v="Actual"/>
    <x v="2"/>
    <s v="Vietnam"/>
    <x v="1"/>
    <n v="2928095.04"/>
    <n v="1076074.9272"/>
  </r>
  <r>
    <s v="Actual"/>
    <x v="2"/>
    <s v="Camboja"/>
    <x v="0"/>
    <n v="2685964.1039999998"/>
    <n v="1037453.63517"/>
  </r>
  <r>
    <s v="Actual"/>
    <x v="2"/>
    <s v="Laos"/>
    <x v="0"/>
    <n v="909398.74800000002"/>
    <n v="354665.51172000007"/>
  </r>
  <r>
    <s v="Estimado"/>
    <x v="2"/>
    <s v="Austrália"/>
    <x v="3"/>
    <n v="1329685.2"/>
    <n v="483672.9915"/>
  </r>
  <r>
    <s v="Estimado"/>
    <x v="2"/>
    <s v="Nova Zelândia"/>
    <x v="1"/>
    <n v="1400628.24"/>
    <n v="509478.52229999995"/>
  </r>
  <r>
    <s v="Estimado"/>
    <x v="2"/>
    <s v="China"/>
    <x v="11"/>
    <n v="1152526.3199999998"/>
    <n v="427875.39629999996"/>
  </r>
  <r>
    <s v="Estimado"/>
    <x v="2"/>
    <s v="Hong Kong"/>
    <x v="11"/>
    <n v="1636917.7464000003"/>
    <n v="595428.83025300002"/>
  </r>
  <r>
    <s v="Estimado"/>
    <x v="2"/>
    <s v="Índia"/>
    <x v="7"/>
    <n v="2376685.7352000005"/>
    <n v="864519.43617900019"/>
  </r>
  <r>
    <s v="Estimado"/>
    <x v="2"/>
    <s v="Pakistão"/>
    <x v="0"/>
    <n v="1320380.9640000002"/>
    <n v="485240.00427000009"/>
  </r>
  <r>
    <s v="Estimado"/>
    <x v="2"/>
    <s v="Bangladesh"/>
    <x v="4"/>
    <n v="2060928.432"/>
    <n v="374831.35856999998"/>
  </r>
  <r>
    <s v="Estimado"/>
    <x v="2"/>
    <s v="Vietnam"/>
    <x v="10"/>
    <n v="2635285.5360000003"/>
    <n v="968467.43448000005"/>
  </r>
  <r>
    <s v="Estimado"/>
    <x v="2"/>
    <s v="Camboja"/>
    <x v="7"/>
    <n v="2417367.6935999999"/>
    <n v="897447.75624899997"/>
  </r>
  <r>
    <s v="Estimado"/>
    <x v="2"/>
    <s v="Laos"/>
    <x v="2"/>
    <n v="818458.87320000015"/>
    <n v="319198.96054800006"/>
  </r>
  <r>
    <s v="Actual"/>
    <x v="3"/>
    <s v="Argélia"/>
    <x v="5"/>
    <n v="1636917.7463999998"/>
    <n v="614102.61559679988"/>
  </r>
  <r>
    <s v="Actual"/>
    <x v="3"/>
    <s v="Egipto"/>
    <x v="7"/>
    <n v="1462878.3839999998"/>
    <n v="549104.62958999991"/>
  </r>
  <r>
    <s v="Actual"/>
    <x v="3"/>
    <s v="Etiópia"/>
    <x v="2"/>
    <n v="1229361.4080000001"/>
    <n v="475417.10699999996"/>
  </r>
  <r>
    <s v="Actual"/>
    <x v="3"/>
    <s v="Quénia"/>
    <x v="10"/>
    <n v="1800609.52104"/>
    <n v="680957.78250240011"/>
  </r>
  <r>
    <s v="Actual"/>
    <x v="3"/>
    <s v="Libéria"/>
    <x v="7"/>
    <n v="2587946.6894400003"/>
    <n v="970579.03711230028"/>
  </r>
  <r>
    <s v="Actual"/>
    <x v="3"/>
    <s v="Ilhas Mauricias"/>
    <x v="0"/>
    <n v="1957882.0104"/>
    <n v="756772.92023040005"/>
  </r>
  <r>
    <s v="Actual"/>
    <x v="3"/>
    <s v="Nigéria"/>
    <x v="7"/>
    <n v="820272.48575999984"/>
    <n v="323767.65854160005"/>
  </r>
  <r>
    <s v="Actual"/>
    <x v="3"/>
    <s v="África do Sul"/>
    <x v="4"/>
    <n v="2781690.2879999997"/>
    <n v="1065314.177928"/>
  </r>
  <r>
    <s v="Actual"/>
    <x v="3"/>
    <s v="Tunisia"/>
    <x v="0"/>
    <n v="2632244.8219199996"/>
    <n v="996559.8316866"/>
  </r>
  <r>
    <s v="Actual"/>
    <x v="3"/>
    <s v="Zimbabwe"/>
    <x v="1"/>
    <n v="891210.77304"/>
    <n v="327383.54928000004"/>
  </r>
  <r>
    <s v="Estimado"/>
    <x v="3"/>
    <s v="Argélia"/>
    <x v="7"/>
    <n v="1316388.348"/>
    <n v="493545.90411"/>
  </r>
  <r>
    <s v="Estimado"/>
    <x v="3"/>
    <s v="Egipto"/>
    <x v="1"/>
    <n v="1386621.9576000001"/>
    <n v="503595.88369199994"/>
  </r>
  <r>
    <s v="Estimado"/>
    <x v="3"/>
    <s v="Etiópia"/>
    <x v="9"/>
    <n v="1094900.0039999997"/>
    <n v="422905.12654499995"/>
  </r>
  <r>
    <s v="Estimado"/>
    <x v="3"/>
    <s v="Quénia"/>
    <x v="6"/>
    <n v="1555071.8590800003"/>
    <n v="589474.54195047007"/>
  </r>
  <r>
    <s v="Estimado"/>
    <x v="3"/>
    <s v="Libéria"/>
    <x v="6"/>
    <n v="2305385.1631440003"/>
    <n v="872719.00196544023"/>
  </r>
  <r>
    <s v="Estimado"/>
    <x v="3"/>
    <s v="Ilhas Mauricias"/>
    <x v="6"/>
    <n v="1241158.10616"/>
    <n v="504649.60444080009"/>
  </r>
  <r>
    <s v="Estimado"/>
    <x v="3"/>
    <s v="Nigéria"/>
    <x v="7"/>
    <n v="1957882.0104"/>
    <n v="359606.24977859994"/>
  </r>
  <r>
    <s v="Estimado"/>
    <x v="3"/>
    <s v="África do Sul"/>
    <x v="9"/>
    <n v="2582579.8252800005"/>
    <n v="1007700.2478972002"/>
  </r>
  <r>
    <s v="Estimado"/>
    <x v="3"/>
    <s v="Tunisia"/>
    <x v="5"/>
    <n v="2369020.3397279996"/>
    <n v="887657.41708991991"/>
  </r>
  <r>
    <s v="Estimado"/>
    <x v="3"/>
    <s v="Zimbabwe"/>
    <x v="5"/>
    <n v="785720.51827200013"/>
    <n v="285621.68527497002"/>
  </r>
  <r>
    <s v="Actual"/>
    <x v="0"/>
    <s v="Inglaterra"/>
    <x v="8"/>
    <n v="523059"/>
    <n v="298143.63"/>
  </r>
  <r>
    <s v="Actual"/>
    <x v="0"/>
    <s v="Escócia"/>
    <x v="6"/>
    <n v="592200"/>
    <n v="367164"/>
  </r>
  <r>
    <s v="Actual"/>
    <x v="0"/>
    <s v="País de Gales"/>
    <x v="3"/>
    <n v="1349435"/>
    <n v="782672.3"/>
  </r>
  <r>
    <s v="Actual"/>
    <x v="0"/>
    <s v="Irlanda"/>
    <x v="11"/>
    <n v="651578"/>
    <n v="377915.24"/>
  </r>
  <r>
    <s v="Actual"/>
    <x v="0"/>
    <s v="Alemanha"/>
    <x v="8"/>
    <n v="920821"/>
    <n v="570909.02"/>
  </r>
  <r>
    <s v="Actual"/>
    <x v="0"/>
    <s v="França"/>
    <x v="8"/>
    <n v="829458"/>
    <n v="514263.96"/>
  </r>
  <r>
    <s v="Actual"/>
    <x v="0"/>
    <s v="Itália"/>
    <x v="6"/>
    <n v="868390"/>
    <n v="564453.5"/>
  </r>
  <r>
    <s v="Actual"/>
    <x v="0"/>
    <s v="Espanha"/>
    <x v="11"/>
    <n v="873542"/>
    <n v="532860.62"/>
  </r>
  <r>
    <s v="Actual"/>
    <x v="0"/>
    <s v="Grécia"/>
    <x v="11"/>
    <n v="716733"/>
    <n v="415705.14"/>
  </r>
  <r>
    <s v="Actual"/>
    <x v="0"/>
    <s v="Portugal"/>
    <x v="11"/>
    <n v="879437"/>
    <n v="545250.93999999994"/>
  </r>
  <r>
    <s v="Estimado"/>
    <x v="0"/>
    <s v="Inglaterra"/>
    <x v="1"/>
    <n v="1199972"/>
    <n v="659984.6"/>
  </r>
  <r>
    <s v="Estimado"/>
    <x v="0"/>
    <s v="Escócia"/>
    <x v="3"/>
    <n v="950485"/>
    <n v="503757.05"/>
  </r>
  <r>
    <s v="Estimado"/>
    <x v="0"/>
    <s v="País de Gales"/>
    <x v="0"/>
    <n v="1002914"/>
    <n v="521515.28"/>
  </r>
  <r>
    <s v="Estimado"/>
    <x v="0"/>
    <s v="Irlanda"/>
    <x v="0"/>
    <n v="851202"/>
    <n v="502209.18"/>
  </r>
  <r>
    <s v="Estimado"/>
    <x v="0"/>
    <s v="Alemanha"/>
    <x v="0"/>
    <n v="1340658"/>
    <n v="858021.12"/>
  </r>
  <r>
    <s v="Estimado"/>
    <x v="0"/>
    <s v="França"/>
    <x v="6"/>
    <n v="1030441"/>
    <n v="566742.55000000005"/>
  </r>
  <r>
    <s v="Estimado"/>
    <x v="0"/>
    <s v="Itália"/>
    <x v="7"/>
    <n v="1201939"/>
    <n v="661066.44999999995"/>
  </r>
  <r>
    <s v="Estimado"/>
    <x v="0"/>
    <s v="Espanha"/>
    <x v="5"/>
    <n v="553507"/>
    <n v="348709.41"/>
  </r>
  <r>
    <s v="Estimado"/>
    <x v="0"/>
    <s v="Grécia"/>
    <x v="2"/>
    <n v="1060148"/>
    <n v="604284.36"/>
  </r>
  <r>
    <s v="Estimado"/>
    <x v="0"/>
    <s v="Portugal"/>
    <x v="9"/>
    <n v="915639"/>
    <n v="576852.56999999995"/>
  </r>
  <r>
    <s v="Actual"/>
    <x v="1"/>
    <s v="EUA"/>
    <x v="4"/>
    <n v="1131851"/>
    <n v="690429.11"/>
  </r>
  <r>
    <s v="Actual"/>
    <x v="1"/>
    <s v="Canadá"/>
    <x v="11"/>
    <n v="1400846"/>
    <n v="840507.6"/>
  </r>
  <r>
    <s v="Actual"/>
    <x v="1"/>
    <s v="México"/>
    <x v="8"/>
    <n v="1436795"/>
    <n v="833341.1"/>
  </r>
  <r>
    <s v="Actual"/>
    <x v="1"/>
    <s v="Colómbia"/>
    <x v="4"/>
    <n v="631386"/>
    <n v="334634.58"/>
  </r>
  <r>
    <s v="Actual"/>
    <x v="1"/>
    <s v="Brasil"/>
    <x v="8"/>
    <n v="913697"/>
    <n v="511670.32"/>
  </r>
  <r>
    <s v="Actual"/>
    <x v="1"/>
    <s v="Chile"/>
    <x v="1"/>
    <n v="1429067"/>
    <n v="757405.51"/>
  </r>
  <r>
    <s v="Actual"/>
    <x v="1"/>
    <s v="Venezuela"/>
    <x v="9"/>
    <n v="726214"/>
    <n v="377631.28"/>
  </r>
  <r>
    <s v="Actual"/>
    <x v="1"/>
    <s v="Cuba"/>
    <x v="8"/>
    <n v="774985"/>
    <n v="480490.7"/>
  </r>
  <r>
    <s v="Actual"/>
    <x v="1"/>
    <s v="Uruguai"/>
    <x v="3"/>
    <n v="912747"/>
    <n v="547648.19999999995"/>
  </r>
  <r>
    <s v="Actual"/>
    <x v="1"/>
    <s v="Argentina"/>
    <x v="1"/>
    <n v="718207"/>
    <n v="402195.92"/>
  </r>
  <r>
    <s v="Estimado"/>
    <x v="1"/>
    <s v="EUA"/>
    <x v="6"/>
    <n v="1489981"/>
    <n v="834389.36"/>
  </r>
  <r>
    <s v="Estimado"/>
    <x v="1"/>
    <s v="Canadá"/>
    <x v="2"/>
    <n v="1321597"/>
    <n v="713662.38"/>
  </r>
  <r>
    <s v="Estimado"/>
    <x v="1"/>
    <s v="México"/>
    <x v="9"/>
    <n v="1401161"/>
    <n v="868719.82"/>
  </r>
  <r>
    <s v="Estimado"/>
    <x v="1"/>
    <s v="Colómbia"/>
    <x v="2"/>
    <n v="850849"/>
    <n v="553051.85"/>
  </r>
  <r>
    <s v="Estimado"/>
    <x v="1"/>
    <s v="Brasil"/>
    <x v="3"/>
    <n v="1134132"/>
    <n v="669137.88"/>
  </r>
  <r>
    <s v="Estimado"/>
    <x v="1"/>
    <s v="Chile"/>
    <x v="5"/>
    <n v="1087424"/>
    <n v="587208.95999999996"/>
  </r>
  <r>
    <s v="Estimado"/>
    <x v="1"/>
    <s v="Venezuela"/>
    <x v="1"/>
    <n v="709158"/>
    <n v="425494.8"/>
  </r>
  <r>
    <s v="Estimado"/>
    <x v="1"/>
    <s v="Cuba"/>
    <x v="2"/>
    <n v="854378"/>
    <n v="478451.68"/>
  </r>
  <r>
    <s v="Estimado"/>
    <x v="1"/>
    <s v="Uruguai"/>
    <x v="5"/>
    <n v="1387764"/>
    <n v="902046.6"/>
  </r>
  <r>
    <s v="Estimado"/>
    <x v="1"/>
    <s v="Argentina"/>
    <x v="9"/>
    <n v="553559"/>
    <n v="332135.40000000002"/>
  </r>
  <r>
    <s v="Actual"/>
    <x v="2"/>
    <s v="Austrália"/>
    <x v="0"/>
    <n v="1351398"/>
    <n v="810838.8"/>
  </r>
  <r>
    <s v="Actual"/>
    <x v="2"/>
    <s v="Nova Zelândia"/>
    <x v="4"/>
    <n v="1298983"/>
    <n v="805369.46"/>
  </r>
  <r>
    <s v="Actual"/>
    <x v="2"/>
    <s v="China"/>
    <x v="9"/>
    <n v="1030843"/>
    <n v="628814.23"/>
  </r>
  <r>
    <s v="Actual"/>
    <x v="2"/>
    <s v="Hong Kong"/>
    <x v="8"/>
    <n v="1161302"/>
    <n v="638716.1"/>
  </r>
  <r>
    <s v="Actual"/>
    <x v="2"/>
    <s v="Índia"/>
    <x v="4"/>
    <n v="1360412"/>
    <n v="829851.32"/>
  </r>
  <r>
    <s v="Actual"/>
    <x v="2"/>
    <s v="Pakistão"/>
    <x v="11"/>
    <n v="736212"/>
    <n v="382830.24"/>
  </r>
  <r>
    <s v="Actual"/>
    <x v="2"/>
    <s v="Bangladesh"/>
    <x v="8"/>
    <n v="525506"/>
    <n v="325813.71999999997"/>
  </r>
  <r>
    <s v="Actual"/>
    <x v="2"/>
    <s v="Vietnam"/>
    <x v="8"/>
    <n v="856686"/>
    <n v="471177.3"/>
  </r>
  <r>
    <s v="Actual"/>
    <x v="2"/>
    <s v="Camboja"/>
    <x v="8"/>
    <n v="523057"/>
    <n v="298142.49"/>
  </r>
  <r>
    <s v="Actual"/>
    <x v="2"/>
    <s v="Laos"/>
    <x v="11"/>
    <n v="1361124"/>
    <n v="884730.6"/>
  </r>
  <r>
    <s v="Estimado"/>
    <x v="2"/>
    <s v="Austrália"/>
    <x v="11"/>
    <n v="891728"/>
    <n v="579623.19999999995"/>
  </r>
  <r>
    <s v="Estimado"/>
    <x v="2"/>
    <s v="Nova Zelândia"/>
    <x v="4"/>
    <n v="711181"/>
    <n v="419596.79"/>
  </r>
  <r>
    <s v="Estimado"/>
    <x v="2"/>
    <s v="China"/>
    <x v="1"/>
    <n v="1494430"/>
    <n v="836880.8"/>
  </r>
  <r>
    <s v="Estimado"/>
    <x v="2"/>
    <s v="Hong Kong"/>
    <x v="2"/>
    <n v="545036"/>
    <n v="332471.96000000002"/>
  </r>
  <r>
    <s v="Estimado"/>
    <x v="2"/>
    <s v="Índia"/>
    <x v="7"/>
    <n v="784613"/>
    <n v="509998.45"/>
  </r>
  <r>
    <s v="Estimado"/>
    <x v="2"/>
    <s v="Pakistão"/>
    <x v="3"/>
    <n v="782824"/>
    <n v="501007.35999999999"/>
  </r>
  <r>
    <s v="Estimado"/>
    <x v="2"/>
    <s v="Bangladesh"/>
    <x v="1"/>
    <n v="1314576"/>
    <n v="749308.32"/>
  </r>
  <r>
    <s v="Estimado"/>
    <x v="2"/>
    <s v="Vietnam"/>
    <x v="8"/>
    <n v="543711"/>
    <n v="288166.83"/>
  </r>
  <r>
    <s v="Estimado"/>
    <x v="2"/>
    <s v="Camboja"/>
    <x v="0"/>
    <n v="983215"/>
    <n v="511271.8"/>
  </r>
  <r>
    <s v="Estimado"/>
    <x v="2"/>
    <s v="Laos"/>
    <x v="8"/>
    <n v="1081208"/>
    <n v="681161.04"/>
  </r>
  <r>
    <s v="Actual"/>
    <x v="3"/>
    <s v="Argélia"/>
    <x v="7"/>
    <n v="909479"/>
    <n v="563876.98"/>
  </r>
  <r>
    <s v="Actual"/>
    <x v="3"/>
    <s v="Egipto"/>
    <x v="11"/>
    <n v="790759"/>
    <n v="442825.04"/>
  </r>
  <r>
    <s v="Actual"/>
    <x v="3"/>
    <s v="Etiópia"/>
    <x v="8"/>
    <n v="556049"/>
    <n v="289145.48"/>
  </r>
  <r>
    <s v="Actual"/>
    <x v="3"/>
    <s v="Quénia"/>
    <x v="0"/>
    <n v="1419826"/>
    <n v="880292.12"/>
  </r>
  <r>
    <s v="Actual"/>
    <x v="3"/>
    <s v="Libéria"/>
    <x v="2"/>
    <n v="1471831"/>
    <n v="912535.22"/>
  </r>
  <r>
    <s v="Actual"/>
    <x v="3"/>
    <s v="Ilhas Mauricias"/>
    <x v="8"/>
    <n v="1320100"/>
    <n v="831663"/>
  </r>
  <r>
    <s v="Actual"/>
    <x v="3"/>
    <s v="Nigéria"/>
    <x v="7"/>
    <n v="797188"/>
    <n v="510200.32000000001"/>
  </r>
  <r>
    <s v="Actual"/>
    <x v="3"/>
    <s v="África do Sul"/>
    <x v="4"/>
    <n v="591411"/>
    <n v="378503.04"/>
  </r>
  <r>
    <s v="Actual"/>
    <x v="3"/>
    <s v="Tunisia"/>
    <x v="5"/>
    <n v="1439604"/>
    <n v="863762.4"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  <r>
    <m/>
    <x v="4"/>
    <m/>
    <x v="1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Actual"/>
    <x v="0"/>
    <x v="0"/>
    <x v="0"/>
    <n v="1689120"/>
    <n v="652422.6"/>
  </r>
  <r>
    <s v="Actual"/>
    <x v="0"/>
    <x v="1"/>
    <x v="1"/>
    <n v="1286160"/>
    <n v="496779.3"/>
  </r>
  <r>
    <s v="Actual"/>
    <x v="0"/>
    <x v="2"/>
    <x v="2"/>
    <n v="1021200"/>
    <n v="382950"/>
  </r>
  <r>
    <s v="Actual"/>
    <x v="0"/>
    <x v="3"/>
    <x v="0"/>
    <n v="1782960"/>
    <n v="675296.1"/>
  </r>
  <r>
    <s v="Actual"/>
    <x v="0"/>
    <x v="4"/>
    <x v="3"/>
    <n v="1816080"/>
    <n v="687840.3"/>
  </r>
  <r>
    <s v="Actual"/>
    <x v="0"/>
    <x v="5"/>
    <x v="4"/>
    <n v="2020320"/>
    <n v="765196.2"/>
  </r>
  <r>
    <s v="Actual"/>
    <x v="0"/>
    <x v="6"/>
    <x v="5"/>
    <n v="949439.99999999977"/>
    <n v="370281.6"/>
  </r>
  <r>
    <s v="Actual"/>
    <x v="0"/>
    <x v="7"/>
    <x v="6"/>
    <n v="2870400"/>
    <n v="485928"/>
  </r>
  <r>
    <s v="Actual"/>
    <x v="0"/>
    <x v="8"/>
    <x v="2"/>
    <n v="2633040"/>
    <n v="987390"/>
  </r>
  <r>
    <s v="Actual"/>
    <x v="0"/>
    <x v="9"/>
    <x v="2"/>
    <n v="1489185.5999999999"/>
    <n v="547275.70799999998"/>
  </r>
  <r>
    <s v="Estimado"/>
    <x v="0"/>
    <x v="0"/>
    <x v="1"/>
    <n v="1604664"/>
    <n v="613783.98"/>
  </r>
  <r>
    <s v="Estimado"/>
    <x v="0"/>
    <x v="1"/>
    <x v="5"/>
    <n v="1221852"/>
    <n v="471940.33500000002"/>
  </r>
  <r>
    <s v="Estimado"/>
    <x v="0"/>
    <x v="2"/>
    <x v="1"/>
    <n v="970140"/>
    <n v="363802.5"/>
  </r>
  <r>
    <s v="Estimado"/>
    <x v="0"/>
    <x v="3"/>
    <x v="5"/>
    <n v="1693812"/>
    <n v="616124.11499999999"/>
  </r>
  <r>
    <s v="Estimado"/>
    <x v="0"/>
    <x v="4"/>
    <x v="3"/>
    <n v="1997688.0000000002"/>
    <n v="756624.33000000007"/>
  </r>
  <r>
    <s v="Estimado"/>
    <x v="0"/>
    <x v="5"/>
    <x v="1"/>
    <n v="1919304"/>
    <n v="719739"/>
  </r>
  <r>
    <s v="Estimado"/>
    <x v="0"/>
    <x v="6"/>
    <x v="7"/>
    <n v="916320"/>
    <n v="347056.2"/>
  </r>
  <r>
    <s v="Estimado"/>
    <x v="0"/>
    <x v="7"/>
    <x v="2"/>
    <n v="3157440"/>
    <n v="1148518.8"/>
  </r>
  <r>
    <s v="Estimado"/>
    <x v="0"/>
    <x v="8"/>
    <x v="8"/>
    <n v="2501388"/>
    <n v="947400.70499999996"/>
  </r>
  <r>
    <s v="Estimado"/>
    <x v="0"/>
    <x v="9"/>
    <x v="6"/>
    <n v="1638104.16"/>
    <n v="608146.16940000001"/>
  </r>
  <r>
    <s v="Actual"/>
    <x v="1"/>
    <x v="10"/>
    <x v="6"/>
    <n v="1706011.2"/>
    <n v="633356.65800000005"/>
  </r>
  <r>
    <s v="Actual"/>
    <x v="1"/>
    <x v="11"/>
    <x v="2"/>
    <n v="1414776"/>
    <n v="519930.18"/>
  </r>
  <r>
    <s v="Actual"/>
    <x v="1"/>
    <x v="12"/>
    <x v="9"/>
    <n v="1123320"/>
    <n v="412820.10000000003"/>
  </r>
  <r>
    <s v="Actual"/>
    <x v="1"/>
    <x v="13"/>
    <x v="1"/>
    <n v="1800789.5999999999"/>
    <n v="1625037.2169999999"/>
  </r>
  <r>
    <s v="Actual"/>
    <x v="1"/>
    <x v="14"/>
    <x v="8"/>
    <n v="2379064.7999999998"/>
    <n v="892149.3"/>
  </r>
  <r>
    <s v="Actual"/>
    <x v="1"/>
    <x v="15"/>
    <x v="6"/>
    <n v="2040523.2"/>
    <n v="788152.08600000013"/>
  </r>
  <r>
    <s v="Actual"/>
    <x v="1"/>
    <x v="16"/>
    <x v="5"/>
    <n v="958934.39999999979"/>
    <n v="366792.408"/>
  </r>
  <r>
    <s v="Actual"/>
    <x v="1"/>
    <x v="17"/>
    <x v="0"/>
    <n v="2899104"/>
    <n v="1065420.72"/>
  </r>
  <r>
    <s v="Actual"/>
    <x v="1"/>
    <x v="18"/>
    <x v="5"/>
    <n v="2659370.4"/>
    <n v="977318.62199999997"/>
  </r>
  <r>
    <s v="Actual"/>
    <x v="1"/>
    <x v="19"/>
    <x v="8"/>
    <n v="1504077.456"/>
    <n v="564029.04600000009"/>
  </r>
  <r>
    <s v="Estimado"/>
    <x v="1"/>
    <x v="10"/>
    <x v="4"/>
    <n v="1620710.64"/>
    <n v="595611.16019999993"/>
  </r>
  <r>
    <s v="Estimado"/>
    <x v="1"/>
    <x v="11"/>
    <x v="10"/>
    <n v="1344037.2"/>
    <n v="509054.0895"/>
  </r>
  <r>
    <s v="Estimado"/>
    <x v="1"/>
    <x v="12"/>
    <x v="11"/>
    <n v="1164167.9999999998"/>
    <n v="449659.88999999996"/>
  </r>
  <r>
    <s v="Estimado"/>
    <x v="1"/>
    <x v="13"/>
    <x v="1"/>
    <n v="1711586.4"/>
    <n v="667518.696"/>
  </r>
  <r>
    <s v="Estimado"/>
    <x v="1"/>
    <x v="14"/>
    <x v="4"/>
    <n v="2616971.2800000003"/>
    <n v="1020618.7992000002"/>
  </r>
  <r>
    <s v="Estimado"/>
    <x v="1"/>
    <x v="15"/>
    <x v="6"/>
    <n v="2224504.7999999998"/>
    <n v="859214.97900000005"/>
  </r>
  <r>
    <s v="Estimado"/>
    <x v="1"/>
    <x v="16"/>
    <x v="6"/>
    <n v="833851.2"/>
    <n v="322075.02600000001"/>
  </r>
  <r>
    <s v="Estimado"/>
    <x v="1"/>
    <x v="17"/>
    <x v="9"/>
    <n v="3189014.4"/>
    <n v="1219798.0080000001"/>
  </r>
  <r>
    <s v="Estimado"/>
    <x v="1"/>
    <x v="18"/>
    <x v="2"/>
    <n v="2737423.1999999997"/>
    <n v="1016268.363"/>
  </r>
  <r>
    <s v="Estimado"/>
    <x v="1"/>
    <x v="19"/>
    <x v="0"/>
    <n v="1529779.68"/>
    <n v="585140.72759999998"/>
  </r>
  <r>
    <s v="Actual"/>
    <x v="2"/>
    <x v="20"/>
    <x v="9"/>
    <n v="1723071.3119999999"/>
    <n v="633228.70715999999"/>
  </r>
  <r>
    <s v="Actual"/>
    <x v="2"/>
    <x v="21"/>
    <x v="1"/>
    <n v="1556253.5999999999"/>
    <n v="589431.05099999998"/>
  </r>
  <r>
    <s v="Actual"/>
    <x v="2"/>
    <x v="22"/>
    <x v="6"/>
    <n v="1280584.8"/>
    <n v="480219.3"/>
  </r>
  <r>
    <s v="Actual"/>
    <x v="2"/>
    <x v="23"/>
    <x v="8"/>
    <n v="1818797.496"/>
    <n v="661587.58917000005"/>
  </r>
  <r>
    <s v="Actual"/>
    <x v="2"/>
    <x v="24"/>
    <x v="2"/>
    <n v="2640761.9280000003"/>
    <n v="1019994.2946900002"/>
  </r>
  <r>
    <s v="Actual"/>
    <x v="2"/>
    <x v="25"/>
    <x v="2"/>
    <n v="2060928.432"/>
    <n v="780576.64361999999"/>
  </r>
  <r>
    <s v="Actual"/>
    <x v="2"/>
    <x v="26"/>
    <x v="11"/>
    <n v="872630.30399999989"/>
    <n v="340325.81855999999"/>
  </r>
  <r>
    <s v="Actual"/>
    <x v="2"/>
    <x v="27"/>
    <x v="1"/>
    <n v="2928095.04"/>
    <n v="1076074.9272"/>
  </r>
  <r>
    <s v="Actual"/>
    <x v="2"/>
    <x v="28"/>
    <x v="0"/>
    <n v="2685964.1039999998"/>
    <n v="1037453.63517"/>
  </r>
  <r>
    <s v="Actual"/>
    <x v="2"/>
    <x v="29"/>
    <x v="0"/>
    <n v="909398.74800000002"/>
    <n v="354665.51172000007"/>
  </r>
  <r>
    <s v="Estimado"/>
    <x v="2"/>
    <x v="20"/>
    <x v="3"/>
    <n v="1329685.2"/>
    <n v="483672.9915"/>
  </r>
  <r>
    <s v="Estimado"/>
    <x v="2"/>
    <x v="21"/>
    <x v="1"/>
    <n v="1400628.24"/>
    <n v="509478.52229999995"/>
  </r>
  <r>
    <s v="Estimado"/>
    <x v="2"/>
    <x v="22"/>
    <x v="11"/>
    <n v="1152526.3199999998"/>
    <n v="427875.39629999996"/>
  </r>
  <r>
    <s v="Estimado"/>
    <x v="2"/>
    <x v="23"/>
    <x v="11"/>
    <n v="1636917.7464000003"/>
    <n v="595428.83025300002"/>
  </r>
  <r>
    <s v="Estimado"/>
    <x v="2"/>
    <x v="24"/>
    <x v="7"/>
    <n v="2376685.7352000005"/>
    <n v="864519.43617900019"/>
  </r>
  <r>
    <s v="Estimado"/>
    <x v="2"/>
    <x v="25"/>
    <x v="0"/>
    <n v="1320380.9640000002"/>
    <n v="485240.00427000009"/>
  </r>
  <r>
    <s v="Estimado"/>
    <x v="2"/>
    <x v="26"/>
    <x v="4"/>
    <n v="2060928.432"/>
    <n v="374831.35856999998"/>
  </r>
  <r>
    <s v="Estimado"/>
    <x v="2"/>
    <x v="27"/>
    <x v="10"/>
    <n v="2635285.5360000003"/>
    <n v="968467.43448000005"/>
  </r>
  <r>
    <s v="Estimado"/>
    <x v="2"/>
    <x v="28"/>
    <x v="7"/>
    <n v="2417367.6935999999"/>
    <n v="897447.75624899997"/>
  </r>
  <r>
    <s v="Estimado"/>
    <x v="2"/>
    <x v="29"/>
    <x v="2"/>
    <n v="818458.87320000015"/>
    <n v="319198.96054800006"/>
  </r>
  <r>
    <s v="Actual"/>
    <x v="3"/>
    <x v="30"/>
    <x v="5"/>
    <n v="1636917.7463999998"/>
    <n v="614102.61559679988"/>
  </r>
  <r>
    <s v="Actual"/>
    <x v="3"/>
    <x v="31"/>
    <x v="7"/>
    <n v="1462878.3839999998"/>
    <n v="549104.62958999991"/>
  </r>
  <r>
    <s v="Actual"/>
    <x v="3"/>
    <x v="32"/>
    <x v="2"/>
    <n v="1229361.4080000001"/>
    <n v="475417.10699999996"/>
  </r>
  <r>
    <s v="Actual"/>
    <x v="3"/>
    <x v="33"/>
    <x v="10"/>
    <n v="1800609.52104"/>
    <n v="680957.78250240011"/>
  </r>
  <r>
    <s v="Actual"/>
    <x v="3"/>
    <x v="34"/>
    <x v="7"/>
    <n v="2587946.6894400003"/>
    <n v="970579.03711230028"/>
  </r>
  <r>
    <s v="Actual"/>
    <x v="3"/>
    <x v="35"/>
    <x v="0"/>
    <n v="1957882.0104"/>
    <n v="756772.92023040005"/>
  </r>
  <r>
    <s v="Actual"/>
    <x v="3"/>
    <x v="36"/>
    <x v="7"/>
    <n v="820272.48575999984"/>
    <n v="323767.65854160005"/>
  </r>
  <r>
    <s v="Actual"/>
    <x v="3"/>
    <x v="37"/>
    <x v="4"/>
    <n v="2781690.2879999997"/>
    <n v="1065314.177928"/>
  </r>
  <r>
    <s v="Actual"/>
    <x v="3"/>
    <x v="38"/>
    <x v="0"/>
    <n v="2632244.8219199996"/>
    <n v="996559.8316866"/>
  </r>
  <r>
    <s v="Actual"/>
    <x v="3"/>
    <x v="39"/>
    <x v="1"/>
    <n v="891210.77304"/>
    <n v="327383.54928000004"/>
  </r>
  <r>
    <s v="Estimado"/>
    <x v="3"/>
    <x v="30"/>
    <x v="7"/>
    <n v="1316388.348"/>
    <n v="493545.90411"/>
  </r>
  <r>
    <s v="Estimado"/>
    <x v="3"/>
    <x v="31"/>
    <x v="1"/>
    <n v="1386621.9576000001"/>
    <n v="503595.88369199994"/>
  </r>
  <r>
    <s v="Estimado"/>
    <x v="3"/>
    <x v="32"/>
    <x v="9"/>
    <n v="1094900.0039999997"/>
    <n v="422905.12654499995"/>
  </r>
  <r>
    <s v="Estimado"/>
    <x v="3"/>
    <x v="33"/>
    <x v="6"/>
    <n v="1555071.8590800003"/>
    <n v="589474.54195047007"/>
  </r>
  <r>
    <s v="Estimado"/>
    <x v="3"/>
    <x v="34"/>
    <x v="6"/>
    <n v="2305385.1631440003"/>
    <n v="872719.00196544023"/>
  </r>
  <r>
    <s v="Estimado"/>
    <x v="3"/>
    <x v="35"/>
    <x v="6"/>
    <n v="1241158.10616"/>
    <n v="504649.60444080009"/>
  </r>
  <r>
    <s v="Estimado"/>
    <x v="3"/>
    <x v="36"/>
    <x v="7"/>
    <n v="1957882.0104"/>
    <n v="359606.24977859994"/>
  </r>
  <r>
    <s v="Estimado"/>
    <x v="3"/>
    <x v="37"/>
    <x v="9"/>
    <n v="2582579.8252800005"/>
    <n v="1007700.2478972002"/>
  </r>
  <r>
    <s v="Estimado"/>
    <x v="3"/>
    <x v="38"/>
    <x v="5"/>
    <n v="2369020.3397279996"/>
    <n v="887657.41708991991"/>
  </r>
  <r>
    <s v="Estimado"/>
    <x v="3"/>
    <x v="39"/>
    <x v="5"/>
    <n v="785720.51827200013"/>
    <n v="285621.68527497002"/>
  </r>
  <r>
    <s v="Actual"/>
    <x v="0"/>
    <x v="0"/>
    <x v="8"/>
    <n v="523059"/>
    <n v="298143.63"/>
  </r>
  <r>
    <s v="Actual"/>
    <x v="0"/>
    <x v="1"/>
    <x v="6"/>
    <n v="592200"/>
    <n v="367164"/>
  </r>
  <r>
    <s v="Actual"/>
    <x v="0"/>
    <x v="2"/>
    <x v="3"/>
    <n v="1349435"/>
    <n v="782672.3"/>
  </r>
  <r>
    <s v="Actual"/>
    <x v="0"/>
    <x v="3"/>
    <x v="11"/>
    <n v="651578"/>
    <n v="377915.24"/>
  </r>
  <r>
    <s v="Actual"/>
    <x v="0"/>
    <x v="4"/>
    <x v="8"/>
    <n v="920821"/>
    <n v="570909.02"/>
  </r>
  <r>
    <s v="Actual"/>
    <x v="0"/>
    <x v="5"/>
    <x v="8"/>
    <n v="829458"/>
    <n v="514263.96"/>
  </r>
  <r>
    <s v="Actual"/>
    <x v="0"/>
    <x v="6"/>
    <x v="6"/>
    <n v="868390"/>
    <n v="564453.5"/>
  </r>
  <r>
    <s v="Actual"/>
    <x v="0"/>
    <x v="7"/>
    <x v="11"/>
    <n v="873542"/>
    <n v="532860.62"/>
  </r>
  <r>
    <s v="Actual"/>
    <x v="0"/>
    <x v="8"/>
    <x v="11"/>
    <n v="716733"/>
    <n v="415705.14"/>
  </r>
  <r>
    <s v="Actual"/>
    <x v="0"/>
    <x v="9"/>
    <x v="11"/>
    <n v="879437"/>
    <n v="545250.93999999994"/>
  </r>
  <r>
    <s v="Estimado"/>
    <x v="0"/>
    <x v="0"/>
    <x v="1"/>
    <n v="1199972"/>
    <n v="659984.6"/>
  </r>
  <r>
    <s v="Estimado"/>
    <x v="0"/>
    <x v="1"/>
    <x v="3"/>
    <n v="950485"/>
    <n v="503757.05"/>
  </r>
  <r>
    <s v="Estimado"/>
    <x v="0"/>
    <x v="2"/>
    <x v="0"/>
    <n v="1002914"/>
    <n v="521515.28"/>
  </r>
  <r>
    <s v="Estimado"/>
    <x v="0"/>
    <x v="3"/>
    <x v="0"/>
    <n v="851202"/>
    <n v="502209.18"/>
  </r>
  <r>
    <s v="Estimado"/>
    <x v="0"/>
    <x v="4"/>
    <x v="0"/>
    <n v="1340658"/>
    <n v="858021.12"/>
  </r>
  <r>
    <s v="Estimado"/>
    <x v="0"/>
    <x v="5"/>
    <x v="6"/>
    <n v="1030441"/>
    <n v="566742.55000000005"/>
  </r>
  <r>
    <s v="Estimado"/>
    <x v="0"/>
    <x v="6"/>
    <x v="7"/>
    <n v="1201939"/>
    <n v="661066.44999999995"/>
  </r>
  <r>
    <s v="Estimado"/>
    <x v="0"/>
    <x v="7"/>
    <x v="5"/>
    <n v="553507"/>
    <n v="348709.41"/>
  </r>
  <r>
    <s v="Estimado"/>
    <x v="0"/>
    <x v="8"/>
    <x v="2"/>
    <n v="1060148"/>
    <n v="604284.36"/>
  </r>
  <r>
    <s v="Estimado"/>
    <x v="0"/>
    <x v="9"/>
    <x v="9"/>
    <n v="915639"/>
    <n v="576852.56999999995"/>
  </r>
  <r>
    <s v="Actual"/>
    <x v="1"/>
    <x v="10"/>
    <x v="4"/>
    <n v="1131851"/>
    <n v="690429.11"/>
  </r>
  <r>
    <s v="Actual"/>
    <x v="1"/>
    <x v="11"/>
    <x v="11"/>
    <n v="1400846"/>
    <n v="840507.6"/>
  </r>
  <r>
    <s v="Actual"/>
    <x v="1"/>
    <x v="12"/>
    <x v="8"/>
    <n v="1436795"/>
    <n v="833341.1"/>
  </r>
  <r>
    <s v="Actual"/>
    <x v="1"/>
    <x v="13"/>
    <x v="4"/>
    <n v="631386"/>
    <n v="334634.58"/>
  </r>
  <r>
    <s v="Actual"/>
    <x v="1"/>
    <x v="14"/>
    <x v="8"/>
    <n v="913697"/>
    <n v="511670.32"/>
  </r>
  <r>
    <s v="Actual"/>
    <x v="1"/>
    <x v="15"/>
    <x v="1"/>
    <n v="1429067"/>
    <n v="757405.51"/>
  </r>
  <r>
    <s v="Actual"/>
    <x v="1"/>
    <x v="16"/>
    <x v="9"/>
    <n v="726214"/>
    <n v="377631.28"/>
  </r>
  <r>
    <s v="Actual"/>
    <x v="1"/>
    <x v="17"/>
    <x v="8"/>
    <n v="774985"/>
    <n v="480490.7"/>
  </r>
  <r>
    <s v="Actual"/>
    <x v="1"/>
    <x v="18"/>
    <x v="3"/>
    <n v="912747"/>
    <n v="547648.19999999995"/>
  </r>
  <r>
    <s v="Actual"/>
    <x v="1"/>
    <x v="19"/>
    <x v="1"/>
    <n v="718207"/>
    <n v="402195.92"/>
  </r>
  <r>
    <s v="Estimado"/>
    <x v="1"/>
    <x v="10"/>
    <x v="6"/>
    <n v="1489981"/>
    <n v="834389.36"/>
  </r>
  <r>
    <s v="Estimado"/>
    <x v="1"/>
    <x v="11"/>
    <x v="2"/>
    <n v="1321597"/>
    <n v="713662.38"/>
  </r>
  <r>
    <s v="Estimado"/>
    <x v="1"/>
    <x v="12"/>
    <x v="9"/>
    <n v="1401161"/>
    <n v="868719.82"/>
  </r>
  <r>
    <s v="Estimado"/>
    <x v="1"/>
    <x v="13"/>
    <x v="2"/>
    <n v="850849"/>
    <n v="553051.85"/>
  </r>
  <r>
    <s v="Estimado"/>
    <x v="1"/>
    <x v="14"/>
    <x v="3"/>
    <n v="1134132"/>
    <n v="669137.88"/>
  </r>
  <r>
    <s v="Estimado"/>
    <x v="1"/>
    <x v="15"/>
    <x v="5"/>
    <n v="1087424"/>
    <n v="587208.95999999996"/>
  </r>
  <r>
    <s v="Estimado"/>
    <x v="1"/>
    <x v="16"/>
    <x v="1"/>
    <n v="709158"/>
    <n v="425494.8"/>
  </r>
  <r>
    <s v="Estimado"/>
    <x v="1"/>
    <x v="17"/>
    <x v="2"/>
    <n v="854378"/>
    <n v="478451.68"/>
  </r>
  <r>
    <s v="Estimado"/>
    <x v="1"/>
    <x v="18"/>
    <x v="5"/>
    <n v="1387764"/>
    <n v="902046.6"/>
  </r>
  <r>
    <s v="Estimado"/>
    <x v="1"/>
    <x v="19"/>
    <x v="9"/>
    <n v="553559"/>
    <n v="332135.40000000002"/>
  </r>
  <r>
    <s v="Actual"/>
    <x v="2"/>
    <x v="20"/>
    <x v="0"/>
    <n v="1351398"/>
    <n v="810838.8"/>
  </r>
  <r>
    <s v="Actual"/>
    <x v="2"/>
    <x v="21"/>
    <x v="4"/>
    <n v="1298983"/>
    <n v="805369.46"/>
  </r>
  <r>
    <s v="Actual"/>
    <x v="2"/>
    <x v="22"/>
    <x v="9"/>
    <n v="1030843"/>
    <n v="628814.23"/>
  </r>
  <r>
    <s v="Actual"/>
    <x v="2"/>
    <x v="23"/>
    <x v="8"/>
    <n v="1161302"/>
    <n v="638716.1"/>
  </r>
  <r>
    <s v="Actual"/>
    <x v="2"/>
    <x v="24"/>
    <x v="4"/>
    <n v="1360412"/>
    <n v="829851.32"/>
  </r>
  <r>
    <s v="Actual"/>
    <x v="2"/>
    <x v="25"/>
    <x v="11"/>
    <n v="736212"/>
    <n v="382830.24"/>
  </r>
  <r>
    <s v="Actual"/>
    <x v="2"/>
    <x v="26"/>
    <x v="8"/>
    <n v="525506"/>
    <n v="325813.71999999997"/>
  </r>
  <r>
    <s v="Actual"/>
    <x v="2"/>
    <x v="27"/>
    <x v="8"/>
    <n v="856686"/>
    <n v="471177.3"/>
  </r>
  <r>
    <s v="Actual"/>
    <x v="2"/>
    <x v="28"/>
    <x v="8"/>
    <n v="523057"/>
    <n v="298142.49"/>
  </r>
  <r>
    <s v="Actual"/>
    <x v="2"/>
    <x v="29"/>
    <x v="11"/>
    <n v="1361124"/>
    <n v="884730.6"/>
  </r>
  <r>
    <s v="Estimado"/>
    <x v="2"/>
    <x v="20"/>
    <x v="11"/>
    <n v="891728"/>
    <n v="579623.19999999995"/>
  </r>
  <r>
    <s v="Estimado"/>
    <x v="2"/>
    <x v="21"/>
    <x v="4"/>
    <n v="711181"/>
    <n v="419596.79"/>
  </r>
  <r>
    <s v="Estimado"/>
    <x v="2"/>
    <x v="22"/>
    <x v="1"/>
    <n v="1494430"/>
    <n v="836880.8"/>
  </r>
  <r>
    <s v="Estimado"/>
    <x v="2"/>
    <x v="23"/>
    <x v="2"/>
    <n v="545036"/>
    <n v="332471.96000000002"/>
  </r>
  <r>
    <s v="Estimado"/>
    <x v="2"/>
    <x v="24"/>
    <x v="7"/>
    <n v="784613"/>
    <n v="509998.45"/>
  </r>
  <r>
    <s v="Estimado"/>
    <x v="2"/>
    <x v="25"/>
    <x v="3"/>
    <n v="782824"/>
    <n v="501007.35999999999"/>
  </r>
  <r>
    <s v="Estimado"/>
    <x v="2"/>
    <x v="26"/>
    <x v="1"/>
    <n v="1314576"/>
    <n v="749308.32"/>
  </r>
  <r>
    <s v="Estimado"/>
    <x v="2"/>
    <x v="27"/>
    <x v="8"/>
    <n v="543711"/>
    <n v="288166.83"/>
  </r>
  <r>
    <s v="Estimado"/>
    <x v="2"/>
    <x v="28"/>
    <x v="0"/>
    <n v="983215"/>
    <n v="511271.8"/>
  </r>
  <r>
    <s v="Estimado"/>
    <x v="2"/>
    <x v="29"/>
    <x v="8"/>
    <n v="1081208"/>
    <n v="681161.04"/>
  </r>
  <r>
    <s v="Actual"/>
    <x v="3"/>
    <x v="30"/>
    <x v="7"/>
    <n v="909479"/>
    <n v="563876.98"/>
  </r>
  <r>
    <s v="Actual"/>
    <x v="3"/>
    <x v="31"/>
    <x v="11"/>
    <n v="790759"/>
    <n v="442825.04"/>
  </r>
  <r>
    <s v="Actual"/>
    <x v="3"/>
    <x v="32"/>
    <x v="8"/>
    <n v="556049"/>
    <n v="289145.48"/>
  </r>
  <r>
    <s v="Actual"/>
    <x v="3"/>
    <x v="33"/>
    <x v="0"/>
    <n v="1419826"/>
    <n v="880292.12"/>
  </r>
  <r>
    <s v="Actual"/>
    <x v="3"/>
    <x v="34"/>
    <x v="2"/>
    <n v="1471831"/>
    <n v="912535.22"/>
  </r>
  <r>
    <s v="Actual"/>
    <x v="3"/>
    <x v="35"/>
    <x v="8"/>
    <n v="1320100"/>
    <n v="831663"/>
  </r>
  <r>
    <s v="Actual"/>
    <x v="3"/>
    <x v="36"/>
    <x v="7"/>
    <n v="797188"/>
    <n v="510200.32000000001"/>
  </r>
  <r>
    <s v="Actual"/>
    <x v="3"/>
    <x v="37"/>
    <x v="4"/>
    <n v="591411"/>
    <n v="378503.04"/>
  </r>
  <r>
    <s v="Actual"/>
    <x v="3"/>
    <x v="38"/>
    <x v="5"/>
    <n v="1439604"/>
    <n v="86376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31185-76F1-4638-8746-BEBF8F832362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M7:N58" firstHeaderRow="1" firstDataRow="1" firstDataCol="1"/>
  <pivotFields count="6"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axis="axisRow" showAll="0">
      <items count="14">
        <item x="6"/>
        <item x="8"/>
        <item x="9"/>
        <item x="5"/>
        <item x="0"/>
        <item x="7"/>
        <item x="11"/>
        <item x="2"/>
        <item x="10"/>
        <item x="3"/>
        <item x="4"/>
        <item x="1"/>
        <item x="12"/>
        <item t="default"/>
      </items>
    </pivotField>
    <pivotField dataField="1" showAll="0"/>
    <pivotField showAll="0"/>
  </pivotFields>
  <rowFields count="2">
    <field x="1"/>
    <field x="3"/>
  </rowFields>
  <rowItems count="5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4"/>
    </i>
    <i r="1">
      <x v="12"/>
    </i>
    <i t="grand">
      <x/>
    </i>
  </rowItems>
  <colItems count="1">
    <i/>
  </colItems>
  <dataFields count="1">
    <dataField name="Soma de Venda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2EEC8-AB4B-43EF-BC5E-05AAE3D76258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O7:P56" firstHeaderRow="1" firstDataRow="1" firstDataCol="1"/>
  <pivotFields count="6">
    <pivotField showAll="0"/>
    <pivotField axis="axisRow" showAll="0">
      <items count="5">
        <item x="3"/>
        <item x="1"/>
        <item x="2"/>
        <item x="0"/>
        <item t="default"/>
      </items>
    </pivotField>
    <pivotField showAll="0">
      <items count="41">
        <item x="37"/>
        <item x="4"/>
        <item x="30"/>
        <item x="19"/>
        <item x="20"/>
        <item x="26"/>
        <item x="14"/>
        <item x="28"/>
        <item x="11"/>
        <item x="15"/>
        <item x="22"/>
        <item x="13"/>
        <item x="17"/>
        <item x="31"/>
        <item x="1"/>
        <item x="7"/>
        <item x="32"/>
        <item x="10"/>
        <item x="5"/>
        <item x="8"/>
        <item x="23"/>
        <item x="35"/>
        <item x="24"/>
        <item x="0"/>
        <item x="3"/>
        <item x="6"/>
        <item x="29"/>
        <item x="34"/>
        <item x="12"/>
        <item x="36"/>
        <item x="21"/>
        <item x="2"/>
        <item x="25"/>
        <item x="9"/>
        <item x="33"/>
        <item x="38"/>
        <item x="18"/>
        <item x="16"/>
        <item x="27"/>
        <item x="39"/>
        <item t="default"/>
      </items>
    </pivotField>
    <pivotField axis="axisRow" showAll="0">
      <items count="13">
        <item x="6"/>
        <item x="8"/>
        <item x="9"/>
        <item x="5"/>
        <item x="0"/>
        <item x="7"/>
        <item x="11"/>
        <item x="2"/>
        <item x="10"/>
        <item x="3"/>
        <item x="4"/>
        <item x="1"/>
        <item t="default"/>
      </items>
    </pivotField>
    <pivotField numFmtId="169" showAll="0"/>
    <pivotField dataField="1" numFmtId="169" showAll="0"/>
  </pivotFields>
  <rowFields count="2">
    <field x="1"/>
    <field x="3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oma de Compras" fld="5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EE171-1002-4146-A045-9FD80C01F755}" name="Tabela2" displayName="Tabela2" ref="A2:H21" totalsRowShown="0" headerRowDxfId="15" dataDxfId="13" headerRowBorderDxfId="14" tableBorderDxfId="12" totalsRowBorderDxfId="11">
  <autoFilter ref="A2:H21" xr:uid="{2B1EE171-1002-4146-A045-9FD80C01F755}"/>
  <tableColumns count="8">
    <tableColumn id="1" xr3:uid="{D005CA79-BAED-498A-8AB7-D2E742D41C9C}" name="Marca Veículo" dataDxfId="10"/>
    <tableColumn id="2" xr3:uid="{7A7B7EE4-4A79-47F1-B0BC-B709CE46534D}" name="Comissão" dataDxfId="9" dataCellStyle="Percentagem"/>
    <tableColumn id="3" xr3:uid="{AA8A7698-7BEA-4A01-90AE-CB1A7318AD66}" name="Preço Compra" dataDxfId="8" dataCellStyle="Moeda"/>
    <tableColumn id="4" xr3:uid="{2F1C3D93-6DDC-47F0-A05B-5D0FE9A014E4}" name="Lucro" dataDxfId="7">
      <calculatedColumnFormula>Tabela2[[#This Row],[Preço Compra]]*4/100</calculatedColumnFormula>
    </tableColumn>
    <tableColumn id="5" xr3:uid="{1A37D4FA-5FF7-4E6D-B556-CAF0F66FFFC3}" name="Preço Venda" dataDxfId="6">
      <calculatedColumnFormula>Tabela2[[#This Row],[Preço Compra]]+Tabela2[[#This Row],[Lucro]]</calculatedColumnFormula>
    </tableColumn>
    <tableColumn id="6" xr3:uid="{E432FDD1-4666-40CE-AEA8-20292E8925BF}" name="Financiamento - Meses" dataDxfId="5"/>
    <tableColumn id="7" xr3:uid="{3E48323E-67FB-4225-9000-93753EF23AD4}" name="Cada Prestação" dataDxfId="4">
      <calculatedColumnFormula>Tabela2[[#This Row],[Preço Venda]]/Tabela2[[#This Row],[Financiamento - Meses]]</calculatedColumnFormula>
    </tableColumn>
    <tableColumn id="8" xr3:uid="{F9FEFCBB-BF51-40DA-B4CE-69313588006D}" name="Caro/Barato" dataDxfId="3">
      <calculatedColumnFormula>IF(Tabela2[[#This Row],[Preço Venda]]&gt;=25000,"Caro","Barato")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624E-EBE0-4B67-B167-AEF866F020A5}">
  <dimension ref="B1:M25"/>
  <sheetViews>
    <sheetView tabSelected="1" workbookViewId="0">
      <selection activeCell="M13" sqref="M13"/>
    </sheetView>
  </sheetViews>
  <sheetFormatPr defaultRowHeight="15" x14ac:dyDescent="0.25"/>
  <cols>
    <col min="1" max="1" width="4.28515625" customWidth="1"/>
    <col min="2" max="2" width="16" bestFit="1" customWidth="1"/>
    <col min="3" max="3" width="23.85546875" bestFit="1" customWidth="1"/>
    <col min="5" max="5" width="17.7109375" style="26" bestFit="1" customWidth="1"/>
    <col min="6" max="6" width="13.42578125" customWidth="1"/>
    <col min="7" max="7" width="13" customWidth="1"/>
    <col min="8" max="8" width="14" customWidth="1"/>
    <col min="9" max="9" width="15.42578125" customWidth="1"/>
    <col min="13" max="13" width="17" customWidth="1"/>
    <col min="251" max="251" width="4.28515625" customWidth="1"/>
    <col min="252" max="252" width="16" bestFit="1" customWidth="1"/>
    <col min="253" max="253" width="23.85546875" bestFit="1" customWidth="1"/>
    <col min="255" max="255" width="17.7109375" bestFit="1" customWidth="1"/>
    <col min="256" max="256" width="13" customWidth="1"/>
    <col min="257" max="257" width="12.42578125" bestFit="1" customWidth="1"/>
    <col min="258" max="258" width="12.42578125" customWidth="1"/>
    <col min="259" max="259" width="13.7109375" bestFit="1" customWidth="1"/>
    <col min="261" max="261" width="14.28515625" customWidth="1"/>
    <col min="262" max="262" width="13.5703125" bestFit="1" customWidth="1"/>
    <col min="263" max="263" width="13.7109375" bestFit="1" customWidth="1"/>
    <col min="264" max="264" width="14.28515625" customWidth="1"/>
    <col min="265" max="265" width="13.7109375" bestFit="1" customWidth="1"/>
    <col min="507" max="507" width="4.28515625" customWidth="1"/>
    <col min="508" max="508" width="16" bestFit="1" customWidth="1"/>
    <col min="509" max="509" width="23.85546875" bestFit="1" customWidth="1"/>
    <col min="511" max="511" width="17.7109375" bestFit="1" customWidth="1"/>
    <col min="512" max="512" width="13" customWidth="1"/>
    <col min="513" max="513" width="12.42578125" bestFit="1" customWidth="1"/>
    <col min="514" max="514" width="12.42578125" customWidth="1"/>
    <col min="515" max="515" width="13.7109375" bestFit="1" customWidth="1"/>
    <col min="517" max="517" width="14.28515625" customWidth="1"/>
    <col min="518" max="518" width="13.5703125" bestFit="1" customWidth="1"/>
    <col min="519" max="519" width="13.7109375" bestFit="1" customWidth="1"/>
    <col min="520" max="520" width="14.28515625" customWidth="1"/>
    <col min="521" max="521" width="13.7109375" bestFit="1" customWidth="1"/>
    <col min="763" max="763" width="4.28515625" customWidth="1"/>
    <col min="764" max="764" width="16" bestFit="1" customWidth="1"/>
    <col min="765" max="765" width="23.85546875" bestFit="1" customWidth="1"/>
    <col min="767" max="767" width="17.7109375" bestFit="1" customWidth="1"/>
    <col min="768" max="768" width="13" customWidth="1"/>
    <col min="769" max="769" width="12.42578125" bestFit="1" customWidth="1"/>
    <col min="770" max="770" width="12.42578125" customWidth="1"/>
    <col min="771" max="771" width="13.7109375" bestFit="1" customWidth="1"/>
    <col min="773" max="773" width="14.28515625" customWidth="1"/>
    <col min="774" max="774" width="13.5703125" bestFit="1" customWidth="1"/>
    <col min="775" max="775" width="13.7109375" bestFit="1" customWidth="1"/>
    <col min="776" max="776" width="14.28515625" customWidth="1"/>
    <col min="777" max="777" width="13.7109375" bestFit="1" customWidth="1"/>
    <col min="1019" max="1019" width="4.28515625" customWidth="1"/>
    <col min="1020" max="1020" width="16" bestFit="1" customWidth="1"/>
    <col min="1021" max="1021" width="23.85546875" bestFit="1" customWidth="1"/>
    <col min="1023" max="1023" width="17.7109375" bestFit="1" customWidth="1"/>
    <col min="1024" max="1024" width="13" customWidth="1"/>
    <col min="1025" max="1025" width="12.42578125" bestFit="1" customWidth="1"/>
    <col min="1026" max="1026" width="12.42578125" customWidth="1"/>
    <col min="1027" max="1027" width="13.7109375" bestFit="1" customWidth="1"/>
    <col min="1029" max="1029" width="14.28515625" customWidth="1"/>
    <col min="1030" max="1030" width="13.5703125" bestFit="1" customWidth="1"/>
    <col min="1031" max="1031" width="13.7109375" bestFit="1" customWidth="1"/>
    <col min="1032" max="1032" width="14.28515625" customWidth="1"/>
    <col min="1033" max="1033" width="13.7109375" bestFit="1" customWidth="1"/>
    <col min="1275" max="1275" width="4.28515625" customWidth="1"/>
    <col min="1276" max="1276" width="16" bestFit="1" customWidth="1"/>
    <col min="1277" max="1277" width="23.85546875" bestFit="1" customWidth="1"/>
    <col min="1279" max="1279" width="17.7109375" bestFit="1" customWidth="1"/>
    <col min="1280" max="1280" width="13" customWidth="1"/>
    <col min="1281" max="1281" width="12.42578125" bestFit="1" customWidth="1"/>
    <col min="1282" max="1282" width="12.42578125" customWidth="1"/>
    <col min="1283" max="1283" width="13.7109375" bestFit="1" customWidth="1"/>
    <col min="1285" max="1285" width="14.28515625" customWidth="1"/>
    <col min="1286" max="1286" width="13.5703125" bestFit="1" customWidth="1"/>
    <col min="1287" max="1287" width="13.7109375" bestFit="1" customWidth="1"/>
    <col min="1288" max="1288" width="14.28515625" customWidth="1"/>
    <col min="1289" max="1289" width="13.7109375" bestFit="1" customWidth="1"/>
    <col min="1531" max="1531" width="4.28515625" customWidth="1"/>
    <col min="1532" max="1532" width="16" bestFit="1" customWidth="1"/>
    <col min="1533" max="1533" width="23.85546875" bestFit="1" customWidth="1"/>
    <col min="1535" max="1535" width="17.7109375" bestFit="1" customWidth="1"/>
    <col min="1536" max="1536" width="13" customWidth="1"/>
    <col min="1537" max="1537" width="12.42578125" bestFit="1" customWidth="1"/>
    <col min="1538" max="1538" width="12.42578125" customWidth="1"/>
    <col min="1539" max="1539" width="13.7109375" bestFit="1" customWidth="1"/>
    <col min="1541" max="1541" width="14.28515625" customWidth="1"/>
    <col min="1542" max="1542" width="13.5703125" bestFit="1" customWidth="1"/>
    <col min="1543" max="1543" width="13.7109375" bestFit="1" customWidth="1"/>
    <col min="1544" max="1544" width="14.28515625" customWidth="1"/>
    <col min="1545" max="1545" width="13.7109375" bestFit="1" customWidth="1"/>
    <col min="1787" max="1787" width="4.28515625" customWidth="1"/>
    <col min="1788" max="1788" width="16" bestFit="1" customWidth="1"/>
    <col min="1789" max="1789" width="23.85546875" bestFit="1" customWidth="1"/>
    <col min="1791" max="1791" width="17.7109375" bestFit="1" customWidth="1"/>
    <col min="1792" max="1792" width="13" customWidth="1"/>
    <col min="1793" max="1793" width="12.42578125" bestFit="1" customWidth="1"/>
    <col min="1794" max="1794" width="12.42578125" customWidth="1"/>
    <col min="1795" max="1795" width="13.7109375" bestFit="1" customWidth="1"/>
    <col min="1797" max="1797" width="14.28515625" customWidth="1"/>
    <col min="1798" max="1798" width="13.5703125" bestFit="1" customWidth="1"/>
    <col min="1799" max="1799" width="13.7109375" bestFit="1" customWidth="1"/>
    <col min="1800" max="1800" width="14.28515625" customWidth="1"/>
    <col min="1801" max="1801" width="13.7109375" bestFit="1" customWidth="1"/>
    <col min="2043" max="2043" width="4.28515625" customWidth="1"/>
    <col min="2044" max="2044" width="16" bestFit="1" customWidth="1"/>
    <col min="2045" max="2045" width="23.85546875" bestFit="1" customWidth="1"/>
    <col min="2047" max="2047" width="17.7109375" bestFit="1" customWidth="1"/>
    <col min="2048" max="2048" width="13" customWidth="1"/>
    <col min="2049" max="2049" width="12.42578125" bestFit="1" customWidth="1"/>
    <col min="2050" max="2050" width="12.42578125" customWidth="1"/>
    <col min="2051" max="2051" width="13.7109375" bestFit="1" customWidth="1"/>
    <col min="2053" max="2053" width="14.28515625" customWidth="1"/>
    <col min="2054" max="2054" width="13.5703125" bestFit="1" customWidth="1"/>
    <col min="2055" max="2055" width="13.7109375" bestFit="1" customWidth="1"/>
    <col min="2056" max="2056" width="14.28515625" customWidth="1"/>
    <col min="2057" max="2057" width="13.7109375" bestFit="1" customWidth="1"/>
    <col min="2299" max="2299" width="4.28515625" customWidth="1"/>
    <col min="2300" max="2300" width="16" bestFit="1" customWidth="1"/>
    <col min="2301" max="2301" width="23.85546875" bestFit="1" customWidth="1"/>
    <col min="2303" max="2303" width="17.7109375" bestFit="1" customWidth="1"/>
    <col min="2304" max="2304" width="13" customWidth="1"/>
    <col min="2305" max="2305" width="12.42578125" bestFit="1" customWidth="1"/>
    <col min="2306" max="2306" width="12.42578125" customWidth="1"/>
    <col min="2307" max="2307" width="13.7109375" bestFit="1" customWidth="1"/>
    <col min="2309" max="2309" width="14.28515625" customWidth="1"/>
    <col min="2310" max="2310" width="13.5703125" bestFit="1" customWidth="1"/>
    <col min="2311" max="2311" width="13.7109375" bestFit="1" customWidth="1"/>
    <col min="2312" max="2312" width="14.28515625" customWidth="1"/>
    <col min="2313" max="2313" width="13.7109375" bestFit="1" customWidth="1"/>
    <col min="2555" max="2555" width="4.28515625" customWidth="1"/>
    <col min="2556" max="2556" width="16" bestFit="1" customWidth="1"/>
    <col min="2557" max="2557" width="23.85546875" bestFit="1" customWidth="1"/>
    <col min="2559" max="2559" width="17.7109375" bestFit="1" customWidth="1"/>
    <col min="2560" max="2560" width="13" customWidth="1"/>
    <col min="2561" max="2561" width="12.42578125" bestFit="1" customWidth="1"/>
    <col min="2562" max="2562" width="12.42578125" customWidth="1"/>
    <col min="2563" max="2563" width="13.7109375" bestFit="1" customWidth="1"/>
    <col min="2565" max="2565" width="14.28515625" customWidth="1"/>
    <col min="2566" max="2566" width="13.5703125" bestFit="1" customWidth="1"/>
    <col min="2567" max="2567" width="13.7109375" bestFit="1" customWidth="1"/>
    <col min="2568" max="2568" width="14.28515625" customWidth="1"/>
    <col min="2569" max="2569" width="13.7109375" bestFit="1" customWidth="1"/>
    <col min="2811" max="2811" width="4.28515625" customWidth="1"/>
    <col min="2812" max="2812" width="16" bestFit="1" customWidth="1"/>
    <col min="2813" max="2813" width="23.85546875" bestFit="1" customWidth="1"/>
    <col min="2815" max="2815" width="17.7109375" bestFit="1" customWidth="1"/>
    <col min="2816" max="2816" width="13" customWidth="1"/>
    <col min="2817" max="2817" width="12.42578125" bestFit="1" customWidth="1"/>
    <col min="2818" max="2818" width="12.42578125" customWidth="1"/>
    <col min="2819" max="2819" width="13.7109375" bestFit="1" customWidth="1"/>
    <col min="2821" max="2821" width="14.28515625" customWidth="1"/>
    <col min="2822" max="2822" width="13.5703125" bestFit="1" customWidth="1"/>
    <col min="2823" max="2823" width="13.7109375" bestFit="1" customWidth="1"/>
    <col min="2824" max="2824" width="14.28515625" customWidth="1"/>
    <col min="2825" max="2825" width="13.7109375" bestFit="1" customWidth="1"/>
    <col min="3067" max="3067" width="4.28515625" customWidth="1"/>
    <col min="3068" max="3068" width="16" bestFit="1" customWidth="1"/>
    <col min="3069" max="3069" width="23.85546875" bestFit="1" customWidth="1"/>
    <col min="3071" max="3071" width="17.7109375" bestFit="1" customWidth="1"/>
    <col min="3072" max="3072" width="13" customWidth="1"/>
    <col min="3073" max="3073" width="12.42578125" bestFit="1" customWidth="1"/>
    <col min="3074" max="3074" width="12.42578125" customWidth="1"/>
    <col min="3075" max="3075" width="13.7109375" bestFit="1" customWidth="1"/>
    <col min="3077" max="3077" width="14.28515625" customWidth="1"/>
    <col min="3078" max="3078" width="13.5703125" bestFit="1" customWidth="1"/>
    <col min="3079" max="3079" width="13.7109375" bestFit="1" customWidth="1"/>
    <col min="3080" max="3080" width="14.28515625" customWidth="1"/>
    <col min="3081" max="3081" width="13.7109375" bestFit="1" customWidth="1"/>
    <col min="3323" max="3323" width="4.28515625" customWidth="1"/>
    <col min="3324" max="3324" width="16" bestFit="1" customWidth="1"/>
    <col min="3325" max="3325" width="23.85546875" bestFit="1" customWidth="1"/>
    <col min="3327" max="3327" width="17.7109375" bestFit="1" customWidth="1"/>
    <col min="3328" max="3328" width="13" customWidth="1"/>
    <col min="3329" max="3329" width="12.42578125" bestFit="1" customWidth="1"/>
    <col min="3330" max="3330" width="12.42578125" customWidth="1"/>
    <col min="3331" max="3331" width="13.7109375" bestFit="1" customWidth="1"/>
    <col min="3333" max="3333" width="14.28515625" customWidth="1"/>
    <col min="3334" max="3334" width="13.5703125" bestFit="1" customWidth="1"/>
    <col min="3335" max="3335" width="13.7109375" bestFit="1" customWidth="1"/>
    <col min="3336" max="3336" width="14.28515625" customWidth="1"/>
    <col min="3337" max="3337" width="13.7109375" bestFit="1" customWidth="1"/>
    <col min="3579" max="3579" width="4.28515625" customWidth="1"/>
    <col min="3580" max="3580" width="16" bestFit="1" customWidth="1"/>
    <col min="3581" max="3581" width="23.85546875" bestFit="1" customWidth="1"/>
    <col min="3583" max="3583" width="17.7109375" bestFit="1" customWidth="1"/>
    <col min="3584" max="3584" width="13" customWidth="1"/>
    <col min="3585" max="3585" width="12.42578125" bestFit="1" customWidth="1"/>
    <col min="3586" max="3586" width="12.42578125" customWidth="1"/>
    <col min="3587" max="3587" width="13.7109375" bestFit="1" customWidth="1"/>
    <col min="3589" max="3589" width="14.28515625" customWidth="1"/>
    <col min="3590" max="3590" width="13.5703125" bestFit="1" customWidth="1"/>
    <col min="3591" max="3591" width="13.7109375" bestFit="1" customWidth="1"/>
    <col min="3592" max="3592" width="14.28515625" customWidth="1"/>
    <col min="3593" max="3593" width="13.7109375" bestFit="1" customWidth="1"/>
    <col min="3835" max="3835" width="4.28515625" customWidth="1"/>
    <col min="3836" max="3836" width="16" bestFit="1" customWidth="1"/>
    <col min="3837" max="3837" width="23.85546875" bestFit="1" customWidth="1"/>
    <col min="3839" max="3839" width="17.7109375" bestFit="1" customWidth="1"/>
    <col min="3840" max="3840" width="13" customWidth="1"/>
    <col min="3841" max="3841" width="12.42578125" bestFit="1" customWidth="1"/>
    <col min="3842" max="3842" width="12.42578125" customWidth="1"/>
    <col min="3843" max="3843" width="13.7109375" bestFit="1" customWidth="1"/>
    <col min="3845" max="3845" width="14.28515625" customWidth="1"/>
    <col min="3846" max="3846" width="13.5703125" bestFit="1" customWidth="1"/>
    <col min="3847" max="3847" width="13.7109375" bestFit="1" customWidth="1"/>
    <col min="3848" max="3848" width="14.28515625" customWidth="1"/>
    <col min="3849" max="3849" width="13.7109375" bestFit="1" customWidth="1"/>
    <col min="4091" max="4091" width="4.28515625" customWidth="1"/>
    <col min="4092" max="4092" width="16" bestFit="1" customWidth="1"/>
    <col min="4093" max="4093" width="23.85546875" bestFit="1" customWidth="1"/>
    <col min="4095" max="4095" width="17.7109375" bestFit="1" customWidth="1"/>
    <col min="4096" max="4096" width="13" customWidth="1"/>
    <col min="4097" max="4097" width="12.42578125" bestFit="1" customWidth="1"/>
    <col min="4098" max="4098" width="12.42578125" customWidth="1"/>
    <col min="4099" max="4099" width="13.7109375" bestFit="1" customWidth="1"/>
    <col min="4101" max="4101" width="14.28515625" customWidth="1"/>
    <col min="4102" max="4102" width="13.5703125" bestFit="1" customWidth="1"/>
    <col min="4103" max="4103" width="13.7109375" bestFit="1" customWidth="1"/>
    <col min="4104" max="4104" width="14.28515625" customWidth="1"/>
    <col min="4105" max="4105" width="13.7109375" bestFit="1" customWidth="1"/>
    <col min="4347" max="4347" width="4.28515625" customWidth="1"/>
    <col min="4348" max="4348" width="16" bestFit="1" customWidth="1"/>
    <col min="4349" max="4349" width="23.85546875" bestFit="1" customWidth="1"/>
    <col min="4351" max="4351" width="17.7109375" bestFit="1" customWidth="1"/>
    <col min="4352" max="4352" width="13" customWidth="1"/>
    <col min="4353" max="4353" width="12.42578125" bestFit="1" customWidth="1"/>
    <col min="4354" max="4354" width="12.42578125" customWidth="1"/>
    <col min="4355" max="4355" width="13.7109375" bestFit="1" customWidth="1"/>
    <col min="4357" max="4357" width="14.28515625" customWidth="1"/>
    <col min="4358" max="4358" width="13.5703125" bestFit="1" customWidth="1"/>
    <col min="4359" max="4359" width="13.7109375" bestFit="1" customWidth="1"/>
    <col min="4360" max="4360" width="14.28515625" customWidth="1"/>
    <col min="4361" max="4361" width="13.7109375" bestFit="1" customWidth="1"/>
    <col min="4603" max="4603" width="4.28515625" customWidth="1"/>
    <col min="4604" max="4604" width="16" bestFit="1" customWidth="1"/>
    <col min="4605" max="4605" width="23.85546875" bestFit="1" customWidth="1"/>
    <col min="4607" max="4607" width="17.7109375" bestFit="1" customWidth="1"/>
    <col min="4608" max="4608" width="13" customWidth="1"/>
    <col min="4609" max="4609" width="12.42578125" bestFit="1" customWidth="1"/>
    <col min="4610" max="4610" width="12.42578125" customWidth="1"/>
    <col min="4611" max="4611" width="13.7109375" bestFit="1" customWidth="1"/>
    <col min="4613" max="4613" width="14.28515625" customWidth="1"/>
    <col min="4614" max="4614" width="13.5703125" bestFit="1" customWidth="1"/>
    <col min="4615" max="4615" width="13.7109375" bestFit="1" customWidth="1"/>
    <col min="4616" max="4616" width="14.28515625" customWidth="1"/>
    <col min="4617" max="4617" width="13.7109375" bestFit="1" customWidth="1"/>
    <col min="4859" max="4859" width="4.28515625" customWidth="1"/>
    <col min="4860" max="4860" width="16" bestFit="1" customWidth="1"/>
    <col min="4861" max="4861" width="23.85546875" bestFit="1" customWidth="1"/>
    <col min="4863" max="4863" width="17.7109375" bestFit="1" customWidth="1"/>
    <col min="4864" max="4864" width="13" customWidth="1"/>
    <col min="4865" max="4865" width="12.42578125" bestFit="1" customWidth="1"/>
    <col min="4866" max="4866" width="12.42578125" customWidth="1"/>
    <col min="4867" max="4867" width="13.7109375" bestFit="1" customWidth="1"/>
    <col min="4869" max="4869" width="14.28515625" customWidth="1"/>
    <col min="4870" max="4870" width="13.5703125" bestFit="1" customWidth="1"/>
    <col min="4871" max="4871" width="13.7109375" bestFit="1" customWidth="1"/>
    <col min="4872" max="4872" width="14.28515625" customWidth="1"/>
    <col min="4873" max="4873" width="13.7109375" bestFit="1" customWidth="1"/>
    <col min="5115" max="5115" width="4.28515625" customWidth="1"/>
    <col min="5116" max="5116" width="16" bestFit="1" customWidth="1"/>
    <col min="5117" max="5117" width="23.85546875" bestFit="1" customWidth="1"/>
    <col min="5119" max="5119" width="17.7109375" bestFit="1" customWidth="1"/>
    <col min="5120" max="5120" width="13" customWidth="1"/>
    <col min="5121" max="5121" width="12.42578125" bestFit="1" customWidth="1"/>
    <col min="5122" max="5122" width="12.42578125" customWidth="1"/>
    <col min="5123" max="5123" width="13.7109375" bestFit="1" customWidth="1"/>
    <col min="5125" max="5125" width="14.28515625" customWidth="1"/>
    <col min="5126" max="5126" width="13.5703125" bestFit="1" customWidth="1"/>
    <col min="5127" max="5127" width="13.7109375" bestFit="1" customWidth="1"/>
    <col min="5128" max="5128" width="14.28515625" customWidth="1"/>
    <col min="5129" max="5129" width="13.7109375" bestFit="1" customWidth="1"/>
    <col min="5371" max="5371" width="4.28515625" customWidth="1"/>
    <col min="5372" max="5372" width="16" bestFit="1" customWidth="1"/>
    <col min="5373" max="5373" width="23.85546875" bestFit="1" customWidth="1"/>
    <col min="5375" max="5375" width="17.7109375" bestFit="1" customWidth="1"/>
    <col min="5376" max="5376" width="13" customWidth="1"/>
    <col min="5377" max="5377" width="12.42578125" bestFit="1" customWidth="1"/>
    <col min="5378" max="5378" width="12.42578125" customWidth="1"/>
    <col min="5379" max="5379" width="13.7109375" bestFit="1" customWidth="1"/>
    <col min="5381" max="5381" width="14.28515625" customWidth="1"/>
    <col min="5382" max="5382" width="13.5703125" bestFit="1" customWidth="1"/>
    <col min="5383" max="5383" width="13.7109375" bestFit="1" customWidth="1"/>
    <col min="5384" max="5384" width="14.28515625" customWidth="1"/>
    <col min="5385" max="5385" width="13.7109375" bestFit="1" customWidth="1"/>
    <col min="5627" max="5627" width="4.28515625" customWidth="1"/>
    <col min="5628" max="5628" width="16" bestFit="1" customWidth="1"/>
    <col min="5629" max="5629" width="23.85546875" bestFit="1" customWidth="1"/>
    <col min="5631" max="5631" width="17.7109375" bestFit="1" customWidth="1"/>
    <col min="5632" max="5632" width="13" customWidth="1"/>
    <col min="5633" max="5633" width="12.42578125" bestFit="1" customWidth="1"/>
    <col min="5634" max="5634" width="12.42578125" customWidth="1"/>
    <col min="5635" max="5635" width="13.7109375" bestFit="1" customWidth="1"/>
    <col min="5637" max="5637" width="14.28515625" customWidth="1"/>
    <col min="5638" max="5638" width="13.5703125" bestFit="1" customWidth="1"/>
    <col min="5639" max="5639" width="13.7109375" bestFit="1" customWidth="1"/>
    <col min="5640" max="5640" width="14.28515625" customWidth="1"/>
    <col min="5641" max="5641" width="13.7109375" bestFit="1" customWidth="1"/>
    <col min="5883" max="5883" width="4.28515625" customWidth="1"/>
    <col min="5884" max="5884" width="16" bestFit="1" customWidth="1"/>
    <col min="5885" max="5885" width="23.85546875" bestFit="1" customWidth="1"/>
    <col min="5887" max="5887" width="17.7109375" bestFit="1" customWidth="1"/>
    <col min="5888" max="5888" width="13" customWidth="1"/>
    <col min="5889" max="5889" width="12.42578125" bestFit="1" customWidth="1"/>
    <col min="5890" max="5890" width="12.42578125" customWidth="1"/>
    <col min="5891" max="5891" width="13.7109375" bestFit="1" customWidth="1"/>
    <col min="5893" max="5893" width="14.28515625" customWidth="1"/>
    <col min="5894" max="5894" width="13.5703125" bestFit="1" customWidth="1"/>
    <col min="5895" max="5895" width="13.7109375" bestFit="1" customWidth="1"/>
    <col min="5896" max="5896" width="14.28515625" customWidth="1"/>
    <col min="5897" max="5897" width="13.7109375" bestFit="1" customWidth="1"/>
    <col min="6139" max="6139" width="4.28515625" customWidth="1"/>
    <col min="6140" max="6140" width="16" bestFit="1" customWidth="1"/>
    <col min="6141" max="6141" width="23.85546875" bestFit="1" customWidth="1"/>
    <col min="6143" max="6143" width="17.7109375" bestFit="1" customWidth="1"/>
    <col min="6144" max="6144" width="13" customWidth="1"/>
    <col min="6145" max="6145" width="12.42578125" bestFit="1" customWidth="1"/>
    <col min="6146" max="6146" width="12.42578125" customWidth="1"/>
    <col min="6147" max="6147" width="13.7109375" bestFit="1" customWidth="1"/>
    <col min="6149" max="6149" width="14.28515625" customWidth="1"/>
    <col min="6150" max="6150" width="13.5703125" bestFit="1" customWidth="1"/>
    <col min="6151" max="6151" width="13.7109375" bestFit="1" customWidth="1"/>
    <col min="6152" max="6152" width="14.28515625" customWidth="1"/>
    <col min="6153" max="6153" width="13.7109375" bestFit="1" customWidth="1"/>
    <col min="6395" max="6395" width="4.28515625" customWidth="1"/>
    <col min="6396" max="6396" width="16" bestFit="1" customWidth="1"/>
    <col min="6397" max="6397" width="23.85546875" bestFit="1" customWidth="1"/>
    <col min="6399" max="6399" width="17.7109375" bestFit="1" customWidth="1"/>
    <col min="6400" max="6400" width="13" customWidth="1"/>
    <col min="6401" max="6401" width="12.42578125" bestFit="1" customWidth="1"/>
    <col min="6402" max="6402" width="12.42578125" customWidth="1"/>
    <col min="6403" max="6403" width="13.7109375" bestFit="1" customWidth="1"/>
    <col min="6405" max="6405" width="14.28515625" customWidth="1"/>
    <col min="6406" max="6406" width="13.5703125" bestFit="1" customWidth="1"/>
    <col min="6407" max="6407" width="13.7109375" bestFit="1" customWidth="1"/>
    <col min="6408" max="6408" width="14.28515625" customWidth="1"/>
    <col min="6409" max="6409" width="13.7109375" bestFit="1" customWidth="1"/>
    <col min="6651" max="6651" width="4.28515625" customWidth="1"/>
    <col min="6652" max="6652" width="16" bestFit="1" customWidth="1"/>
    <col min="6653" max="6653" width="23.85546875" bestFit="1" customWidth="1"/>
    <col min="6655" max="6655" width="17.7109375" bestFit="1" customWidth="1"/>
    <col min="6656" max="6656" width="13" customWidth="1"/>
    <col min="6657" max="6657" width="12.42578125" bestFit="1" customWidth="1"/>
    <col min="6658" max="6658" width="12.42578125" customWidth="1"/>
    <col min="6659" max="6659" width="13.7109375" bestFit="1" customWidth="1"/>
    <col min="6661" max="6661" width="14.28515625" customWidth="1"/>
    <col min="6662" max="6662" width="13.5703125" bestFit="1" customWidth="1"/>
    <col min="6663" max="6663" width="13.7109375" bestFit="1" customWidth="1"/>
    <col min="6664" max="6664" width="14.28515625" customWidth="1"/>
    <col min="6665" max="6665" width="13.7109375" bestFit="1" customWidth="1"/>
    <col min="6907" max="6907" width="4.28515625" customWidth="1"/>
    <col min="6908" max="6908" width="16" bestFit="1" customWidth="1"/>
    <col min="6909" max="6909" width="23.85546875" bestFit="1" customWidth="1"/>
    <col min="6911" max="6911" width="17.7109375" bestFit="1" customWidth="1"/>
    <col min="6912" max="6912" width="13" customWidth="1"/>
    <col min="6913" max="6913" width="12.42578125" bestFit="1" customWidth="1"/>
    <col min="6914" max="6914" width="12.42578125" customWidth="1"/>
    <col min="6915" max="6915" width="13.7109375" bestFit="1" customWidth="1"/>
    <col min="6917" max="6917" width="14.28515625" customWidth="1"/>
    <col min="6918" max="6918" width="13.5703125" bestFit="1" customWidth="1"/>
    <col min="6919" max="6919" width="13.7109375" bestFit="1" customWidth="1"/>
    <col min="6920" max="6920" width="14.28515625" customWidth="1"/>
    <col min="6921" max="6921" width="13.7109375" bestFit="1" customWidth="1"/>
    <col min="7163" max="7163" width="4.28515625" customWidth="1"/>
    <col min="7164" max="7164" width="16" bestFit="1" customWidth="1"/>
    <col min="7165" max="7165" width="23.85546875" bestFit="1" customWidth="1"/>
    <col min="7167" max="7167" width="17.7109375" bestFit="1" customWidth="1"/>
    <col min="7168" max="7168" width="13" customWidth="1"/>
    <col min="7169" max="7169" width="12.42578125" bestFit="1" customWidth="1"/>
    <col min="7170" max="7170" width="12.42578125" customWidth="1"/>
    <col min="7171" max="7171" width="13.7109375" bestFit="1" customWidth="1"/>
    <col min="7173" max="7173" width="14.28515625" customWidth="1"/>
    <col min="7174" max="7174" width="13.5703125" bestFit="1" customWidth="1"/>
    <col min="7175" max="7175" width="13.7109375" bestFit="1" customWidth="1"/>
    <col min="7176" max="7176" width="14.28515625" customWidth="1"/>
    <col min="7177" max="7177" width="13.7109375" bestFit="1" customWidth="1"/>
    <col min="7419" max="7419" width="4.28515625" customWidth="1"/>
    <col min="7420" max="7420" width="16" bestFit="1" customWidth="1"/>
    <col min="7421" max="7421" width="23.85546875" bestFit="1" customWidth="1"/>
    <col min="7423" max="7423" width="17.7109375" bestFit="1" customWidth="1"/>
    <col min="7424" max="7424" width="13" customWidth="1"/>
    <col min="7425" max="7425" width="12.42578125" bestFit="1" customWidth="1"/>
    <col min="7426" max="7426" width="12.42578125" customWidth="1"/>
    <col min="7427" max="7427" width="13.7109375" bestFit="1" customWidth="1"/>
    <col min="7429" max="7429" width="14.28515625" customWidth="1"/>
    <col min="7430" max="7430" width="13.5703125" bestFit="1" customWidth="1"/>
    <col min="7431" max="7431" width="13.7109375" bestFit="1" customWidth="1"/>
    <col min="7432" max="7432" width="14.28515625" customWidth="1"/>
    <col min="7433" max="7433" width="13.7109375" bestFit="1" customWidth="1"/>
    <col min="7675" max="7675" width="4.28515625" customWidth="1"/>
    <col min="7676" max="7676" width="16" bestFit="1" customWidth="1"/>
    <col min="7677" max="7677" width="23.85546875" bestFit="1" customWidth="1"/>
    <col min="7679" max="7679" width="17.7109375" bestFit="1" customWidth="1"/>
    <col min="7680" max="7680" width="13" customWidth="1"/>
    <col min="7681" max="7681" width="12.42578125" bestFit="1" customWidth="1"/>
    <col min="7682" max="7682" width="12.42578125" customWidth="1"/>
    <col min="7683" max="7683" width="13.7109375" bestFit="1" customWidth="1"/>
    <col min="7685" max="7685" width="14.28515625" customWidth="1"/>
    <col min="7686" max="7686" width="13.5703125" bestFit="1" customWidth="1"/>
    <col min="7687" max="7687" width="13.7109375" bestFit="1" customWidth="1"/>
    <col min="7688" max="7688" width="14.28515625" customWidth="1"/>
    <col min="7689" max="7689" width="13.7109375" bestFit="1" customWidth="1"/>
    <col min="7931" max="7931" width="4.28515625" customWidth="1"/>
    <col min="7932" max="7932" width="16" bestFit="1" customWidth="1"/>
    <col min="7933" max="7933" width="23.85546875" bestFit="1" customWidth="1"/>
    <col min="7935" max="7935" width="17.7109375" bestFit="1" customWidth="1"/>
    <col min="7936" max="7936" width="13" customWidth="1"/>
    <col min="7937" max="7937" width="12.42578125" bestFit="1" customWidth="1"/>
    <col min="7938" max="7938" width="12.42578125" customWidth="1"/>
    <col min="7939" max="7939" width="13.7109375" bestFit="1" customWidth="1"/>
    <col min="7941" max="7941" width="14.28515625" customWidth="1"/>
    <col min="7942" max="7942" width="13.5703125" bestFit="1" customWidth="1"/>
    <col min="7943" max="7943" width="13.7109375" bestFit="1" customWidth="1"/>
    <col min="7944" max="7944" width="14.28515625" customWidth="1"/>
    <col min="7945" max="7945" width="13.7109375" bestFit="1" customWidth="1"/>
    <col min="8187" max="8187" width="4.28515625" customWidth="1"/>
    <col min="8188" max="8188" width="16" bestFit="1" customWidth="1"/>
    <col min="8189" max="8189" width="23.85546875" bestFit="1" customWidth="1"/>
    <col min="8191" max="8191" width="17.7109375" bestFit="1" customWidth="1"/>
    <col min="8192" max="8192" width="13" customWidth="1"/>
    <col min="8193" max="8193" width="12.42578125" bestFit="1" customWidth="1"/>
    <col min="8194" max="8194" width="12.42578125" customWidth="1"/>
    <col min="8195" max="8195" width="13.7109375" bestFit="1" customWidth="1"/>
    <col min="8197" max="8197" width="14.28515625" customWidth="1"/>
    <col min="8198" max="8198" width="13.5703125" bestFit="1" customWidth="1"/>
    <col min="8199" max="8199" width="13.7109375" bestFit="1" customWidth="1"/>
    <col min="8200" max="8200" width="14.28515625" customWidth="1"/>
    <col min="8201" max="8201" width="13.7109375" bestFit="1" customWidth="1"/>
    <col min="8443" max="8443" width="4.28515625" customWidth="1"/>
    <col min="8444" max="8444" width="16" bestFit="1" customWidth="1"/>
    <col min="8445" max="8445" width="23.85546875" bestFit="1" customWidth="1"/>
    <col min="8447" max="8447" width="17.7109375" bestFit="1" customWidth="1"/>
    <col min="8448" max="8448" width="13" customWidth="1"/>
    <col min="8449" max="8449" width="12.42578125" bestFit="1" customWidth="1"/>
    <col min="8450" max="8450" width="12.42578125" customWidth="1"/>
    <col min="8451" max="8451" width="13.7109375" bestFit="1" customWidth="1"/>
    <col min="8453" max="8453" width="14.28515625" customWidth="1"/>
    <col min="8454" max="8454" width="13.5703125" bestFit="1" customWidth="1"/>
    <col min="8455" max="8455" width="13.7109375" bestFit="1" customWidth="1"/>
    <col min="8456" max="8456" width="14.28515625" customWidth="1"/>
    <col min="8457" max="8457" width="13.7109375" bestFit="1" customWidth="1"/>
    <col min="8699" max="8699" width="4.28515625" customWidth="1"/>
    <col min="8700" max="8700" width="16" bestFit="1" customWidth="1"/>
    <col min="8701" max="8701" width="23.85546875" bestFit="1" customWidth="1"/>
    <col min="8703" max="8703" width="17.7109375" bestFit="1" customWidth="1"/>
    <col min="8704" max="8704" width="13" customWidth="1"/>
    <col min="8705" max="8705" width="12.42578125" bestFit="1" customWidth="1"/>
    <col min="8706" max="8706" width="12.42578125" customWidth="1"/>
    <col min="8707" max="8707" width="13.7109375" bestFit="1" customWidth="1"/>
    <col min="8709" max="8709" width="14.28515625" customWidth="1"/>
    <col min="8710" max="8710" width="13.5703125" bestFit="1" customWidth="1"/>
    <col min="8711" max="8711" width="13.7109375" bestFit="1" customWidth="1"/>
    <col min="8712" max="8712" width="14.28515625" customWidth="1"/>
    <col min="8713" max="8713" width="13.7109375" bestFit="1" customWidth="1"/>
    <col min="8955" max="8955" width="4.28515625" customWidth="1"/>
    <col min="8956" max="8956" width="16" bestFit="1" customWidth="1"/>
    <col min="8957" max="8957" width="23.85546875" bestFit="1" customWidth="1"/>
    <col min="8959" max="8959" width="17.7109375" bestFit="1" customWidth="1"/>
    <col min="8960" max="8960" width="13" customWidth="1"/>
    <col min="8961" max="8961" width="12.42578125" bestFit="1" customWidth="1"/>
    <col min="8962" max="8962" width="12.42578125" customWidth="1"/>
    <col min="8963" max="8963" width="13.7109375" bestFit="1" customWidth="1"/>
    <col min="8965" max="8965" width="14.28515625" customWidth="1"/>
    <col min="8966" max="8966" width="13.5703125" bestFit="1" customWidth="1"/>
    <col min="8967" max="8967" width="13.7109375" bestFit="1" customWidth="1"/>
    <col min="8968" max="8968" width="14.28515625" customWidth="1"/>
    <col min="8969" max="8969" width="13.7109375" bestFit="1" customWidth="1"/>
    <col min="9211" max="9211" width="4.28515625" customWidth="1"/>
    <col min="9212" max="9212" width="16" bestFit="1" customWidth="1"/>
    <col min="9213" max="9213" width="23.85546875" bestFit="1" customWidth="1"/>
    <col min="9215" max="9215" width="17.7109375" bestFit="1" customWidth="1"/>
    <col min="9216" max="9216" width="13" customWidth="1"/>
    <col min="9217" max="9217" width="12.42578125" bestFit="1" customWidth="1"/>
    <col min="9218" max="9218" width="12.42578125" customWidth="1"/>
    <col min="9219" max="9219" width="13.7109375" bestFit="1" customWidth="1"/>
    <col min="9221" max="9221" width="14.28515625" customWidth="1"/>
    <col min="9222" max="9222" width="13.5703125" bestFit="1" customWidth="1"/>
    <col min="9223" max="9223" width="13.7109375" bestFit="1" customWidth="1"/>
    <col min="9224" max="9224" width="14.28515625" customWidth="1"/>
    <col min="9225" max="9225" width="13.7109375" bestFit="1" customWidth="1"/>
    <col min="9467" max="9467" width="4.28515625" customWidth="1"/>
    <col min="9468" max="9468" width="16" bestFit="1" customWidth="1"/>
    <col min="9469" max="9469" width="23.85546875" bestFit="1" customWidth="1"/>
    <col min="9471" max="9471" width="17.7109375" bestFit="1" customWidth="1"/>
    <col min="9472" max="9472" width="13" customWidth="1"/>
    <col min="9473" max="9473" width="12.42578125" bestFit="1" customWidth="1"/>
    <col min="9474" max="9474" width="12.42578125" customWidth="1"/>
    <col min="9475" max="9475" width="13.7109375" bestFit="1" customWidth="1"/>
    <col min="9477" max="9477" width="14.28515625" customWidth="1"/>
    <col min="9478" max="9478" width="13.5703125" bestFit="1" customWidth="1"/>
    <col min="9479" max="9479" width="13.7109375" bestFit="1" customWidth="1"/>
    <col min="9480" max="9480" width="14.28515625" customWidth="1"/>
    <col min="9481" max="9481" width="13.7109375" bestFit="1" customWidth="1"/>
    <col min="9723" max="9723" width="4.28515625" customWidth="1"/>
    <col min="9724" max="9724" width="16" bestFit="1" customWidth="1"/>
    <col min="9725" max="9725" width="23.85546875" bestFit="1" customWidth="1"/>
    <col min="9727" max="9727" width="17.7109375" bestFit="1" customWidth="1"/>
    <col min="9728" max="9728" width="13" customWidth="1"/>
    <col min="9729" max="9729" width="12.42578125" bestFit="1" customWidth="1"/>
    <col min="9730" max="9730" width="12.42578125" customWidth="1"/>
    <col min="9731" max="9731" width="13.7109375" bestFit="1" customWidth="1"/>
    <col min="9733" max="9733" width="14.28515625" customWidth="1"/>
    <col min="9734" max="9734" width="13.5703125" bestFit="1" customWidth="1"/>
    <col min="9735" max="9735" width="13.7109375" bestFit="1" customWidth="1"/>
    <col min="9736" max="9736" width="14.28515625" customWidth="1"/>
    <col min="9737" max="9737" width="13.7109375" bestFit="1" customWidth="1"/>
    <col min="9979" max="9979" width="4.28515625" customWidth="1"/>
    <col min="9980" max="9980" width="16" bestFit="1" customWidth="1"/>
    <col min="9981" max="9981" width="23.85546875" bestFit="1" customWidth="1"/>
    <col min="9983" max="9983" width="17.7109375" bestFit="1" customWidth="1"/>
    <col min="9984" max="9984" width="13" customWidth="1"/>
    <col min="9985" max="9985" width="12.42578125" bestFit="1" customWidth="1"/>
    <col min="9986" max="9986" width="12.42578125" customWidth="1"/>
    <col min="9987" max="9987" width="13.7109375" bestFit="1" customWidth="1"/>
    <col min="9989" max="9989" width="14.28515625" customWidth="1"/>
    <col min="9990" max="9990" width="13.5703125" bestFit="1" customWidth="1"/>
    <col min="9991" max="9991" width="13.7109375" bestFit="1" customWidth="1"/>
    <col min="9992" max="9992" width="14.28515625" customWidth="1"/>
    <col min="9993" max="9993" width="13.7109375" bestFit="1" customWidth="1"/>
    <col min="10235" max="10235" width="4.28515625" customWidth="1"/>
    <col min="10236" max="10236" width="16" bestFit="1" customWidth="1"/>
    <col min="10237" max="10237" width="23.85546875" bestFit="1" customWidth="1"/>
    <col min="10239" max="10239" width="17.7109375" bestFit="1" customWidth="1"/>
    <col min="10240" max="10240" width="13" customWidth="1"/>
    <col min="10241" max="10241" width="12.42578125" bestFit="1" customWidth="1"/>
    <col min="10242" max="10242" width="12.42578125" customWidth="1"/>
    <col min="10243" max="10243" width="13.7109375" bestFit="1" customWidth="1"/>
    <col min="10245" max="10245" width="14.28515625" customWidth="1"/>
    <col min="10246" max="10246" width="13.5703125" bestFit="1" customWidth="1"/>
    <col min="10247" max="10247" width="13.7109375" bestFit="1" customWidth="1"/>
    <col min="10248" max="10248" width="14.28515625" customWidth="1"/>
    <col min="10249" max="10249" width="13.7109375" bestFit="1" customWidth="1"/>
    <col min="10491" max="10491" width="4.28515625" customWidth="1"/>
    <col min="10492" max="10492" width="16" bestFit="1" customWidth="1"/>
    <col min="10493" max="10493" width="23.85546875" bestFit="1" customWidth="1"/>
    <col min="10495" max="10495" width="17.7109375" bestFit="1" customWidth="1"/>
    <col min="10496" max="10496" width="13" customWidth="1"/>
    <col min="10497" max="10497" width="12.42578125" bestFit="1" customWidth="1"/>
    <col min="10498" max="10498" width="12.42578125" customWidth="1"/>
    <col min="10499" max="10499" width="13.7109375" bestFit="1" customWidth="1"/>
    <col min="10501" max="10501" width="14.28515625" customWidth="1"/>
    <col min="10502" max="10502" width="13.5703125" bestFit="1" customWidth="1"/>
    <col min="10503" max="10503" width="13.7109375" bestFit="1" customWidth="1"/>
    <col min="10504" max="10504" width="14.28515625" customWidth="1"/>
    <col min="10505" max="10505" width="13.7109375" bestFit="1" customWidth="1"/>
    <col min="10747" max="10747" width="4.28515625" customWidth="1"/>
    <col min="10748" max="10748" width="16" bestFit="1" customWidth="1"/>
    <col min="10749" max="10749" width="23.85546875" bestFit="1" customWidth="1"/>
    <col min="10751" max="10751" width="17.7109375" bestFit="1" customWidth="1"/>
    <col min="10752" max="10752" width="13" customWidth="1"/>
    <col min="10753" max="10753" width="12.42578125" bestFit="1" customWidth="1"/>
    <col min="10754" max="10754" width="12.42578125" customWidth="1"/>
    <col min="10755" max="10755" width="13.7109375" bestFit="1" customWidth="1"/>
    <col min="10757" max="10757" width="14.28515625" customWidth="1"/>
    <col min="10758" max="10758" width="13.5703125" bestFit="1" customWidth="1"/>
    <col min="10759" max="10759" width="13.7109375" bestFit="1" customWidth="1"/>
    <col min="10760" max="10760" width="14.28515625" customWidth="1"/>
    <col min="10761" max="10761" width="13.7109375" bestFit="1" customWidth="1"/>
    <col min="11003" max="11003" width="4.28515625" customWidth="1"/>
    <col min="11004" max="11004" width="16" bestFit="1" customWidth="1"/>
    <col min="11005" max="11005" width="23.85546875" bestFit="1" customWidth="1"/>
    <col min="11007" max="11007" width="17.7109375" bestFit="1" customWidth="1"/>
    <col min="11008" max="11008" width="13" customWidth="1"/>
    <col min="11009" max="11009" width="12.42578125" bestFit="1" customWidth="1"/>
    <col min="11010" max="11010" width="12.42578125" customWidth="1"/>
    <col min="11011" max="11011" width="13.7109375" bestFit="1" customWidth="1"/>
    <col min="11013" max="11013" width="14.28515625" customWidth="1"/>
    <col min="11014" max="11014" width="13.5703125" bestFit="1" customWidth="1"/>
    <col min="11015" max="11015" width="13.7109375" bestFit="1" customWidth="1"/>
    <col min="11016" max="11016" width="14.28515625" customWidth="1"/>
    <col min="11017" max="11017" width="13.7109375" bestFit="1" customWidth="1"/>
    <col min="11259" max="11259" width="4.28515625" customWidth="1"/>
    <col min="11260" max="11260" width="16" bestFit="1" customWidth="1"/>
    <col min="11261" max="11261" width="23.85546875" bestFit="1" customWidth="1"/>
    <col min="11263" max="11263" width="17.7109375" bestFit="1" customWidth="1"/>
    <col min="11264" max="11264" width="13" customWidth="1"/>
    <col min="11265" max="11265" width="12.42578125" bestFit="1" customWidth="1"/>
    <col min="11266" max="11266" width="12.42578125" customWidth="1"/>
    <col min="11267" max="11267" width="13.7109375" bestFit="1" customWidth="1"/>
    <col min="11269" max="11269" width="14.28515625" customWidth="1"/>
    <col min="11270" max="11270" width="13.5703125" bestFit="1" customWidth="1"/>
    <col min="11271" max="11271" width="13.7109375" bestFit="1" customWidth="1"/>
    <col min="11272" max="11272" width="14.28515625" customWidth="1"/>
    <col min="11273" max="11273" width="13.7109375" bestFit="1" customWidth="1"/>
    <col min="11515" max="11515" width="4.28515625" customWidth="1"/>
    <col min="11516" max="11516" width="16" bestFit="1" customWidth="1"/>
    <col min="11517" max="11517" width="23.85546875" bestFit="1" customWidth="1"/>
    <col min="11519" max="11519" width="17.7109375" bestFit="1" customWidth="1"/>
    <col min="11520" max="11520" width="13" customWidth="1"/>
    <col min="11521" max="11521" width="12.42578125" bestFit="1" customWidth="1"/>
    <col min="11522" max="11522" width="12.42578125" customWidth="1"/>
    <col min="11523" max="11523" width="13.7109375" bestFit="1" customWidth="1"/>
    <col min="11525" max="11525" width="14.28515625" customWidth="1"/>
    <col min="11526" max="11526" width="13.5703125" bestFit="1" customWidth="1"/>
    <col min="11527" max="11527" width="13.7109375" bestFit="1" customWidth="1"/>
    <col min="11528" max="11528" width="14.28515625" customWidth="1"/>
    <col min="11529" max="11529" width="13.7109375" bestFit="1" customWidth="1"/>
    <col min="11771" max="11771" width="4.28515625" customWidth="1"/>
    <col min="11772" max="11772" width="16" bestFit="1" customWidth="1"/>
    <col min="11773" max="11773" width="23.85546875" bestFit="1" customWidth="1"/>
    <col min="11775" max="11775" width="17.7109375" bestFit="1" customWidth="1"/>
    <col min="11776" max="11776" width="13" customWidth="1"/>
    <col min="11777" max="11777" width="12.42578125" bestFit="1" customWidth="1"/>
    <col min="11778" max="11778" width="12.42578125" customWidth="1"/>
    <col min="11779" max="11779" width="13.7109375" bestFit="1" customWidth="1"/>
    <col min="11781" max="11781" width="14.28515625" customWidth="1"/>
    <col min="11782" max="11782" width="13.5703125" bestFit="1" customWidth="1"/>
    <col min="11783" max="11783" width="13.7109375" bestFit="1" customWidth="1"/>
    <col min="11784" max="11784" width="14.28515625" customWidth="1"/>
    <col min="11785" max="11785" width="13.7109375" bestFit="1" customWidth="1"/>
    <col min="12027" max="12027" width="4.28515625" customWidth="1"/>
    <col min="12028" max="12028" width="16" bestFit="1" customWidth="1"/>
    <col min="12029" max="12029" width="23.85546875" bestFit="1" customWidth="1"/>
    <col min="12031" max="12031" width="17.7109375" bestFit="1" customWidth="1"/>
    <col min="12032" max="12032" width="13" customWidth="1"/>
    <col min="12033" max="12033" width="12.42578125" bestFit="1" customWidth="1"/>
    <col min="12034" max="12034" width="12.42578125" customWidth="1"/>
    <col min="12035" max="12035" width="13.7109375" bestFit="1" customWidth="1"/>
    <col min="12037" max="12037" width="14.28515625" customWidth="1"/>
    <col min="12038" max="12038" width="13.5703125" bestFit="1" customWidth="1"/>
    <col min="12039" max="12039" width="13.7109375" bestFit="1" customWidth="1"/>
    <col min="12040" max="12040" width="14.28515625" customWidth="1"/>
    <col min="12041" max="12041" width="13.7109375" bestFit="1" customWidth="1"/>
    <col min="12283" max="12283" width="4.28515625" customWidth="1"/>
    <col min="12284" max="12284" width="16" bestFit="1" customWidth="1"/>
    <col min="12285" max="12285" width="23.85546875" bestFit="1" customWidth="1"/>
    <col min="12287" max="12287" width="17.7109375" bestFit="1" customWidth="1"/>
    <col min="12288" max="12288" width="13" customWidth="1"/>
    <col min="12289" max="12289" width="12.42578125" bestFit="1" customWidth="1"/>
    <col min="12290" max="12290" width="12.42578125" customWidth="1"/>
    <col min="12291" max="12291" width="13.7109375" bestFit="1" customWidth="1"/>
    <col min="12293" max="12293" width="14.28515625" customWidth="1"/>
    <col min="12294" max="12294" width="13.5703125" bestFit="1" customWidth="1"/>
    <col min="12295" max="12295" width="13.7109375" bestFit="1" customWidth="1"/>
    <col min="12296" max="12296" width="14.28515625" customWidth="1"/>
    <col min="12297" max="12297" width="13.7109375" bestFit="1" customWidth="1"/>
    <col min="12539" max="12539" width="4.28515625" customWidth="1"/>
    <col min="12540" max="12540" width="16" bestFit="1" customWidth="1"/>
    <col min="12541" max="12541" width="23.85546875" bestFit="1" customWidth="1"/>
    <col min="12543" max="12543" width="17.7109375" bestFit="1" customWidth="1"/>
    <col min="12544" max="12544" width="13" customWidth="1"/>
    <col min="12545" max="12545" width="12.42578125" bestFit="1" customWidth="1"/>
    <col min="12546" max="12546" width="12.42578125" customWidth="1"/>
    <col min="12547" max="12547" width="13.7109375" bestFit="1" customWidth="1"/>
    <col min="12549" max="12549" width="14.28515625" customWidth="1"/>
    <col min="12550" max="12550" width="13.5703125" bestFit="1" customWidth="1"/>
    <col min="12551" max="12551" width="13.7109375" bestFit="1" customWidth="1"/>
    <col min="12552" max="12552" width="14.28515625" customWidth="1"/>
    <col min="12553" max="12553" width="13.7109375" bestFit="1" customWidth="1"/>
    <col min="12795" max="12795" width="4.28515625" customWidth="1"/>
    <col min="12796" max="12796" width="16" bestFit="1" customWidth="1"/>
    <col min="12797" max="12797" width="23.85546875" bestFit="1" customWidth="1"/>
    <col min="12799" max="12799" width="17.7109375" bestFit="1" customWidth="1"/>
    <col min="12800" max="12800" width="13" customWidth="1"/>
    <col min="12801" max="12801" width="12.42578125" bestFit="1" customWidth="1"/>
    <col min="12802" max="12802" width="12.42578125" customWidth="1"/>
    <col min="12803" max="12803" width="13.7109375" bestFit="1" customWidth="1"/>
    <col min="12805" max="12805" width="14.28515625" customWidth="1"/>
    <col min="12806" max="12806" width="13.5703125" bestFit="1" customWidth="1"/>
    <col min="12807" max="12807" width="13.7109375" bestFit="1" customWidth="1"/>
    <col min="12808" max="12808" width="14.28515625" customWidth="1"/>
    <col min="12809" max="12809" width="13.7109375" bestFit="1" customWidth="1"/>
    <col min="13051" max="13051" width="4.28515625" customWidth="1"/>
    <col min="13052" max="13052" width="16" bestFit="1" customWidth="1"/>
    <col min="13053" max="13053" width="23.85546875" bestFit="1" customWidth="1"/>
    <col min="13055" max="13055" width="17.7109375" bestFit="1" customWidth="1"/>
    <col min="13056" max="13056" width="13" customWidth="1"/>
    <col min="13057" max="13057" width="12.42578125" bestFit="1" customWidth="1"/>
    <col min="13058" max="13058" width="12.42578125" customWidth="1"/>
    <col min="13059" max="13059" width="13.7109375" bestFit="1" customWidth="1"/>
    <col min="13061" max="13061" width="14.28515625" customWidth="1"/>
    <col min="13062" max="13062" width="13.5703125" bestFit="1" customWidth="1"/>
    <col min="13063" max="13063" width="13.7109375" bestFit="1" customWidth="1"/>
    <col min="13064" max="13064" width="14.28515625" customWidth="1"/>
    <col min="13065" max="13065" width="13.7109375" bestFit="1" customWidth="1"/>
    <col min="13307" max="13307" width="4.28515625" customWidth="1"/>
    <col min="13308" max="13308" width="16" bestFit="1" customWidth="1"/>
    <col min="13309" max="13309" width="23.85546875" bestFit="1" customWidth="1"/>
    <col min="13311" max="13311" width="17.7109375" bestFit="1" customWidth="1"/>
    <col min="13312" max="13312" width="13" customWidth="1"/>
    <col min="13313" max="13313" width="12.42578125" bestFit="1" customWidth="1"/>
    <col min="13314" max="13314" width="12.42578125" customWidth="1"/>
    <col min="13315" max="13315" width="13.7109375" bestFit="1" customWidth="1"/>
    <col min="13317" max="13317" width="14.28515625" customWidth="1"/>
    <col min="13318" max="13318" width="13.5703125" bestFit="1" customWidth="1"/>
    <col min="13319" max="13319" width="13.7109375" bestFit="1" customWidth="1"/>
    <col min="13320" max="13320" width="14.28515625" customWidth="1"/>
    <col min="13321" max="13321" width="13.7109375" bestFit="1" customWidth="1"/>
    <col min="13563" max="13563" width="4.28515625" customWidth="1"/>
    <col min="13564" max="13564" width="16" bestFit="1" customWidth="1"/>
    <col min="13565" max="13565" width="23.85546875" bestFit="1" customWidth="1"/>
    <col min="13567" max="13567" width="17.7109375" bestFit="1" customWidth="1"/>
    <col min="13568" max="13568" width="13" customWidth="1"/>
    <col min="13569" max="13569" width="12.42578125" bestFit="1" customWidth="1"/>
    <col min="13570" max="13570" width="12.42578125" customWidth="1"/>
    <col min="13571" max="13571" width="13.7109375" bestFit="1" customWidth="1"/>
    <col min="13573" max="13573" width="14.28515625" customWidth="1"/>
    <col min="13574" max="13574" width="13.5703125" bestFit="1" customWidth="1"/>
    <col min="13575" max="13575" width="13.7109375" bestFit="1" customWidth="1"/>
    <col min="13576" max="13576" width="14.28515625" customWidth="1"/>
    <col min="13577" max="13577" width="13.7109375" bestFit="1" customWidth="1"/>
    <col min="13819" max="13819" width="4.28515625" customWidth="1"/>
    <col min="13820" max="13820" width="16" bestFit="1" customWidth="1"/>
    <col min="13821" max="13821" width="23.85546875" bestFit="1" customWidth="1"/>
    <col min="13823" max="13823" width="17.7109375" bestFit="1" customWidth="1"/>
    <col min="13824" max="13824" width="13" customWidth="1"/>
    <col min="13825" max="13825" width="12.42578125" bestFit="1" customWidth="1"/>
    <col min="13826" max="13826" width="12.42578125" customWidth="1"/>
    <col min="13827" max="13827" width="13.7109375" bestFit="1" customWidth="1"/>
    <col min="13829" max="13829" width="14.28515625" customWidth="1"/>
    <col min="13830" max="13830" width="13.5703125" bestFit="1" customWidth="1"/>
    <col min="13831" max="13831" width="13.7109375" bestFit="1" customWidth="1"/>
    <col min="13832" max="13832" width="14.28515625" customWidth="1"/>
    <col min="13833" max="13833" width="13.7109375" bestFit="1" customWidth="1"/>
    <col min="14075" max="14075" width="4.28515625" customWidth="1"/>
    <col min="14076" max="14076" width="16" bestFit="1" customWidth="1"/>
    <col min="14077" max="14077" width="23.85546875" bestFit="1" customWidth="1"/>
    <col min="14079" max="14079" width="17.7109375" bestFit="1" customWidth="1"/>
    <col min="14080" max="14080" width="13" customWidth="1"/>
    <col min="14081" max="14081" width="12.42578125" bestFit="1" customWidth="1"/>
    <col min="14082" max="14082" width="12.42578125" customWidth="1"/>
    <col min="14083" max="14083" width="13.7109375" bestFit="1" customWidth="1"/>
    <col min="14085" max="14085" width="14.28515625" customWidth="1"/>
    <col min="14086" max="14086" width="13.5703125" bestFit="1" customWidth="1"/>
    <col min="14087" max="14087" width="13.7109375" bestFit="1" customWidth="1"/>
    <col min="14088" max="14088" width="14.28515625" customWidth="1"/>
    <col min="14089" max="14089" width="13.7109375" bestFit="1" customWidth="1"/>
    <col min="14331" max="14331" width="4.28515625" customWidth="1"/>
    <col min="14332" max="14332" width="16" bestFit="1" customWidth="1"/>
    <col min="14333" max="14333" width="23.85546875" bestFit="1" customWidth="1"/>
    <col min="14335" max="14335" width="17.7109375" bestFit="1" customWidth="1"/>
    <col min="14336" max="14336" width="13" customWidth="1"/>
    <col min="14337" max="14337" width="12.42578125" bestFit="1" customWidth="1"/>
    <col min="14338" max="14338" width="12.42578125" customWidth="1"/>
    <col min="14339" max="14339" width="13.7109375" bestFit="1" customWidth="1"/>
    <col min="14341" max="14341" width="14.28515625" customWidth="1"/>
    <col min="14342" max="14342" width="13.5703125" bestFit="1" customWidth="1"/>
    <col min="14343" max="14343" width="13.7109375" bestFit="1" customWidth="1"/>
    <col min="14344" max="14344" width="14.28515625" customWidth="1"/>
    <col min="14345" max="14345" width="13.7109375" bestFit="1" customWidth="1"/>
    <col min="14587" max="14587" width="4.28515625" customWidth="1"/>
    <col min="14588" max="14588" width="16" bestFit="1" customWidth="1"/>
    <col min="14589" max="14589" width="23.85546875" bestFit="1" customWidth="1"/>
    <col min="14591" max="14591" width="17.7109375" bestFit="1" customWidth="1"/>
    <col min="14592" max="14592" width="13" customWidth="1"/>
    <col min="14593" max="14593" width="12.42578125" bestFit="1" customWidth="1"/>
    <col min="14594" max="14594" width="12.42578125" customWidth="1"/>
    <col min="14595" max="14595" width="13.7109375" bestFit="1" customWidth="1"/>
    <col min="14597" max="14597" width="14.28515625" customWidth="1"/>
    <col min="14598" max="14598" width="13.5703125" bestFit="1" customWidth="1"/>
    <col min="14599" max="14599" width="13.7109375" bestFit="1" customWidth="1"/>
    <col min="14600" max="14600" width="14.28515625" customWidth="1"/>
    <col min="14601" max="14601" width="13.7109375" bestFit="1" customWidth="1"/>
    <col min="14843" max="14843" width="4.28515625" customWidth="1"/>
    <col min="14844" max="14844" width="16" bestFit="1" customWidth="1"/>
    <col min="14845" max="14845" width="23.85546875" bestFit="1" customWidth="1"/>
    <col min="14847" max="14847" width="17.7109375" bestFit="1" customWidth="1"/>
    <col min="14848" max="14848" width="13" customWidth="1"/>
    <col min="14849" max="14849" width="12.42578125" bestFit="1" customWidth="1"/>
    <col min="14850" max="14850" width="12.42578125" customWidth="1"/>
    <col min="14851" max="14851" width="13.7109375" bestFit="1" customWidth="1"/>
    <col min="14853" max="14853" width="14.28515625" customWidth="1"/>
    <col min="14854" max="14854" width="13.5703125" bestFit="1" customWidth="1"/>
    <col min="14855" max="14855" width="13.7109375" bestFit="1" customWidth="1"/>
    <col min="14856" max="14856" width="14.28515625" customWidth="1"/>
    <col min="14857" max="14857" width="13.7109375" bestFit="1" customWidth="1"/>
    <col min="15099" max="15099" width="4.28515625" customWidth="1"/>
    <col min="15100" max="15100" width="16" bestFit="1" customWidth="1"/>
    <col min="15101" max="15101" width="23.85546875" bestFit="1" customWidth="1"/>
    <col min="15103" max="15103" width="17.7109375" bestFit="1" customWidth="1"/>
    <col min="15104" max="15104" width="13" customWidth="1"/>
    <col min="15105" max="15105" width="12.42578125" bestFit="1" customWidth="1"/>
    <col min="15106" max="15106" width="12.42578125" customWidth="1"/>
    <col min="15107" max="15107" width="13.7109375" bestFit="1" customWidth="1"/>
    <col min="15109" max="15109" width="14.28515625" customWidth="1"/>
    <col min="15110" max="15110" width="13.5703125" bestFit="1" customWidth="1"/>
    <col min="15111" max="15111" width="13.7109375" bestFit="1" customWidth="1"/>
    <col min="15112" max="15112" width="14.28515625" customWidth="1"/>
    <col min="15113" max="15113" width="13.7109375" bestFit="1" customWidth="1"/>
    <col min="15355" max="15355" width="4.28515625" customWidth="1"/>
    <col min="15356" max="15356" width="16" bestFit="1" customWidth="1"/>
    <col min="15357" max="15357" width="23.85546875" bestFit="1" customWidth="1"/>
    <col min="15359" max="15359" width="17.7109375" bestFit="1" customWidth="1"/>
    <col min="15360" max="15360" width="13" customWidth="1"/>
    <col min="15361" max="15361" width="12.42578125" bestFit="1" customWidth="1"/>
    <col min="15362" max="15362" width="12.42578125" customWidth="1"/>
    <col min="15363" max="15363" width="13.7109375" bestFit="1" customWidth="1"/>
    <col min="15365" max="15365" width="14.28515625" customWidth="1"/>
    <col min="15366" max="15366" width="13.5703125" bestFit="1" customWidth="1"/>
    <col min="15367" max="15367" width="13.7109375" bestFit="1" customWidth="1"/>
    <col min="15368" max="15368" width="14.28515625" customWidth="1"/>
    <col min="15369" max="15369" width="13.7109375" bestFit="1" customWidth="1"/>
    <col min="15611" max="15611" width="4.28515625" customWidth="1"/>
    <col min="15612" max="15612" width="16" bestFit="1" customWidth="1"/>
    <col min="15613" max="15613" width="23.85546875" bestFit="1" customWidth="1"/>
    <col min="15615" max="15615" width="17.7109375" bestFit="1" customWidth="1"/>
    <col min="15616" max="15616" width="13" customWidth="1"/>
    <col min="15617" max="15617" width="12.42578125" bestFit="1" customWidth="1"/>
    <col min="15618" max="15618" width="12.42578125" customWidth="1"/>
    <col min="15619" max="15619" width="13.7109375" bestFit="1" customWidth="1"/>
    <col min="15621" max="15621" width="14.28515625" customWidth="1"/>
    <col min="15622" max="15622" width="13.5703125" bestFit="1" customWidth="1"/>
    <col min="15623" max="15623" width="13.7109375" bestFit="1" customWidth="1"/>
    <col min="15624" max="15624" width="14.28515625" customWidth="1"/>
    <col min="15625" max="15625" width="13.7109375" bestFit="1" customWidth="1"/>
    <col min="15867" max="15867" width="4.28515625" customWidth="1"/>
    <col min="15868" max="15868" width="16" bestFit="1" customWidth="1"/>
    <col min="15869" max="15869" width="23.85546875" bestFit="1" customWidth="1"/>
    <col min="15871" max="15871" width="17.7109375" bestFit="1" customWidth="1"/>
    <col min="15872" max="15872" width="13" customWidth="1"/>
    <col min="15873" max="15873" width="12.42578125" bestFit="1" customWidth="1"/>
    <col min="15874" max="15874" width="12.42578125" customWidth="1"/>
    <col min="15875" max="15875" width="13.7109375" bestFit="1" customWidth="1"/>
    <col min="15877" max="15877" width="14.28515625" customWidth="1"/>
    <col min="15878" max="15878" width="13.5703125" bestFit="1" customWidth="1"/>
    <col min="15879" max="15879" width="13.7109375" bestFit="1" customWidth="1"/>
    <col min="15880" max="15880" width="14.28515625" customWidth="1"/>
    <col min="15881" max="15881" width="13.7109375" bestFit="1" customWidth="1"/>
    <col min="16123" max="16123" width="4.28515625" customWidth="1"/>
    <col min="16124" max="16124" width="16" bestFit="1" customWidth="1"/>
    <col min="16125" max="16125" width="23.85546875" bestFit="1" customWidth="1"/>
    <col min="16127" max="16127" width="17.7109375" bestFit="1" customWidth="1"/>
    <col min="16128" max="16128" width="13" customWidth="1"/>
    <col min="16129" max="16129" width="12.42578125" bestFit="1" customWidth="1"/>
    <col min="16130" max="16130" width="12.42578125" customWidth="1"/>
    <col min="16131" max="16131" width="13.7109375" bestFit="1" customWidth="1"/>
    <col min="16133" max="16133" width="14.28515625" customWidth="1"/>
    <col min="16134" max="16134" width="13.5703125" bestFit="1" customWidth="1"/>
    <col min="16135" max="16135" width="13.7109375" bestFit="1" customWidth="1"/>
    <col min="16136" max="16136" width="14.28515625" customWidth="1"/>
    <col min="16137" max="16137" width="13.7109375" bestFit="1" customWidth="1"/>
  </cols>
  <sheetData>
    <row r="1" spans="2:13" ht="15.75" thickBot="1" x14ac:dyDescent="0.3"/>
    <row r="2" spans="2:13" ht="15.75" x14ac:dyDescent="0.25">
      <c r="B2" s="192" t="s">
        <v>88</v>
      </c>
      <c r="C2" s="193"/>
      <c r="D2" s="193"/>
      <c r="E2" s="193"/>
      <c r="F2" s="193"/>
      <c r="G2" s="193"/>
      <c r="H2" s="193"/>
      <c r="I2" s="194"/>
      <c r="M2" s="66" t="s">
        <v>155</v>
      </c>
    </row>
    <row r="3" spans="2:13" ht="15.75" thickBot="1" x14ac:dyDescent="0.3">
      <c r="B3" s="195" t="s">
        <v>89</v>
      </c>
      <c r="C3" s="196"/>
      <c r="D3" s="196"/>
      <c r="E3" s="196"/>
      <c r="F3" s="196"/>
      <c r="G3" s="196"/>
      <c r="H3" s="196"/>
      <c r="I3" s="197"/>
      <c r="M3" t="s">
        <v>160</v>
      </c>
    </row>
    <row r="4" spans="2:13" ht="15.75" thickBot="1" x14ac:dyDescent="0.3">
      <c r="M4" t="s">
        <v>161</v>
      </c>
    </row>
    <row r="5" spans="2:13" ht="16.5" thickTop="1" thickBot="1" x14ac:dyDescent="0.3">
      <c r="B5" s="198" t="s">
        <v>90</v>
      </c>
      <c r="C5" s="198"/>
      <c r="D5" s="29">
        <v>0.06</v>
      </c>
      <c r="H5" t="s">
        <v>91</v>
      </c>
      <c r="I5" s="29">
        <v>0.12</v>
      </c>
      <c r="M5" t="s">
        <v>163</v>
      </c>
    </row>
    <row r="6" spans="2:13" ht="16.5" thickTop="1" thickBot="1" x14ac:dyDescent="0.3">
      <c r="M6" t="s">
        <v>164</v>
      </c>
    </row>
    <row r="7" spans="2:13" ht="15.75" customHeight="1" x14ac:dyDescent="0.25">
      <c r="B7" s="30" t="s">
        <v>92</v>
      </c>
      <c r="C7" s="31" t="s">
        <v>93</v>
      </c>
      <c r="D7" s="31" t="s">
        <v>94</v>
      </c>
      <c r="E7" s="31" t="s">
        <v>95</v>
      </c>
      <c r="F7" s="31" t="s">
        <v>96</v>
      </c>
      <c r="G7" s="31" t="s">
        <v>97</v>
      </c>
      <c r="H7" s="31" t="s">
        <v>162</v>
      </c>
      <c r="I7" s="32" t="s">
        <v>98</v>
      </c>
      <c r="M7" t="s">
        <v>165</v>
      </c>
    </row>
    <row r="8" spans="2:13" x14ac:dyDescent="0.25">
      <c r="B8" s="33" t="s">
        <v>99</v>
      </c>
      <c r="C8" s="17" t="s">
        <v>100</v>
      </c>
      <c r="D8" s="34">
        <v>350</v>
      </c>
      <c r="E8" s="35">
        <v>20</v>
      </c>
      <c r="F8" s="36">
        <f>D8*E8</f>
        <v>7000</v>
      </c>
      <c r="G8" s="36">
        <f>F8*12/100</f>
        <v>840</v>
      </c>
      <c r="H8" s="34">
        <f>F8-G8</f>
        <v>6160</v>
      </c>
      <c r="I8" s="37">
        <f>H8+(H8*6/100)</f>
        <v>6529.6</v>
      </c>
    </row>
    <row r="9" spans="2:13" x14ac:dyDescent="0.25">
      <c r="B9" s="33" t="s">
        <v>99</v>
      </c>
      <c r="C9" s="17" t="s">
        <v>101</v>
      </c>
      <c r="D9" s="34">
        <v>325</v>
      </c>
      <c r="E9" s="35">
        <v>25</v>
      </c>
      <c r="F9" s="36">
        <f t="shared" ref="F9:F21" si="0">D9*E9</f>
        <v>8125</v>
      </c>
      <c r="G9" s="36">
        <f t="shared" ref="G9:G21" si="1">F9*12/100</f>
        <v>975</v>
      </c>
      <c r="H9" s="34">
        <f t="shared" ref="H9:H21" si="2">F9-G9</f>
        <v>7150</v>
      </c>
      <c r="I9" s="37">
        <f t="shared" ref="I9:I21" si="3">H9+(H9*6/100)</f>
        <v>7579</v>
      </c>
    </row>
    <row r="10" spans="2:13" x14ac:dyDescent="0.25">
      <c r="B10" s="33" t="s">
        <v>102</v>
      </c>
      <c r="C10" s="17" t="s">
        <v>101</v>
      </c>
      <c r="D10" s="34">
        <v>720</v>
      </c>
      <c r="E10" s="35">
        <v>30</v>
      </c>
      <c r="F10" s="36">
        <f t="shared" si="0"/>
        <v>21600</v>
      </c>
      <c r="G10" s="36">
        <f t="shared" si="1"/>
        <v>2592</v>
      </c>
      <c r="H10" s="34">
        <f t="shared" si="2"/>
        <v>19008</v>
      </c>
      <c r="I10" s="37">
        <f t="shared" si="3"/>
        <v>20148.48</v>
      </c>
    </row>
    <row r="11" spans="2:13" x14ac:dyDescent="0.25">
      <c r="B11" s="33" t="s">
        <v>102</v>
      </c>
      <c r="C11" s="17" t="s">
        <v>103</v>
      </c>
      <c r="D11" s="34">
        <v>810</v>
      </c>
      <c r="E11" s="35">
        <v>20</v>
      </c>
      <c r="F11" s="36">
        <f t="shared" si="0"/>
        <v>16200</v>
      </c>
      <c r="G11" s="36">
        <f t="shared" si="1"/>
        <v>1944</v>
      </c>
      <c r="H11" s="34">
        <f t="shared" si="2"/>
        <v>14256</v>
      </c>
      <c r="I11" s="37">
        <f t="shared" si="3"/>
        <v>15111.36</v>
      </c>
    </row>
    <row r="12" spans="2:13" x14ac:dyDescent="0.25">
      <c r="B12" s="33" t="s">
        <v>102</v>
      </c>
      <c r="C12" s="17" t="s">
        <v>100</v>
      </c>
      <c r="D12" s="34">
        <v>820</v>
      </c>
      <c r="E12" s="35">
        <v>20</v>
      </c>
      <c r="F12" s="36">
        <f t="shared" si="0"/>
        <v>16400</v>
      </c>
      <c r="G12" s="36">
        <f t="shared" si="1"/>
        <v>1968</v>
      </c>
      <c r="H12" s="34">
        <f t="shared" si="2"/>
        <v>14432</v>
      </c>
      <c r="I12" s="37">
        <f t="shared" si="3"/>
        <v>15297.92</v>
      </c>
    </row>
    <row r="13" spans="2:13" x14ac:dyDescent="0.25">
      <c r="B13" s="33" t="s">
        <v>104</v>
      </c>
      <c r="C13" s="17" t="s">
        <v>103</v>
      </c>
      <c r="D13" s="34">
        <v>35</v>
      </c>
      <c r="E13" s="35">
        <v>15</v>
      </c>
      <c r="F13" s="36">
        <f t="shared" si="0"/>
        <v>525</v>
      </c>
      <c r="G13" s="36">
        <f t="shared" si="1"/>
        <v>63</v>
      </c>
      <c r="H13" s="34">
        <f t="shared" si="2"/>
        <v>462</v>
      </c>
      <c r="I13" s="37">
        <f t="shared" si="3"/>
        <v>489.72</v>
      </c>
    </row>
    <row r="14" spans="2:13" x14ac:dyDescent="0.25">
      <c r="B14" s="33" t="s">
        <v>104</v>
      </c>
      <c r="C14" s="17" t="s">
        <v>101</v>
      </c>
      <c r="D14" s="34">
        <v>25</v>
      </c>
      <c r="E14" s="35">
        <v>25</v>
      </c>
      <c r="F14" s="36">
        <f t="shared" si="0"/>
        <v>625</v>
      </c>
      <c r="G14" s="36">
        <f t="shared" si="1"/>
        <v>75</v>
      </c>
      <c r="H14" s="34">
        <f t="shared" si="2"/>
        <v>550</v>
      </c>
      <c r="I14" s="37">
        <f t="shared" si="3"/>
        <v>583</v>
      </c>
    </row>
    <row r="15" spans="2:13" x14ac:dyDescent="0.25">
      <c r="B15" s="33" t="s">
        <v>105</v>
      </c>
      <c r="C15" s="17" t="s">
        <v>101</v>
      </c>
      <c r="D15" s="34">
        <v>175</v>
      </c>
      <c r="E15" s="35">
        <v>20</v>
      </c>
      <c r="F15" s="36">
        <f t="shared" si="0"/>
        <v>3500</v>
      </c>
      <c r="G15" s="36">
        <f t="shared" si="1"/>
        <v>420</v>
      </c>
      <c r="H15" s="34">
        <f t="shared" si="2"/>
        <v>3080</v>
      </c>
      <c r="I15" s="37">
        <f t="shared" si="3"/>
        <v>3264.8</v>
      </c>
    </row>
    <row r="16" spans="2:13" x14ac:dyDescent="0.25">
      <c r="B16" s="33" t="s">
        <v>105</v>
      </c>
      <c r="C16" s="17" t="s">
        <v>103</v>
      </c>
      <c r="D16" s="34">
        <v>155</v>
      </c>
      <c r="E16" s="35">
        <v>35</v>
      </c>
      <c r="F16" s="36">
        <f t="shared" si="0"/>
        <v>5425</v>
      </c>
      <c r="G16" s="36">
        <f t="shared" si="1"/>
        <v>651</v>
      </c>
      <c r="H16" s="34">
        <f t="shared" si="2"/>
        <v>4774</v>
      </c>
      <c r="I16" s="37">
        <f t="shared" si="3"/>
        <v>5060.4399999999996</v>
      </c>
    </row>
    <row r="17" spans="2:9" x14ac:dyDescent="0.25">
      <c r="B17" s="33" t="s">
        <v>106</v>
      </c>
      <c r="C17" s="17" t="s">
        <v>103</v>
      </c>
      <c r="D17" s="34">
        <v>75</v>
      </c>
      <c r="E17" s="35">
        <v>40</v>
      </c>
      <c r="F17" s="36">
        <f t="shared" si="0"/>
        <v>3000</v>
      </c>
      <c r="G17" s="36">
        <f t="shared" si="1"/>
        <v>360</v>
      </c>
      <c r="H17" s="34">
        <f t="shared" si="2"/>
        <v>2640</v>
      </c>
      <c r="I17" s="37">
        <f t="shared" si="3"/>
        <v>2798.4</v>
      </c>
    </row>
    <row r="18" spans="2:9" x14ac:dyDescent="0.25">
      <c r="B18" s="33" t="s">
        <v>106</v>
      </c>
      <c r="C18" s="17" t="s">
        <v>100</v>
      </c>
      <c r="D18" s="34">
        <v>80</v>
      </c>
      <c r="E18" s="35">
        <v>20</v>
      </c>
      <c r="F18" s="36">
        <f t="shared" si="0"/>
        <v>1600</v>
      </c>
      <c r="G18" s="36">
        <f t="shared" si="1"/>
        <v>192</v>
      </c>
      <c r="H18" s="34">
        <f t="shared" si="2"/>
        <v>1408</v>
      </c>
      <c r="I18" s="37">
        <f t="shared" si="3"/>
        <v>1492.48</v>
      </c>
    </row>
    <row r="19" spans="2:9" x14ac:dyDescent="0.25">
      <c r="B19" s="33" t="s">
        <v>107</v>
      </c>
      <c r="C19" s="17" t="s">
        <v>101</v>
      </c>
      <c r="D19" s="34">
        <v>320</v>
      </c>
      <c r="E19" s="35">
        <v>25</v>
      </c>
      <c r="F19" s="36">
        <f t="shared" si="0"/>
        <v>8000</v>
      </c>
      <c r="G19" s="36">
        <f t="shared" si="1"/>
        <v>960</v>
      </c>
      <c r="H19" s="34">
        <f t="shared" si="2"/>
        <v>7040</v>
      </c>
      <c r="I19" s="37">
        <f t="shared" si="3"/>
        <v>7462.4</v>
      </c>
    </row>
    <row r="20" spans="2:9" x14ac:dyDescent="0.25">
      <c r="B20" s="33" t="s">
        <v>107</v>
      </c>
      <c r="C20" s="17" t="s">
        <v>103</v>
      </c>
      <c r="D20" s="38">
        <v>335</v>
      </c>
      <c r="E20" s="35">
        <v>20</v>
      </c>
      <c r="F20" s="36">
        <f t="shared" si="0"/>
        <v>6700</v>
      </c>
      <c r="G20" s="36">
        <f t="shared" si="1"/>
        <v>804</v>
      </c>
      <c r="H20" s="34">
        <f t="shared" si="2"/>
        <v>5896</v>
      </c>
      <c r="I20" s="37">
        <f t="shared" si="3"/>
        <v>6249.76</v>
      </c>
    </row>
    <row r="21" spans="2:9" ht="15.75" thickBot="1" x14ac:dyDescent="0.3">
      <c r="B21" s="39" t="s">
        <v>107</v>
      </c>
      <c r="C21" s="40" t="s">
        <v>101</v>
      </c>
      <c r="D21" s="41">
        <v>354</v>
      </c>
      <c r="E21" s="42">
        <v>15</v>
      </c>
      <c r="F21" s="36">
        <f t="shared" si="0"/>
        <v>5310</v>
      </c>
      <c r="G21" s="36">
        <f t="shared" si="1"/>
        <v>637.20000000000005</v>
      </c>
      <c r="H21" s="34">
        <f t="shared" si="2"/>
        <v>4672.8</v>
      </c>
      <c r="I21" s="37">
        <f t="shared" si="3"/>
        <v>4953.1680000000006</v>
      </c>
    </row>
    <row r="22" spans="2:9" x14ac:dyDescent="0.25">
      <c r="E22" s="43" t="s">
        <v>96</v>
      </c>
      <c r="F22" s="119">
        <f>SUM(F8:F21)</f>
        <v>104010</v>
      </c>
      <c r="G22" s="119"/>
      <c r="H22" s="120"/>
      <c r="I22" s="120"/>
    </row>
    <row r="23" spans="2:9" x14ac:dyDescent="0.25">
      <c r="E23" s="17" t="s">
        <v>108</v>
      </c>
      <c r="F23" s="36">
        <f>MAX(F8:F21)</f>
        <v>21600</v>
      </c>
      <c r="G23" s="36"/>
      <c r="H23" s="34"/>
      <c r="I23" s="34"/>
    </row>
    <row r="24" spans="2:9" x14ac:dyDescent="0.25">
      <c r="E24" s="17" t="s">
        <v>109</v>
      </c>
      <c r="F24" s="36">
        <f>AVERAGE(F8:F21)</f>
        <v>7429.2857142857147</v>
      </c>
      <c r="G24" s="36"/>
      <c r="H24" s="34"/>
      <c r="I24" s="34"/>
    </row>
    <row r="25" spans="2:9" x14ac:dyDescent="0.25">
      <c r="E25" s="17" t="s">
        <v>110</v>
      </c>
      <c r="F25" s="36">
        <f>MIN(F8:F21)</f>
        <v>525</v>
      </c>
      <c r="G25" s="36"/>
      <c r="H25" s="34"/>
      <c r="I25" s="34"/>
    </row>
  </sheetData>
  <mergeCells count="3">
    <mergeCell ref="B2:I2"/>
    <mergeCell ref="B3:I3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85CD-9D62-44FF-B2FF-215D7D007CE5}">
  <dimension ref="B3:M15"/>
  <sheetViews>
    <sheetView zoomScale="110" zoomScaleNormal="110" workbookViewId="0">
      <selection activeCell="J13" sqref="J13"/>
    </sheetView>
  </sheetViews>
  <sheetFormatPr defaultRowHeight="15" x14ac:dyDescent="0.25"/>
  <cols>
    <col min="1" max="1" width="5.85546875" customWidth="1"/>
    <col min="2" max="2" width="18.7109375" customWidth="1"/>
    <col min="3" max="3" width="21.5703125" customWidth="1"/>
    <col min="4" max="4" width="19.140625" customWidth="1"/>
    <col min="5" max="5" width="16.28515625" customWidth="1"/>
    <col min="6" max="6" width="19.42578125" customWidth="1"/>
    <col min="7" max="7" width="4" customWidth="1"/>
    <col min="8" max="8" width="5.42578125" customWidth="1"/>
    <col min="9" max="9" width="12.85546875" bestFit="1" customWidth="1"/>
    <col min="10" max="10" width="16.85546875" customWidth="1"/>
    <col min="11" max="11" width="12.85546875" customWidth="1"/>
  </cols>
  <sheetData>
    <row r="3" spans="2:13" x14ac:dyDescent="0.25">
      <c r="B3" s="12" t="s">
        <v>8</v>
      </c>
      <c r="C3" s="13" t="s">
        <v>9</v>
      </c>
      <c r="D3" s="22" t="s">
        <v>10</v>
      </c>
      <c r="E3" s="22" t="s">
        <v>168</v>
      </c>
      <c r="F3" s="13" t="s">
        <v>12</v>
      </c>
      <c r="I3" s="199" t="s">
        <v>19</v>
      </c>
      <c r="J3" s="200"/>
      <c r="K3" s="200"/>
      <c r="M3" s="66" t="s">
        <v>155</v>
      </c>
    </row>
    <row r="4" spans="2:13" x14ac:dyDescent="0.25">
      <c r="B4" s="14" t="s">
        <v>13</v>
      </c>
      <c r="C4" s="18">
        <v>24000</v>
      </c>
      <c r="D4" s="15" t="str" cm="1">
        <f t="array" ref="D4">_xlfn.IFS(C4&gt;=25000,"Bom",C4&gt;=17500,"Normal",C4&gt;=10000,"Suficiente",C4&gt;=5000,"Melhorar")</f>
        <v>Normal</v>
      </c>
      <c r="E4" s="16">
        <f>_xlfn.XLOOKUP(D4,$J$5:$J$8,$K$5:$K$8)</f>
        <v>0.08</v>
      </c>
      <c r="F4" s="220">
        <f>C4*E4</f>
        <v>1920</v>
      </c>
      <c r="I4" s="3" t="s">
        <v>20</v>
      </c>
      <c r="J4" s="4" t="s">
        <v>10</v>
      </c>
      <c r="K4" s="5" t="s">
        <v>11</v>
      </c>
      <c r="M4" t="s">
        <v>166</v>
      </c>
    </row>
    <row r="5" spans="2:13" x14ac:dyDescent="0.25">
      <c r="B5" s="14" t="s">
        <v>14</v>
      </c>
      <c r="C5" s="18">
        <v>6000</v>
      </c>
      <c r="D5" s="15" t="str" cm="1">
        <f t="array" ref="D5">_xlfn.IFS(C5&gt;=25000,"Bom",C5&gt;=17500,"Normal",C5&gt;=10000,"Suficiente",C5&gt;=5000,"Melhorar")</f>
        <v>Melhorar</v>
      </c>
      <c r="E5" s="16">
        <f>_xlfn.XLOOKUP(D5,$J$5:$J$8,$K$5:$K$8)</f>
        <v>0.01</v>
      </c>
      <c r="F5" s="220">
        <f t="shared" ref="F5:F15" si="0">C5*E5</f>
        <v>60</v>
      </c>
      <c r="I5" s="19">
        <v>5000</v>
      </c>
      <c r="J5" s="6" t="s">
        <v>24</v>
      </c>
      <c r="K5" s="7">
        <v>0.01</v>
      </c>
      <c r="M5" t="s">
        <v>167</v>
      </c>
    </row>
    <row r="6" spans="2:13" x14ac:dyDescent="0.25">
      <c r="B6" s="14" t="s">
        <v>15</v>
      </c>
      <c r="C6" s="18">
        <v>16000</v>
      </c>
      <c r="D6" s="15" t="str" cm="1">
        <f t="array" ref="D6">_xlfn.IFS(C6&gt;=25000,"Bom",C6&gt;=17500,"Normal",C6&gt;=10000,"Suficiente",C6&gt;=5000,"Melhorar")</f>
        <v>Suficiente</v>
      </c>
      <c r="E6" s="16">
        <f>_xlfn.XLOOKUP(D6,$J$5:$J$8,$K$5:$K$8)</f>
        <v>0.05</v>
      </c>
      <c r="F6" s="220">
        <f t="shared" si="0"/>
        <v>800</v>
      </c>
      <c r="I6" s="20">
        <v>10000</v>
      </c>
      <c r="J6" s="8" t="s">
        <v>21</v>
      </c>
      <c r="K6" s="9">
        <v>0.05</v>
      </c>
      <c r="M6" t="s">
        <v>169</v>
      </c>
    </row>
    <row r="7" spans="2:13" x14ac:dyDescent="0.25">
      <c r="B7" s="14" t="s">
        <v>16</v>
      </c>
      <c r="C7" s="18">
        <v>10500</v>
      </c>
      <c r="D7" s="15" t="str" cm="1">
        <f t="array" ref="D7">_xlfn.IFS(C7&gt;=25000,"Bom",C7&gt;=17500,"Normal",C7&gt;=10000,"Suficiente",C7&gt;=5000,"Melhorar")</f>
        <v>Suficiente</v>
      </c>
      <c r="E7" s="16">
        <f t="shared" ref="E7:E15" si="1">_xlfn.XLOOKUP(D7,$J$5:$J$8,$K$5:$K$8)</f>
        <v>0.05</v>
      </c>
      <c r="F7" s="220">
        <f t="shared" si="0"/>
        <v>525</v>
      </c>
      <c r="I7" s="20">
        <v>17500</v>
      </c>
      <c r="J7" s="8" t="s">
        <v>22</v>
      </c>
      <c r="K7" s="9">
        <v>0.08</v>
      </c>
    </row>
    <row r="8" spans="2:13" x14ac:dyDescent="0.25">
      <c r="B8" s="14" t="s">
        <v>17</v>
      </c>
      <c r="C8" s="118">
        <v>6500</v>
      </c>
      <c r="D8" s="15" t="str" cm="1">
        <f t="array" ref="D8">_xlfn.IFS(C8&gt;=25000,"Bom",C8&gt;=17500,"Normal",C8&gt;=10000,"Suficiente",C8&gt;=5000,"Melhorar")</f>
        <v>Melhorar</v>
      </c>
      <c r="E8" s="16">
        <f t="shared" si="1"/>
        <v>0.01</v>
      </c>
      <c r="F8" s="220">
        <f t="shared" si="0"/>
        <v>65</v>
      </c>
      <c r="I8" s="21">
        <v>25000</v>
      </c>
      <c r="J8" s="10" t="s">
        <v>23</v>
      </c>
      <c r="K8" s="11">
        <v>0.1</v>
      </c>
    </row>
    <row r="9" spans="2:13" x14ac:dyDescent="0.25">
      <c r="B9" s="14" t="s">
        <v>18</v>
      </c>
      <c r="C9" s="18">
        <v>11000</v>
      </c>
      <c r="D9" s="15" t="str" cm="1">
        <f t="array" ref="D9">_xlfn.IFS(C9&gt;=25000,"Bom",C9&gt;=17500,"Normal",C9&gt;=10000,"Suficiente",C9&gt;=5000,"Melhorar")</f>
        <v>Suficiente</v>
      </c>
      <c r="E9" s="16">
        <f t="shared" si="1"/>
        <v>0.05</v>
      </c>
      <c r="F9" s="220">
        <f t="shared" si="0"/>
        <v>550</v>
      </c>
    </row>
    <row r="10" spans="2:13" x14ac:dyDescent="0.25">
      <c r="B10" s="2" t="s">
        <v>1</v>
      </c>
      <c r="C10" s="18">
        <v>12000</v>
      </c>
      <c r="D10" s="15" t="str" cm="1">
        <f t="array" ref="D10">_xlfn.IFS(C10&gt;=25000,"Bom",C10&gt;=17500,"Normal",C10&gt;=10000,"Suficiente",C10&gt;=5000,"Melhorar")</f>
        <v>Suficiente</v>
      </c>
      <c r="E10" s="16">
        <f t="shared" si="1"/>
        <v>0.05</v>
      </c>
      <c r="F10" s="220">
        <f t="shared" si="0"/>
        <v>600</v>
      </c>
    </row>
    <row r="11" spans="2:13" x14ac:dyDescent="0.25">
      <c r="B11" s="2" t="s">
        <v>2</v>
      </c>
      <c r="C11" s="18">
        <v>16000</v>
      </c>
      <c r="D11" s="15" t="str" cm="1">
        <f t="array" ref="D11">_xlfn.IFS(C11&gt;=25000,"Bom",C11&gt;=17500,"Normal",C11&gt;=10000,"Suficiente",C11&gt;=5000,"Melhorar")</f>
        <v>Suficiente</v>
      </c>
      <c r="E11" s="16">
        <f t="shared" si="1"/>
        <v>0.05</v>
      </c>
      <c r="F11" s="220">
        <f t="shared" si="0"/>
        <v>800</v>
      </c>
    </row>
    <row r="12" spans="2:13" x14ac:dyDescent="0.25">
      <c r="B12" s="2" t="s">
        <v>3</v>
      </c>
      <c r="C12" s="118">
        <v>11000</v>
      </c>
      <c r="D12" s="15" t="str" cm="1">
        <f t="array" ref="D12">_xlfn.IFS(C12&gt;=25000,"Bom",C12&gt;=17500,"Normal",C12&gt;=10000,"Suficiente",C12&gt;=5000,"Melhorar")</f>
        <v>Suficiente</v>
      </c>
      <c r="E12" s="16">
        <f t="shared" si="1"/>
        <v>0.05</v>
      </c>
      <c r="F12" s="220">
        <f t="shared" si="0"/>
        <v>550</v>
      </c>
    </row>
    <row r="13" spans="2:13" x14ac:dyDescent="0.25">
      <c r="B13" s="2" t="s">
        <v>4</v>
      </c>
      <c r="C13" s="18">
        <v>15000</v>
      </c>
      <c r="D13" s="15" t="str" cm="1">
        <f t="array" ref="D13">_xlfn.IFS(C13&gt;=25000,"Bom",C13&gt;=17500,"Normal",C13&gt;=10000,"Suficiente",C13&gt;=5000,"Melhorar")</f>
        <v>Suficiente</v>
      </c>
      <c r="E13" s="16">
        <f t="shared" si="1"/>
        <v>0.05</v>
      </c>
      <c r="F13" s="220">
        <f t="shared" si="0"/>
        <v>750</v>
      </c>
    </row>
    <row r="14" spans="2:13" x14ac:dyDescent="0.25">
      <c r="B14" s="2" t="s">
        <v>5</v>
      </c>
      <c r="C14" s="18">
        <v>7000</v>
      </c>
      <c r="D14" s="15" t="str" cm="1">
        <f t="array" ref="D14">_xlfn.IFS(C14&gt;=25000,"Bom",C14&gt;=17500,"Normal",C14&gt;=10000,"Suficiente",C14&gt;=5000,"Melhorar")</f>
        <v>Melhorar</v>
      </c>
      <c r="E14" s="16">
        <f t="shared" si="1"/>
        <v>0.01</v>
      </c>
      <c r="F14" s="220">
        <f t="shared" si="0"/>
        <v>70</v>
      </c>
    </row>
    <row r="15" spans="2:13" x14ac:dyDescent="0.25">
      <c r="B15" s="2" t="s">
        <v>6</v>
      </c>
      <c r="C15" s="18">
        <v>9000</v>
      </c>
      <c r="D15" s="15" t="str" cm="1">
        <f t="array" ref="D15">_xlfn.IFS(C15&gt;=25000,"Bom",C15&gt;=17500,"Normal",C15&gt;=10000,"Suficiente",C15&gt;=5000,"Melhorar")</f>
        <v>Melhorar</v>
      </c>
      <c r="E15" s="16">
        <f t="shared" si="1"/>
        <v>0.01</v>
      </c>
      <c r="F15" s="220">
        <f t="shared" si="0"/>
        <v>90</v>
      </c>
    </row>
  </sheetData>
  <mergeCells count="1">
    <mergeCell ref="I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9BC5-0028-454B-8938-155000FB58A5}">
  <dimension ref="A1:P150"/>
  <sheetViews>
    <sheetView topLeftCell="E61" workbookViewId="0">
      <selection activeCell="O3" sqref="O3"/>
    </sheetView>
  </sheetViews>
  <sheetFormatPr defaultRowHeight="15" x14ac:dyDescent="0.25"/>
  <cols>
    <col min="1" max="1" width="11.7109375" style="26" customWidth="1"/>
    <col min="2" max="2" width="11.85546875" style="26" customWidth="1"/>
    <col min="3" max="3" width="16.28515625" style="26" customWidth="1"/>
    <col min="4" max="4" width="11.85546875" style="26" customWidth="1"/>
    <col min="5" max="6" width="14.7109375" style="28" bestFit="1" customWidth="1"/>
    <col min="10" max="10" width="18.42578125" bestFit="1" customWidth="1"/>
    <col min="11" max="11" width="17.5703125" bestFit="1" customWidth="1"/>
    <col min="12" max="12" width="16.7109375" bestFit="1" customWidth="1"/>
    <col min="13" max="13" width="17.5703125" bestFit="1" customWidth="1"/>
    <col min="14" max="15" width="18.42578125" bestFit="1" customWidth="1"/>
    <col min="16" max="16" width="15.85546875" bestFit="1" customWidth="1"/>
    <col min="17" max="23" width="15.42578125" bestFit="1" customWidth="1"/>
    <col min="24" max="24" width="16.42578125" bestFit="1" customWidth="1"/>
  </cols>
  <sheetData>
    <row r="1" spans="1:16" x14ac:dyDescent="0.25">
      <c r="A1" s="23" t="s">
        <v>25</v>
      </c>
      <c r="B1" s="23" t="s">
        <v>26</v>
      </c>
      <c r="C1" s="23" t="s">
        <v>27</v>
      </c>
      <c r="D1" s="23" t="s">
        <v>28</v>
      </c>
      <c r="E1" s="24" t="s">
        <v>20</v>
      </c>
      <c r="F1" s="25" t="s">
        <v>29</v>
      </c>
    </row>
    <row r="2" spans="1:16" x14ac:dyDescent="0.25">
      <c r="A2" s="26" t="s">
        <v>30</v>
      </c>
      <c r="B2" s="26" t="s">
        <v>31</v>
      </c>
      <c r="C2" s="26" t="s">
        <v>32</v>
      </c>
      <c r="D2" s="26" t="s">
        <v>33</v>
      </c>
      <c r="E2" s="27">
        <v>1689120</v>
      </c>
      <c r="F2" s="28">
        <v>652422.6</v>
      </c>
      <c r="K2" s="66" t="s">
        <v>155</v>
      </c>
    </row>
    <row r="3" spans="1:16" x14ac:dyDescent="0.25">
      <c r="A3" s="26" t="s">
        <v>30</v>
      </c>
      <c r="B3" s="26" t="s">
        <v>31</v>
      </c>
      <c r="C3" s="26" t="s">
        <v>34</v>
      </c>
      <c r="D3" s="26" t="s">
        <v>35</v>
      </c>
      <c r="E3" s="27">
        <v>1286160</v>
      </c>
      <c r="F3" s="28">
        <v>496779.3</v>
      </c>
    </row>
    <row r="4" spans="1:16" x14ac:dyDescent="0.25">
      <c r="A4" s="26" t="s">
        <v>30</v>
      </c>
      <c r="B4" s="26" t="s">
        <v>31</v>
      </c>
      <c r="C4" s="26" t="s">
        <v>36</v>
      </c>
      <c r="D4" s="26" t="s">
        <v>37</v>
      </c>
      <c r="E4" s="27">
        <v>1021200</v>
      </c>
      <c r="F4" s="28">
        <v>382950</v>
      </c>
      <c r="K4" t="s">
        <v>170</v>
      </c>
    </row>
    <row r="5" spans="1:16" x14ac:dyDescent="0.25">
      <c r="A5" s="26" t="s">
        <v>30</v>
      </c>
      <c r="B5" s="26" t="s">
        <v>31</v>
      </c>
      <c r="C5" s="26" t="s">
        <v>38</v>
      </c>
      <c r="D5" s="26" t="s">
        <v>33</v>
      </c>
      <c r="E5" s="27">
        <v>1782960</v>
      </c>
      <c r="F5" s="28">
        <v>675296.1</v>
      </c>
      <c r="K5" t="s">
        <v>171</v>
      </c>
    </row>
    <row r="6" spans="1:16" x14ac:dyDescent="0.25">
      <c r="A6" s="26" t="s">
        <v>30</v>
      </c>
      <c r="B6" s="26" t="s">
        <v>31</v>
      </c>
      <c r="C6" s="26" t="s">
        <v>39</v>
      </c>
      <c r="D6" s="26" t="s">
        <v>40</v>
      </c>
      <c r="E6" s="27">
        <v>1816080</v>
      </c>
      <c r="F6" s="28">
        <v>687840.3</v>
      </c>
    </row>
    <row r="7" spans="1:16" x14ac:dyDescent="0.25">
      <c r="A7" s="26" t="s">
        <v>30</v>
      </c>
      <c r="B7" s="26" t="s">
        <v>31</v>
      </c>
      <c r="C7" s="26" t="s">
        <v>41</v>
      </c>
      <c r="D7" s="26" t="s">
        <v>42</v>
      </c>
      <c r="E7" s="27">
        <v>2020320</v>
      </c>
      <c r="F7" s="28">
        <v>765196.2</v>
      </c>
      <c r="M7" s="170" t="s">
        <v>349</v>
      </c>
      <c r="N7" t="s">
        <v>350</v>
      </c>
      <c r="O7" s="170" t="s">
        <v>349</v>
      </c>
      <c r="P7" t="s">
        <v>353</v>
      </c>
    </row>
    <row r="8" spans="1:16" x14ac:dyDescent="0.25">
      <c r="A8" s="26" t="s">
        <v>30</v>
      </c>
      <c r="B8" s="26" t="s">
        <v>31</v>
      </c>
      <c r="C8" s="26" t="s">
        <v>43</v>
      </c>
      <c r="D8" s="26" t="s">
        <v>44</v>
      </c>
      <c r="E8" s="27">
        <v>949439.99999999977</v>
      </c>
      <c r="F8" s="28">
        <v>370281.6</v>
      </c>
      <c r="M8" s="171" t="s">
        <v>77</v>
      </c>
      <c r="N8">
        <v>43691989.259663999</v>
      </c>
      <c r="O8" s="171" t="s">
        <v>77</v>
      </c>
      <c r="P8" s="173">
        <v>18360238.572212499</v>
      </c>
    </row>
    <row r="9" spans="1:16" x14ac:dyDescent="0.25">
      <c r="A9" s="26" t="s">
        <v>30</v>
      </c>
      <c r="B9" s="26" t="s">
        <v>31</v>
      </c>
      <c r="C9" s="26" t="s">
        <v>45</v>
      </c>
      <c r="D9" s="26" t="s">
        <v>46</v>
      </c>
      <c r="E9" s="27">
        <v>2870400</v>
      </c>
      <c r="F9" s="28">
        <v>485928</v>
      </c>
      <c r="M9" s="172" t="s">
        <v>46</v>
      </c>
      <c r="N9">
        <v>5101615.1283840006</v>
      </c>
      <c r="O9" s="172" t="s">
        <v>46</v>
      </c>
      <c r="P9" s="173">
        <v>1966843.1483567103</v>
      </c>
    </row>
    <row r="10" spans="1:16" x14ac:dyDescent="0.25">
      <c r="A10" s="26" t="s">
        <v>30</v>
      </c>
      <c r="B10" s="26" t="s">
        <v>31</v>
      </c>
      <c r="C10" s="26" t="s">
        <v>47</v>
      </c>
      <c r="D10" s="26" t="s">
        <v>37</v>
      </c>
      <c r="E10" s="27">
        <v>2633040</v>
      </c>
      <c r="F10" s="28">
        <v>987390</v>
      </c>
      <c r="M10" s="172" t="s">
        <v>51</v>
      </c>
      <c r="N10">
        <v>1876149</v>
      </c>
      <c r="O10" s="172" t="s">
        <v>51</v>
      </c>
      <c r="P10" s="173">
        <v>1120808.48</v>
      </c>
    </row>
    <row r="11" spans="1:16" x14ac:dyDescent="0.25">
      <c r="A11" s="26" t="s">
        <v>30</v>
      </c>
      <c r="B11" s="26" t="s">
        <v>31</v>
      </c>
      <c r="C11" s="26" t="s">
        <v>48</v>
      </c>
      <c r="D11" s="26" t="s">
        <v>37</v>
      </c>
      <c r="E11" s="27">
        <v>1489185.5999999999</v>
      </c>
      <c r="F11" s="28">
        <v>547275.70799999998</v>
      </c>
      <c r="M11" s="172" t="s">
        <v>56</v>
      </c>
      <c r="N11">
        <v>3677479.8292800002</v>
      </c>
      <c r="O11" s="172" t="s">
        <v>56</v>
      </c>
      <c r="P11" s="173">
        <v>1430605.3744422002</v>
      </c>
    </row>
    <row r="12" spans="1:16" x14ac:dyDescent="0.25">
      <c r="A12" s="26" t="s">
        <v>49</v>
      </c>
      <c r="B12" s="26" t="s">
        <v>31</v>
      </c>
      <c r="C12" s="26" t="s">
        <v>32</v>
      </c>
      <c r="D12" s="26" t="s">
        <v>35</v>
      </c>
      <c r="E12" s="28">
        <v>1604664</v>
      </c>
      <c r="F12" s="28">
        <v>613783.98</v>
      </c>
      <c r="M12" s="172" t="s">
        <v>44</v>
      </c>
      <c r="N12">
        <v>6231262.6043999996</v>
      </c>
      <c r="O12" s="172" t="s">
        <v>44</v>
      </c>
      <c r="P12" s="173">
        <v>2651144.1179616898</v>
      </c>
    </row>
    <row r="13" spans="1:16" x14ac:dyDescent="0.25">
      <c r="A13" s="26" t="s">
        <v>49</v>
      </c>
      <c r="B13" s="26" t="s">
        <v>31</v>
      </c>
      <c r="C13" s="26" t="s">
        <v>34</v>
      </c>
      <c r="D13" s="26" t="s">
        <v>44</v>
      </c>
      <c r="E13" s="28">
        <v>1221852</v>
      </c>
      <c r="F13" s="28">
        <v>471940.33500000002</v>
      </c>
      <c r="M13" s="172" t="s">
        <v>33</v>
      </c>
      <c r="N13">
        <v>6009952.8323199991</v>
      </c>
      <c r="O13" s="172" t="s">
        <v>33</v>
      </c>
      <c r="P13" s="173">
        <v>2633624.871917</v>
      </c>
    </row>
    <row r="14" spans="1:16" x14ac:dyDescent="0.25">
      <c r="A14" s="26" t="s">
        <v>49</v>
      </c>
      <c r="B14" s="26" t="s">
        <v>31</v>
      </c>
      <c r="C14" s="26" t="s">
        <v>36</v>
      </c>
      <c r="D14" s="26" t="s">
        <v>35</v>
      </c>
      <c r="E14" s="28">
        <v>970140</v>
      </c>
      <c r="F14" s="28">
        <v>363802.5</v>
      </c>
      <c r="M14" s="172" t="s">
        <v>50</v>
      </c>
      <c r="N14">
        <v>9852034.9176000003</v>
      </c>
      <c r="O14" s="172" t="s">
        <v>50</v>
      </c>
      <c r="P14" s="173">
        <v>3770680.7791324998</v>
      </c>
    </row>
    <row r="15" spans="1:16" x14ac:dyDescent="0.25">
      <c r="A15" s="26" t="s">
        <v>49</v>
      </c>
      <c r="B15" s="26" t="s">
        <v>31</v>
      </c>
      <c r="C15" s="26" t="s">
        <v>38</v>
      </c>
      <c r="D15" s="26" t="s">
        <v>44</v>
      </c>
      <c r="E15" s="28">
        <v>1693812</v>
      </c>
      <c r="F15" s="28">
        <v>616124.11499999999</v>
      </c>
      <c r="M15" s="172" t="s">
        <v>65</v>
      </c>
      <c r="N15">
        <v>790759</v>
      </c>
      <c r="O15" s="172" t="s">
        <v>65</v>
      </c>
      <c r="P15" s="173">
        <v>442825.04</v>
      </c>
    </row>
    <row r="16" spans="1:16" x14ac:dyDescent="0.25">
      <c r="A16" s="26" t="s">
        <v>49</v>
      </c>
      <c r="B16" s="26" t="s">
        <v>31</v>
      </c>
      <c r="C16" s="26" t="s">
        <v>39</v>
      </c>
      <c r="D16" s="26" t="s">
        <v>40</v>
      </c>
      <c r="E16" s="28">
        <v>1997688.0000000002</v>
      </c>
      <c r="F16" s="28">
        <v>756624.33000000007</v>
      </c>
      <c r="M16" s="172" t="s">
        <v>37</v>
      </c>
      <c r="N16">
        <v>2701192.4079999998</v>
      </c>
      <c r="O16" s="172" t="s">
        <v>37</v>
      </c>
      <c r="P16" s="173">
        <v>1387952.327</v>
      </c>
    </row>
    <row r="17" spans="1:16" x14ac:dyDescent="0.25">
      <c r="A17" s="26" t="s">
        <v>49</v>
      </c>
      <c r="B17" s="26" t="s">
        <v>31</v>
      </c>
      <c r="C17" s="26" t="s">
        <v>41</v>
      </c>
      <c r="D17" s="26" t="s">
        <v>35</v>
      </c>
      <c r="E17" s="28">
        <v>1919304</v>
      </c>
      <c r="F17" s="28">
        <v>719739</v>
      </c>
      <c r="M17" s="172" t="s">
        <v>64</v>
      </c>
      <c r="N17">
        <v>1800609.52104</v>
      </c>
      <c r="O17" s="172" t="s">
        <v>64</v>
      </c>
      <c r="P17" s="173">
        <v>680957.78250240011</v>
      </c>
    </row>
    <row r="18" spans="1:16" x14ac:dyDescent="0.25">
      <c r="A18" s="26" t="s">
        <v>49</v>
      </c>
      <c r="B18" s="26" t="s">
        <v>31</v>
      </c>
      <c r="C18" s="26" t="s">
        <v>43</v>
      </c>
      <c r="D18" s="26" t="s">
        <v>50</v>
      </c>
      <c r="E18" s="28">
        <v>916320</v>
      </c>
      <c r="F18" s="28">
        <v>347056.2</v>
      </c>
      <c r="M18" s="172" t="s">
        <v>42</v>
      </c>
      <c r="N18">
        <v>3373101.2879999997</v>
      </c>
      <c r="O18" s="172" t="s">
        <v>42</v>
      </c>
      <c r="P18" s="173">
        <v>1443817.217928</v>
      </c>
    </row>
    <row r="19" spans="1:16" x14ac:dyDescent="0.25">
      <c r="A19" s="26" t="s">
        <v>49</v>
      </c>
      <c r="B19" s="26" t="s">
        <v>31</v>
      </c>
      <c r="C19" s="26" t="s">
        <v>45</v>
      </c>
      <c r="D19" s="26" t="s">
        <v>37</v>
      </c>
      <c r="E19" s="28">
        <v>3157440</v>
      </c>
      <c r="F19" s="28">
        <v>1148518.8</v>
      </c>
      <c r="M19" s="172" t="s">
        <v>35</v>
      </c>
      <c r="N19">
        <v>2277832.7306400002</v>
      </c>
      <c r="O19" s="172" t="s">
        <v>35</v>
      </c>
      <c r="P19" s="173">
        <v>830979.43297199998</v>
      </c>
    </row>
    <row r="20" spans="1:16" x14ac:dyDescent="0.25">
      <c r="A20" s="26" t="s">
        <v>49</v>
      </c>
      <c r="B20" s="26" t="s">
        <v>31</v>
      </c>
      <c r="C20" s="26" t="s">
        <v>47</v>
      </c>
      <c r="D20" s="26" t="s">
        <v>51</v>
      </c>
      <c r="E20" s="28">
        <v>2501388</v>
      </c>
      <c r="F20" s="28">
        <v>947400.70499999996</v>
      </c>
      <c r="M20" s="171" t="s">
        <v>52</v>
      </c>
      <c r="N20">
        <v>58323815.856000006</v>
      </c>
      <c r="O20" s="171" t="s">
        <v>52</v>
      </c>
      <c r="P20" s="173">
        <v>27230219.125499997</v>
      </c>
    </row>
    <row r="21" spans="1:16" x14ac:dyDescent="0.25">
      <c r="A21" s="26" t="s">
        <v>49</v>
      </c>
      <c r="B21" s="26" t="s">
        <v>31</v>
      </c>
      <c r="C21" s="26" t="s">
        <v>48</v>
      </c>
      <c r="D21" s="26" t="s">
        <v>46</v>
      </c>
      <c r="E21" s="28">
        <v>1638104.16</v>
      </c>
      <c r="F21" s="28">
        <v>608146.16940000001</v>
      </c>
      <c r="M21" s="172" t="s">
        <v>46</v>
      </c>
      <c r="N21">
        <v>8294871.3999999994</v>
      </c>
      <c r="O21" s="172" t="s">
        <v>46</v>
      </c>
      <c r="P21" s="173">
        <v>3437188.1090000002</v>
      </c>
    </row>
    <row r="22" spans="1:16" x14ac:dyDescent="0.25">
      <c r="A22" s="26" t="s">
        <v>30</v>
      </c>
      <c r="B22" s="26" t="s">
        <v>52</v>
      </c>
      <c r="C22" s="26" t="s">
        <v>53</v>
      </c>
      <c r="D22" s="26" t="s">
        <v>46</v>
      </c>
      <c r="E22" s="27">
        <v>1706011.2</v>
      </c>
      <c r="F22" s="28">
        <v>633356.65800000005</v>
      </c>
      <c r="M22" s="172" t="s">
        <v>51</v>
      </c>
      <c r="N22">
        <v>7008619.2560000001</v>
      </c>
      <c r="O22" s="172" t="s">
        <v>51</v>
      </c>
      <c r="P22" s="173">
        <v>3281680.466</v>
      </c>
    </row>
    <row r="23" spans="1:16" x14ac:dyDescent="0.25">
      <c r="A23" s="26" t="s">
        <v>30</v>
      </c>
      <c r="B23" s="26" t="s">
        <v>52</v>
      </c>
      <c r="C23" s="26" t="s">
        <v>54</v>
      </c>
      <c r="D23" s="26" t="s">
        <v>37</v>
      </c>
      <c r="E23" s="27">
        <v>1414776</v>
      </c>
      <c r="F23" s="28">
        <v>519930.18</v>
      </c>
      <c r="M23" s="172" t="s">
        <v>56</v>
      </c>
      <c r="N23">
        <v>6993268.4000000004</v>
      </c>
      <c r="O23" s="172" t="s">
        <v>56</v>
      </c>
      <c r="P23" s="173">
        <v>3211104.608</v>
      </c>
    </row>
    <row r="24" spans="1:16" x14ac:dyDescent="0.25">
      <c r="A24" s="26" t="s">
        <v>30</v>
      </c>
      <c r="B24" s="26" t="s">
        <v>52</v>
      </c>
      <c r="C24" s="26" t="s">
        <v>55</v>
      </c>
      <c r="D24" s="26" t="s">
        <v>56</v>
      </c>
      <c r="E24" s="27">
        <v>1123320</v>
      </c>
      <c r="F24" s="28">
        <v>412820.10000000003</v>
      </c>
      <c r="M24" s="172" t="s">
        <v>44</v>
      </c>
      <c r="N24">
        <v>6093492.7999999998</v>
      </c>
      <c r="O24" s="172" t="s">
        <v>44</v>
      </c>
      <c r="P24" s="173">
        <v>2833366.59</v>
      </c>
    </row>
    <row r="25" spans="1:16" x14ac:dyDescent="0.25">
      <c r="A25" s="26" t="s">
        <v>30</v>
      </c>
      <c r="B25" s="26" t="s">
        <v>52</v>
      </c>
      <c r="C25" s="26" t="s">
        <v>57</v>
      </c>
      <c r="D25" s="26" t="s">
        <v>35</v>
      </c>
      <c r="E25" s="27">
        <v>1800789.5999999999</v>
      </c>
      <c r="F25" s="28">
        <v>1625037.2169999999</v>
      </c>
      <c r="M25" s="172" t="s">
        <v>33</v>
      </c>
      <c r="N25">
        <v>4428883.68</v>
      </c>
      <c r="O25" s="172" t="s">
        <v>33</v>
      </c>
      <c r="P25" s="173">
        <v>1650561.4476000001</v>
      </c>
    </row>
    <row r="26" spans="1:16" x14ac:dyDescent="0.25">
      <c r="A26" s="26" t="s">
        <v>30</v>
      </c>
      <c r="B26" s="26" t="s">
        <v>52</v>
      </c>
      <c r="C26" s="26" t="s">
        <v>58</v>
      </c>
      <c r="D26" s="26" t="s">
        <v>51</v>
      </c>
      <c r="E26" s="27">
        <v>2379064.7999999998</v>
      </c>
      <c r="F26" s="28">
        <v>892149.3</v>
      </c>
      <c r="M26" s="172" t="s">
        <v>65</v>
      </c>
      <c r="N26">
        <v>2565014</v>
      </c>
      <c r="O26" s="172" t="s">
        <v>65</v>
      </c>
      <c r="P26" s="173">
        <v>1290167.49</v>
      </c>
    </row>
    <row r="27" spans="1:16" x14ac:dyDescent="0.25">
      <c r="A27" s="26" t="s">
        <v>30</v>
      </c>
      <c r="B27" s="26" t="s">
        <v>52</v>
      </c>
      <c r="C27" s="26" t="s">
        <v>59</v>
      </c>
      <c r="D27" s="26" t="s">
        <v>46</v>
      </c>
      <c r="E27" s="27">
        <v>2040523.2</v>
      </c>
      <c r="F27" s="28">
        <v>788152.08600000013</v>
      </c>
      <c r="M27" s="172" t="s">
        <v>37</v>
      </c>
      <c r="N27">
        <v>7179023.1999999993</v>
      </c>
      <c r="O27" s="172" t="s">
        <v>37</v>
      </c>
      <c r="P27" s="173">
        <v>3281364.4530000002</v>
      </c>
    </row>
    <row r="28" spans="1:16" x14ac:dyDescent="0.25">
      <c r="A28" s="26" t="s">
        <v>30</v>
      </c>
      <c r="B28" s="26" t="s">
        <v>52</v>
      </c>
      <c r="C28" s="26" t="s">
        <v>60</v>
      </c>
      <c r="D28" s="26" t="s">
        <v>44</v>
      </c>
      <c r="E28" s="27">
        <v>958934.39999999979</v>
      </c>
      <c r="F28" s="28">
        <v>366792.408</v>
      </c>
      <c r="M28" s="172" t="s">
        <v>64</v>
      </c>
      <c r="N28">
        <v>1344037.2</v>
      </c>
      <c r="O28" s="172" t="s">
        <v>64</v>
      </c>
      <c r="P28" s="173">
        <v>509054.0895</v>
      </c>
    </row>
    <row r="29" spans="1:16" x14ac:dyDescent="0.25">
      <c r="A29" s="26" t="s">
        <v>30</v>
      </c>
      <c r="B29" s="26" t="s">
        <v>52</v>
      </c>
      <c r="C29" s="26" t="s">
        <v>61</v>
      </c>
      <c r="D29" s="26" t="s">
        <v>33</v>
      </c>
      <c r="E29" s="27">
        <v>2899104</v>
      </c>
      <c r="F29" s="28">
        <v>1065420.72</v>
      </c>
      <c r="M29" s="172" t="s">
        <v>40</v>
      </c>
      <c r="N29">
        <v>2046879</v>
      </c>
      <c r="O29" s="172" t="s">
        <v>40</v>
      </c>
      <c r="P29" s="173">
        <v>1216786.08</v>
      </c>
    </row>
    <row r="30" spans="1:16" x14ac:dyDescent="0.25">
      <c r="A30" s="26" t="s">
        <v>30</v>
      </c>
      <c r="B30" s="26" t="s">
        <v>52</v>
      </c>
      <c r="C30" s="26" t="s">
        <v>62</v>
      </c>
      <c r="D30" s="26" t="s">
        <v>44</v>
      </c>
      <c r="E30" s="27">
        <v>2659370.4</v>
      </c>
      <c r="F30" s="28">
        <v>977318.62199999997</v>
      </c>
      <c r="M30" s="172" t="s">
        <v>42</v>
      </c>
      <c r="N30">
        <v>6000918.9199999999</v>
      </c>
      <c r="O30" s="172" t="s">
        <v>42</v>
      </c>
      <c r="P30" s="173">
        <v>2641293.6494</v>
      </c>
    </row>
    <row r="31" spans="1:16" x14ac:dyDescent="0.25">
      <c r="A31" s="26" t="s">
        <v>30</v>
      </c>
      <c r="B31" s="26" t="s">
        <v>52</v>
      </c>
      <c r="C31" s="26" t="s">
        <v>63</v>
      </c>
      <c r="D31" s="26" t="s">
        <v>51</v>
      </c>
      <c r="E31" s="27">
        <v>1504077.456</v>
      </c>
      <c r="F31" s="28">
        <v>564029.04600000009</v>
      </c>
      <c r="M31" s="172" t="s">
        <v>35</v>
      </c>
      <c r="N31">
        <v>6368808</v>
      </c>
      <c r="O31" s="172" t="s">
        <v>35</v>
      </c>
      <c r="P31" s="173">
        <v>3877652.1429999992</v>
      </c>
    </row>
    <row r="32" spans="1:16" x14ac:dyDescent="0.25">
      <c r="A32" s="26" t="s">
        <v>49</v>
      </c>
      <c r="B32" s="26" t="s">
        <v>52</v>
      </c>
      <c r="C32" s="26" t="s">
        <v>53</v>
      </c>
      <c r="D32" s="26" t="s">
        <v>42</v>
      </c>
      <c r="E32" s="28">
        <v>1620710.64</v>
      </c>
      <c r="F32" s="28">
        <v>595611.16019999993</v>
      </c>
      <c r="M32" s="171" t="s">
        <v>66</v>
      </c>
      <c r="N32">
        <v>54963395.5044</v>
      </c>
      <c r="O32" s="171" t="s">
        <v>66</v>
      </c>
      <c r="P32" s="173">
        <v>24385488.978939001</v>
      </c>
    </row>
    <row r="33" spans="1:16" x14ac:dyDescent="0.25">
      <c r="A33" s="26" t="s">
        <v>49</v>
      </c>
      <c r="B33" s="26" t="s">
        <v>52</v>
      </c>
      <c r="C33" s="26" t="s">
        <v>54</v>
      </c>
      <c r="D33" s="26" t="s">
        <v>64</v>
      </c>
      <c r="E33" s="28">
        <v>1344037.2</v>
      </c>
      <c r="F33" s="28">
        <v>509054.0895</v>
      </c>
      <c r="M33" s="172" t="s">
        <v>46</v>
      </c>
      <c r="N33">
        <v>1280584.8</v>
      </c>
      <c r="O33" s="172" t="s">
        <v>46</v>
      </c>
      <c r="P33" s="173">
        <v>480219.3</v>
      </c>
    </row>
    <row r="34" spans="1:16" x14ac:dyDescent="0.25">
      <c r="A34" s="26" t="s">
        <v>49</v>
      </c>
      <c r="B34" s="26" t="s">
        <v>52</v>
      </c>
      <c r="C34" s="26" t="s">
        <v>55</v>
      </c>
      <c r="D34" s="26" t="s">
        <v>65</v>
      </c>
      <c r="E34" s="28">
        <v>1164167.9999999998</v>
      </c>
      <c r="F34" s="28">
        <v>449659.88999999996</v>
      </c>
      <c r="M34" s="172" t="s">
        <v>51</v>
      </c>
      <c r="N34">
        <v>6510267.4960000003</v>
      </c>
      <c r="O34" s="172" t="s">
        <v>51</v>
      </c>
      <c r="P34" s="173">
        <v>3364765.06917</v>
      </c>
    </row>
    <row r="35" spans="1:16" x14ac:dyDescent="0.25">
      <c r="A35" s="26" t="s">
        <v>49</v>
      </c>
      <c r="B35" s="26" t="s">
        <v>52</v>
      </c>
      <c r="C35" s="26" t="s">
        <v>57</v>
      </c>
      <c r="D35" s="26" t="s">
        <v>35</v>
      </c>
      <c r="E35" s="28">
        <v>1711586.4</v>
      </c>
      <c r="F35" s="28">
        <v>667518.696</v>
      </c>
      <c r="M35" s="172" t="s">
        <v>56</v>
      </c>
      <c r="N35">
        <v>2753914.3119999999</v>
      </c>
      <c r="O35" s="172" t="s">
        <v>56</v>
      </c>
      <c r="P35" s="173">
        <v>1262042.93716</v>
      </c>
    </row>
    <row r="36" spans="1:16" x14ac:dyDescent="0.25">
      <c r="A36" s="26" t="s">
        <v>49</v>
      </c>
      <c r="B36" s="26" t="s">
        <v>52</v>
      </c>
      <c r="C36" s="26" t="s">
        <v>58</v>
      </c>
      <c r="D36" s="26" t="s">
        <v>42</v>
      </c>
      <c r="E36" s="28">
        <v>2616971.2800000003</v>
      </c>
      <c r="F36" s="28">
        <v>1020618.7992000002</v>
      </c>
      <c r="M36" s="172" t="s">
        <v>33</v>
      </c>
      <c r="N36">
        <v>7250356.8159999996</v>
      </c>
      <c r="O36" s="172" t="s">
        <v>33</v>
      </c>
      <c r="P36" s="173">
        <v>3199469.75116</v>
      </c>
    </row>
    <row r="37" spans="1:16" x14ac:dyDescent="0.25">
      <c r="A37" s="26" t="s">
        <v>49</v>
      </c>
      <c r="B37" s="26" t="s">
        <v>52</v>
      </c>
      <c r="C37" s="26" t="s">
        <v>59</v>
      </c>
      <c r="D37" s="26" t="s">
        <v>46</v>
      </c>
      <c r="E37" s="28">
        <v>2224504.7999999998</v>
      </c>
      <c r="F37" s="28">
        <v>859214.97900000005</v>
      </c>
      <c r="M37" s="172" t="s">
        <v>50</v>
      </c>
      <c r="N37">
        <v>5578666.4287999999</v>
      </c>
      <c r="O37" s="172" t="s">
        <v>50</v>
      </c>
      <c r="P37" s="173">
        <v>2271965.6424280005</v>
      </c>
    </row>
    <row r="38" spans="1:16" x14ac:dyDescent="0.25">
      <c r="A38" s="26" t="s">
        <v>49</v>
      </c>
      <c r="B38" s="26" t="s">
        <v>52</v>
      </c>
      <c r="C38" s="26" t="s">
        <v>60</v>
      </c>
      <c r="D38" s="26" t="s">
        <v>46</v>
      </c>
      <c r="E38" s="28">
        <v>833851.2</v>
      </c>
      <c r="F38" s="28">
        <v>322075.02600000001</v>
      </c>
      <c r="M38" s="172" t="s">
        <v>65</v>
      </c>
      <c r="N38">
        <v>6651138.3704000004</v>
      </c>
      <c r="O38" s="172" t="s">
        <v>65</v>
      </c>
      <c r="P38" s="173">
        <v>3210814.0851130001</v>
      </c>
    </row>
    <row r="39" spans="1:16" x14ac:dyDescent="0.25">
      <c r="A39" s="26" t="s">
        <v>49</v>
      </c>
      <c r="B39" s="26" t="s">
        <v>52</v>
      </c>
      <c r="C39" s="26" t="s">
        <v>61</v>
      </c>
      <c r="D39" s="26" t="s">
        <v>56</v>
      </c>
      <c r="E39" s="28">
        <v>3189014.4</v>
      </c>
      <c r="F39" s="28">
        <v>1219798.0080000001</v>
      </c>
      <c r="M39" s="172" t="s">
        <v>37</v>
      </c>
      <c r="N39">
        <v>6065185.2332000006</v>
      </c>
      <c r="O39" s="172" t="s">
        <v>37</v>
      </c>
      <c r="P39" s="173">
        <v>2452241.858858</v>
      </c>
    </row>
    <row r="40" spans="1:16" x14ac:dyDescent="0.25">
      <c r="A40" s="26" t="s">
        <v>49</v>
      </c>
      <c r="B40" s="26" t="s">
        <v>52</v>
      </c>
      <c r="C40" s="26" t="s">
        <v>62</v>
      </c>
      <c r="D40" s="26" t="s">
        <v>37</v>
      </c>
      <c r="E40" s="28">
        <v>2737423.1999999997</v>
      </c>
      <c r="F40" s="28">
        <v>1016268.363</v>
      </c>
      <c r="M40" s="172" t="s">
        <v>64</v>
      </c>
      <c r="N40">
        <v>2635285.5360000003</v>
      </c>
      <c r="O40" s="172" t="s">
        <v>64</v>
      </c>
      <c r="P40" s="173">
        <v>968467.43448000005</v>
      </c>
    </row>
    <row r="41" spans="1:16" x14ac:dyDescent="0.25">
      <c r="A41" s="26" t="s">
        <v>49</v>
      </c>
      <c r="B41" s="26" t="s">
        <v>52</v>
      </c>
      <c r="C41" s="26" t="s">
        <v>63</v>
      </c>
      <c r="D41" s="26" t="s">
        <v>33</v>
      </c>
      <c r="E41" s="28">
        <v>1529779.68</v>
      </c>
      <c r="F41" s="28">
        <v>585140.72759999998</v>
      </c>
      <c r="M41" s="172" t="s">
        <v>40</v>
      </c>
      <c r="N41">
        <v>2112509.2000000002</v>
      </c>
      <c r="O41" s="172" t="s">
        <v>40</v>
      </c>
      <c r="P41" s="173">
        <v>984680.35149999999</v>
      </c>
    </row>
    <row r="42" spans="1:16" x14ac:dyDescent="0.25">
      <c r="A42" s="26" t="s">
        <v>30</v>
      </c>
      <c r="B42" s="26" t="s">
        <v>66</v>
      </c>
      <c r="C42" s="26" t="s">
        <v>67</v>
      </c>
      <c r="D42" s="26" t="s">
        <v>56</v>
      </c>
      <c r="E42" s="27">
        <v>1723071.3119999999</v>
      </c>
      <c r="F42" s="28">
        <v>633228.70715999999</v>
      </c>
      <c r="M42" s="172" t="s">
        <v>42</v>
      </c>
      <c r="N42">
        <v>5431504.432</v>
      </c>
      <c r="O42" s="172" t="s">
        <v>42</v>
      </c>
      <c r="P42" s="173">
        <v>2429648.92857</v>
      </c>
    </row>
    <row r="43" spans="1:16" x14ac:dyDescent="0.25">
      <c r="A43" s="26" t="s">
        <v>30</v>
      </c>
      <c r="B43" s="26" t="s">
        <v>66</v>
      </c>
      <c r="C43" s="26" t="s">
        <v>68</v>
      </c>
      <c r="D43" s="26" t="s">
        <v>35</v>
      </c>
      <c r="E43" s="27">
        <v>1556253.5999999999</v>
      </c>
      <c r="F43" s="28">
        <v>589431.05099999998</v>
      </c>
      <c r="M43" s="172" t="s">
        <v>35</v>
      </c>
      <c r="N43">
        <v>8693982.879999999</v>
      </c>
      <c r="O43" s="172" t="s">
        <v>35</v>
      </c>
      <c r="P43" s="173">
        <v>3761173.6204999997</v>
      </c>
    </row>
    <row r="44" spans="1:16" x14ac:dyDescent="0.25">
      <c r="A44" s="26" t="s">
        <v>30</v>
      </c>
      <c r="B44" s="26" t="s">
        <v>66</v>
      </c>
      <c r="C44" s="26" t="s">
        <v>69</v>
      </c>
      <c r="D44" s="26" t="s">
        <v>46</v>
      </c>
      <c r="E44" s="27">
        <v>1280584.8</v>
      </c>
      <c r="F44" s="28">
        <v>480219.3</v>
      </c>
      <c r="M44" s="171" t="s">
        <v>31</v>
      </c>
      <c r="N44">
        <v>53490175.759999998</v>
      </c>
      <c r="O44" s="171" t="s">
        <v>31</v>
      </c>
      <c r="P44" s="173">
        <v>23416976.862399999</v>
      </c>
    </row>
    <row r="45" spans="1:16" x14ac:dyDescent="0.25">
      <c r="A45" s="26" t="s">
        <v>30</v>
      </c>
      <c r="B45" s="26" t="s">
        <v>66</v>
      </c>
      <c r="C45" s="26" t="s">
        <v>70</v>
      </c>
      <c r="D45" s="26" t="s">
        <v>51</v>
      </c>
      <c r="E45" s="27">
        <v>1818797.496</v>
      </c>
      <c r="F45" s="28">
        <v>661587.58917000005</v>
      </c>
      <c r="M45" s="172" t="s">
        <v>46</v>
      </c>
      <c r="N45">
        <v>6999535.1600000001</v>
      </c>
      <c r="O45" s="172" t="s">
        <v>46</v>
      </c>
      <c r="P45" s="173">
        <v>2592434.2193999998</v>
      </c>
    </row>
    <row r="46" spans="1:16" x14ac:dyDescent="0.25">
      <c r="A46" s="26" t="s">
        <v>30</v>
      </c>
      <c r="B46" s="26" t="s">
        <v>66</v>
      </c>
      <c r="C46" s="26" t="s">
        <v>71</v>
      </c>
      <c r="D46" s="26" t="s">
        <v>37</v>
      </c>
      <c r="E46" s="27">
        <v>2640761.9280000003</v>
      </c>
      <c r="F46" s="28">
        <v>1019994.2946900002</v>
      </c>
      <c r="M46" s="172" t="s">
        <v>51</v>
      </c>
      <c r="N46">
        <v>4774726</v>
      </c>
      <c r="O46" s="172" t="s">
        <v>51</v>
      </c>
      <c r="P46" s="173">
        <v>2330717.3149999999</v>
      </c>
    </row>
    <row r="47" spans="1:16" x14ac:dyDescent="0.25">
      <c r="A47" s="26" t="s">
        <v>30</v>
      </c>
      <c r="B47" s="26" t="s">
        <v>66</v>
      </c>
      <c r="C47" s="26" t="s">
        <v>72</v>
      </c>
      <c r="D47" s="26" t="s">
        <v>37</v>
      </c>
      <c r="E47" s="27">
        <v>2060928.432</v>
      </c>
      <c r="F47" s="28">
        <v>780576.64361999999</v>
      </c>
      <c r="M47" s="172" t="s">
        <v>56</v>
      </c>
      <c r="N47">
        <v>915639</v>
      </c>
      <c r="O47" s="172" t="s">
        <v>56</v>
      </c>
      <c r="P47" s="173">
        <v>576852.56999999995</v>
      </c>
    </row>
    <row r="48" spans="1:16" x14ac:dyDescent="0.25">
      <c r="A48" s="26" t="s">
        <v>30</v>
      </c>
      <c r="B48" s="26" t="s">
        <v>66</v>
      </c>
      <c r="C48" s="26" t="s">
        <v>73</v>
      </c>
      <c r="D48" s="26" t="s">
        <v>65</v>
      </c>
      <c r="E48" s="27">
        <v>872630.30399999989</v>
      </c>
      <c r="F48" s="28">
        <v>340325.81855999999</v>
      </c>
      <c r="M48" s="172" t="s">
        <v>44</v>
      </c>
      <c r="N48">
        <v>4418611</v>
      </c>
      <c r="O48" s="172" t="s">
        <v>44</v>
      </c>
      <c r="P48" s="173">
        <v>1807055.46</v>
      </c>
    </row>
    <row r="49" spans="1:16" x14ac:dyDescent="0.25">
      <c r="A49" s="26" t="s">
        <v>30</v>
      </c>
      <c r="B49" s="26" t="s">
        <v>66</v>
      </c>
      <c r="C49" s="26" t="s">
        <v>74</v>
      </c>
      <c r="D49" s="26" t="s">
        <v>35</v>
      </c>
      <c r="E49" s="27">
        <v>2928095.04</v>
      </c>
      <c r="F49" s="28">
        <v>1076074.9272</v>
      </c>
      <c r="M49" s="172" t="s">
        <v>33</v>
      </c>
      <c r="N49">
        <v>6666854</v>
      </c>
      <c r="O49" s="172" t="s">
        <v>33</v>
      </c>
      <c r="P49" s="173">
        <v>3209464.2800000003</v>
      </c>
    </row>
    <row r="50" spans="1:16" x14ac:dyDescent="0.25">
      <c r="A50" s="26" t="s">
        <v>30</v>
      </c>
      <c r="B50" s="26" t="s">
        <v>66</v>
      </c>
      <c r="C50" s="26" t="s">
        <v>75</v>
      </c>
      <c r="D50" s="26" t="s">
        <v>33</v>
      </c>
      <c r="E50" s="27">
        <v>2685964.1039999998</v>
      </c>
      <c r="F50" s="28">
        <v>1037453.63517</v>
      </c>
      <c r="M50" s="172" t="s">
        <v>50</v>
      </c>
      <c r="N50">
        <v>2118259</v>
      </c>
      <c r="O50" s="172" t="s">
        <v>50</v>
      </c>
      <c r="P50" s="173">
        <v>1008122.6499999999</v>
      </c>
    </row>
    <row r="51" spans="1:16" x14ac:dyDescent="0.25">
      <c r="A51" s="26" t="s">
        <v>30</v>
      </c>
      <c r="B51" s="26" t="s">
        <v>66</v>
      </c>
      <c r="C51" s="26" t="s">
        <v>76</v>
      </c>
      <c r="D51" s="26" t="s">
        <v>33</v>
      </c>
      <c r="E51" s="27">
        <v>909398.74800000002</v>
      </c>
      <c r="F51" s="28">
        <v>354665.51172000007</v>
      </c>
      <c r="M51" s="172" t="s">
        <v>65</v>
      </c>
      <c r="N51">
        <v>3121290</v>
      </c>
      <c r="O51" s="172" t="s">
        <v>65</v>
      </c>
      <c r="P51" s="173">
        <v>1871731.94</v>
      </c>
    </row>
    <row r="52" spans="1:16" x14ac:dyDescent="0.25">
      <c r="A52" s="26" t="s">
        <v>49</v>
      </c>
      <c r="B52" s="26" t="s">
        <v>66</v>
      </c>
      <c r="C52" s="26" t="s">
        <v>67</v>
      </c>
      <c r="D52" s="26" t="s">
        <v>40</v>
      </c>
      <c r="E52" s="28">
        <v>1329685.2</v>
      </c>
      <c r="F52" s="28">
        <v>483672.9915</v>
      </c>
      <c r="M52" s="172" t="s">
        <v>37</v>
      </c>
      <c r="N52">
        <v>9361013.5999999996</v>
      </c>
      <c r="O52" s="172" t="s">
        <v>37</v>
      </c>
      <c r="P52" s="173">
        <v>3670418.8680000002</v>
      </c>
    </row>
    <row r="53" spans="1:16" x14ac:dyDescent="0.25">
      <c r="A53" s="26" t="s">
        <v>49</v>
      </c>
      <c r="B53" s="26" t="s">
        <v>66</v>
      </c>
      <c r="C53" s="26" t="s">
        <v>68</v>
      </c>
      <c r="D53" s="26" t="s">
        <v>35</v>
      </c>
      <c r="E53" s="28">
        <v>1400628.24</v>
      </c>
      <c r="F53" s="28">
        <v>509478.52229999995</v>
      </c>
      <c r="M53" s="172" t="s">
        <v>40</v>
      </c>
      <c r="N53">
        <v>6113688</v>
      </c>
      <c r="O53" s="172" t="s">
        <v>40</v>
      </c>
      <c r="P53" s="173">
        <v>2730893.98</v>
      </c>
    </row>
    <row r="54" spans="1:16" x14ac:dyDescent="0.25">
      <c r="A54" s="26" t="s">
        <v>49</v>
      </c>
      <c r="B54" s="26" t="s">
        <v>66</v>
      </c>
      <c r="C54" s="26" t="s">
        <v>69</v>
      </c>
      <c r="D54" s="26" t="s">
        <v>65</v>
      </c>
      <c r="E54" s="28">
        <v>1152526.3199999998</v>
      </c>
      <c r="F54" s="28">
        <v>427875.39629999996</v>
      </c>
      <c r="M54" s="172" t="s">
        <v>42</v>
      </c>
      <c r="N54">
        <v>2020320</v>
      </c>
      <c r="O54" s="172" t="s">
        <v>42</v>
      </c>
      <c r="P54" s="173">
        <v>765196.2</v>
      </c>
    </row>
    <row r="55" spans="1:16" x14ac:dyDescent="0.25">
      <c r="A55" s="26" t="s">
        <v>49</v>
      </c>
      <c r="B55" s="26" t="s">
        <v>66</v>
      </c>
      <c r="C55" s="26" t="s">
        <v>70</v>
      </c>
      <c r="D55" s="26" t="s">
        <v>65</v>
      </c>
      <c r="E55" s="28">
        <v>1636917.7464000003</v>
      </c>
      <c r="F55" s="28">
        <v>595428.83025300002</v>
      </c>
      <c r="M55" s="172" t="s">
        <v>35</v>
      </c>
      <c r="N55">
        <v>6980240</v>
      </c>
      <c r="O55" s="172" t="s">
        <v>35</v>
      </c>
      <c r="P55" s="173">
        <v>2854089.3800000004</v>
      </c>
    </row>
    <row r="56" spans="1:16" x14ac:dyDescent="0.25">
      <c r="A56" s="26" t="s">
        <v>49</v>
      </c>
      <c r="B56" s="26" t="s">
        <v>66</v>
      </c>
      <c r="C56" s="26" t="s">
        <v>71</v>
      </c>
      <c r="D56" s="26" t="s">
        <v>50</v>
      </c>
      <c r="E56" s="28">
        <v>2376685.7352000005</v>
      </c>
      <c r="F56" s="28">
        <v>864519.43617900019</v>
      </c>
      <c r="M56" s="171" t="s">
        <v>352</v>
      </c>
      <c r="O56" s="171" t="s">
        <v>351</v>
      </c>
      <c r="P56" s="173">
        <v>93392923.539051488</v>
      </c>
    </row>
    <row r="57" spans="1:16" x14ac:dyDescent="0.25">
      <c r="A57" s="26" t="s">
        <v>49</v>
      </c>
      <c r="B57" s="26" t="s">
        <v>66</v>
      </c>
      <c r="C57" s="26" t="s">
        <v>72</v>
      </c>
      <c r="D57" s="26" t="s">
        <v>33</v>
      </c>
      <c r="E57" s="28">
        <v>1320380.9640000002</v>
      </c>
      <c r="F57" s="28">
        <v>485240.00427000009</v>
      </c>
      <c r="M57" s="172" t="s">
        <v>352</v>
      </c>
    </row>
    <row r="58" spans="1:16" x14ac:dyDescent="0.25">
      <c r="A58" s="26" t="s">
        <v>49</v>
      </c>
      <c r="B58" s="26" t="s">
        <v>66</v>
      </c>
      <c r="C58" s="26" t="s">
        <v>73</v>
      </c>
      <c r="D58" s="26" t="s">
        <v>42</v>
      </c>
      <c r="E58" s="28">
        <v>2060928.432</v>
      </c>
      <c r="F58" s="28">
        <v>374831.35856999998</v>
      </c>
      <c r="M58" s="171" t="s">
        <v>351</v>
      </c>
      <c r="N58">
        <v>210469376.38006401</v>
      </c>
    </row>
    <row r="59" spans="1:16" x14ac:dyDescent="0.25">
      <c r="A59" s="26" t="s">
        <v>49</v>
      </c>
      <c r="B59" s="26" t="s">
        <v>66</v>
      </c>
      <c r="C59" s="26" t="s">
        <v>74</v>
      </c>
      <c r="D59" s="26" t="s">
        <v>64</v>
      </c>
      <c r="E59" s="28">
        <v>2635285.5360000003</v>
      </c>
      <c r="F59" s="28">
        <v>968467.43448000005</v>
      </c>
    </row>
    <row r="60" spans="1:16" x14ac:dyDescent="0.25">
      <c r="A60" s="26" t="s">
        <v>49</v>
      </c>
      <c r="B60" s="26" t="s">
        <v>66</v>
      </c>
      <c r="C60" s="26" t="s">
        <v>75</v>
      </c>
      <c r="D60" s="26" t="s">
        <v>50</v>
      </c>
      <c r="E60" s="28">
        <v>2417367.6935999999</v>
      </c>
      <c r="F60" s="28">
        <v>897447.75624899997</v>
      </c>
    </row>
    <row r="61" spans="1:16" x14ac:dyDescent="0.25">
      <c r="A61" s="26" t="s">
        <v>49</v>
      </c>
      <c r="B61" s="26" t="s">
        <v>66</v>
      </c>
      <c r="C61" s="26" t="s">
        <v>76</v>
      </c>
      <c r="D61" s="26" t="s">
        <v>37</v>
      </c>
      <c r="E61" s="28">
        <v>818458.87320000015</v>
      </c>
      <c r="F61" s="28">
        <v>319198.96054800006</v>
      </c>
    </row>
    <row r="62" spans="1:16" x14ac:dyDescent="0.25">
      <c r="A62" s="26" t="s">
        <v>30</v>
      </c>
      <c r="B62" s="26" t="s">
        <v>77</v>
      </c>
      <c r="C62" s="26" t="s">
        <v>78</v>
      </c>
      <c r="D62" s="26" t="s">
        <v>44</v>
      </c>
      <c r="E62" s="27">
        <v>1636917.7463999998</v>
      </c>
      <c r="F62" s="28">
        <v>614102.61559679988</v>
      </c>
    </row>
    <row r="63" spans="1:16" x14ac:dyDescent="0.25">
      <c r="A63" s="26" t="s">
        <v>30</v>
      </c>
      <c r="B63" s="26" t="s">
        <v>77</v>
      </c>
      <c r="C63" s="26" t="s">
        <v>79</v>
      </c>
      <c r="D63" s="26" t="s">
        <v>50</v>
      </c>
      <c r="E63" s="27">
        <v>1462878.3839999998</v>
      </c>
      <c r="F63" s="28">
        <v>549104.62958999991</v>
      </c>
    </row>
    <row r="64" spans="1:16" x14ac:dyDescent="0.25">
      <c r="A64" s="26" t="s">
        <v>30</v>
      </c>
      <c r="B64" s="26" t="s">
        <v>77</v>
      </c>
      <c r="C64" s="26" t="s">
        <v>80</v>
      </c>
      <c r="D64" s="26" t="s">
        <v>37</v>
      </c>
      <c r="E64" s="27">
        <v>1229361.4080000001</v>
      </c>
      <c r="F64" s="28">
        <v>475417.10699999996</v>
      </c>
    </row>
    <row r="65" spans="1:6" x14ac:dyDescent="0.25">
      <c r="A65" s="26" t="s">
        <v>30</v>
      </c>
      <c r="B65" s="26" t="s">
        <v>77</v>
      </c>
      <c r="C65" s="26" t="s">
        <v>81</v>
      </c>
      <c r="D65" s="26" t="s">
        <v>64</v>
      </c>
      <c r="E65" s="27">
        <v>1800609.52104</v>
      </c>
      <c r="F65" s="28">
        <v>680957.78250240011</v>
      </c>
    </row>
    <row r="66" spans="1:6" x14ac:dyDescent="0.25">
      <c r="A66" s="26" t="s">
        <v>30</v>
      </c>
      <c r="B66" s="26" t="s">
        <v>77</v>
      </c>
      <c r="C66" s="26" t="s">
        <v>82</v>
      </c>
      <c r="D66" s="26" t="s">
        <v>50</v>
      </c>
      <c r="E66" s="27">
        <v>2587946.6894400003</v>
      </c>
      <c r="F66" s="28">
        <v>970579.03711230028</v>
      </c>
    </row>
    <row r="67" spans="1:6" x14ac:dyDescent="0.25">
      <c r="A67" s="26" t="s">
        <v>30</v>
      </c>
      <c r="B67" s="26" t="s">
        <v>77</v>
      </c>
      <c r="C67" s="26" t="s">
        <v>83</v>
      </c>
      <c r="D67" s="26" t="s">
        <v>33</v>
      </c>
      <c r="E67" s="27">
        <v>1957882.0104</v>
      </c>
      <c r="F67" s="28">
        <v>756772.92023040005</v>
      </c>
    </row>
    <row r="68" spans="1:6" x14ac:dyDescent="0.25">
      <c r="A68" s="26" t="s">
        <v>30</v>
      </c>
      <c r="B68" s="26" t="s">
        <v>77</v>
      </c>
      <c r="C68" s="26" t="s">
        <v>84</v>
      </c>
      <c r="D68" s="26" t="s">
        <v>50</v>
      </c>
      <c r="E68" s="27">
        <v>820272.48575999984</v>
      </c>
      <c r="F68" s="28">
        <v>323767.65854160005</v>
      </c>
    </row>
    <row r="69" spans="1:6" x14ac:dyDescent="0.25">
      <c r="A69" s="26" t="s">
        <v>30</v>
      </c>
      <c r="B69" s="26" t="s">
        <v>77</v>
      </c>
      <c r="C69" s="26" t="s">
        <v>85</v>
      </c>
      <c r="D69" s="26" t="s">
        <v>42</v>
      </c>
      <c r="E69" s="27">
        <v>2781690.2879999997</v>
      </c>
      <c r="F69" s="28">
        <v>1065314.177928</v>
      </c>
    </row>
    <row r="70" spans="1:6" x14ac:dyDescent="0.25">
      <c r="A70" s="26" t="s">
        <v>30</v>
      </c>
      <c r="B70" s="26" t="s">
        <v>77</v>
      </c>
      <c r="C70" s="26" t="s">
        <v>86</v>
      </c>
      <c r="D70" s="26" t="s">
        <v>33</v>
      </c>
      <c r="E70" s="27">
        <v>2632244.8219199996</v>
      </c>
      <c r="F70" s="28">
        <v>996559.8316866</v>
      </c>
    </row>
    <row r="71" spans="1:6" x14ac:dyDescent="0.25">
      <c r="A71" s="26" t="s">
        <v>30</v>
      </c>
      <c r="B71" s="26" t="s">
        <v>77</v>
      </c>
      <c r="C71" s="26" t="s">
        <v>87</v>
      </c>
      <c r="D71" s="26" t="s">
        <v>35</v>
      </c>
      <c r="E71" s="27">
        <v>891210.77304</v>
      </c>
      <c r="F71" s="28">
        <v>327383.54928000004</v>
      </c>
    </row>
    <row r="72" spans="1:6" x14ac:dyDescent="0.25">
      <c r="A72" s="26" t="s">
        <v>49</v>
      </c>
      <c r="B72" s="26" t="s">
        <v>77</v>
      </c>
      <c r="C72" s="26" t="s">
        <v>78</v>
      </c>
      <c r="D72" s="26" t="s">
        <v>50</v>
      </c>
      <c r="E72" s="28">
        <v>1316388.348</v>
      </c>
      <c r="F72" s="28">
        <v>493545.90411</v>
      </c>
    </row>
    <row r="73" spans="1:6" x14ac:dyDescent="0.25">
      <c r="A73" s="26" t="s">
        <v>49</v>
      </c>
      <c r="B73" s="26" t="s">
        <v>77</v>
      </c>
      <c r="C73" s="26" t="s">
        <v>79</v>
      </c>
      <c r="D73" s="26" t="s">
        <v>35</v>
      </c>
      <c r="E73" s="28">
        <v>1386621.9576000001</v>
      </c>
      <c r="F73" s="28">
        <v>503595.88369199994</v>
      </c>
    </row>
    <row r="74" spans="1:6" x14ac:dyDescent="0.25">
      <c r="A74" s="26" t="s">
        <v>49</v>
      </c>
      <c r="B74" s="26" t="s">
        <v>77</v>
      </c>
      <c r="C74" s="26" t="s">
        <v>80</v>
      </c>
      <c r="D74" s="26" t="s">
        <v>56</v>
      </c>
      <c r="E74" s="28">
        <v>1094900.0039999997</v>
      </c>
      <c r="F74" s="28">
        <v>422905.12654499995</v>
      </c>
    </row>
    <row r="75" spans="1:6" x14ac:dyDescent="0.25">
      <c r="A75" s="26" t="s">
        <v>49</v>
      </c>
      <c r="B75" s="26" t="s">
        <v>77</v>
      </c>
      <c r="C75" s="26" t="s">
        <v>81</v>
      </c>
      <c r="D75" s="26" t="s">
        <v>46</v>
      </c>
      <c r="E75" s="28">
        <v>1555071.8590800003</v>
      </c>
      <c r="F75" s="28">
        <v>589474.54195047007</v>
      </c>
    </row>
    <row r="76" spans="1:6" x14ac:dyDescent="0.25">
      <c r="A76" s="26" t="s">
        <v>49</v>
      </c>
      <c r="B76" s="26" t="s">
        <v>77</v>
      </c>
      <c r="C76" s="26" t="s">
        <v>82</v>
      </c>
      <c r="D76" s="26" t="s">
        <v>46</v>
      </c>
      <c r="E76" s="28">
        <v>2305385.1631440003</v>
      </c>
      <c r="F76" s="28">
        <v>872719.00196544023</v>
      </c>
    </row>
    <row r="77" spans="1:6" x14ac:dyDescent="0.25">
      <c r="A77" s="26" t="s">
        <v>49</v>
      </c>
      <c r="B77" s="26" t="s">
        <v>77</v>
      </c>
      <c r="C77" s="26" t="s">
        <v>83</v>
      </c>
      <c r="D77" s="26" t="s">
        <v>46</v>
      </c>
      <c r="E77" s="28">
        <v>1241158.10616</v>
      </c>
      <c r="F77" s="28">
        <v>504649.60444080009</v>
      </c>
    </row>
    <row r="78" spans="1:6" x14ac:dyDescent="0.25">
      <c r="A78" s="26" t="s">
        <v>49</v>
      </c>
      <c r="B78" s="26" t="s">
        <v>77</v>
      </c>
      <c r="C78" s="26" t="s">
        <v>84</v>
      </c>
      <c r="D78" s="26" t="s">
        <v>50</v>
      </c>
      <c r="E78" s="28">
        <v>1957882.0104</v>
      </c>
      <c r="F78" s="28">
        <v>359606.24977859994</v>
      </c>
    </row>
    <row r="79" spans="1:6" x14ac:dyDescent="0.25">
      <c r="A79" s="26" t="s">
        <v>49</v>
      </c>
      <c r="B79" s="26" t="s">
        <v>77</v>
      </c>
      <c r="C79" s="26" t="s">
        <v>85</v>
      </c>
      <c r="D79" s="26" t="s">
        <v>56</v>
      </c>
      <c r="E79" s="28">
        <v>2582579.8252800005</v>
      </c>
      <c r="F79" s="28">
        <v>1007700.2478972002</v>
      </c>
    </row>
    <row r="80" spans="1:6" x14ac:dyDescent="0.25">
      <c r="A80" s="26" t="s">
        <v>49</v>
      </c>
      <c r="B80" s="26" t="s">
        <v>77</v>
      </c>
      <c r="C80" s="26" t="s">
        <v>86</v>
      </c>
      <c r="D80" s="26" t="s">
        <v>44</v>
      </c>
      <c r="E80" s="28">
        <v>2369020.3397279996</v>
      </c>
      <c r="F80" s="28">
        <v>887657.41708991991</v>
      </c>
    </row>
    <row r="81" spans="1:6" x14ac:dyDescent="0.25">
      <c r="A81" s="26" t="s">
        <v>49</v>
      </c>
      <c r="B81" s="26" t="s">
        <v>77</v>
      </c>
      <c r="C81" s="26" t="s">
        <v>87</v>
      </c>
      <c r="D81" s="26" t="s">
        <v>44</v>
      </c>
      <c r="E81" s="28">
        <v>785720.51827200013</v>
      </c>
      <c r="F81" s="28">
        <v>285621.68527497002</v>
      </c>
    </row>
    <row r="82" spans="1:6" x14ac:dyDescent="0.25">
      <c r="A82" s="26" t="s">
        <v>30</v>
      </c>
      <c r="B82" s="26" t="s">
        <v>31</v>
      </c>
      <c r="C82" s="26" t="s">
        <v>32</v>
      </c>
      <c r="D82" s="26" t="s">
        <v>51</v>
      </c>
      <c r="E82" s="27">
        <v>523059</v>
      </c>
      <c r="F82" s="28">
        <v>298143.63</v>
      </c>
    </row>
    <row r="83" spans="1:6" x14ac:dyDescent="0.25">
      <c r="A83" s="26" t="s">
        <v>30</v>
      </c>
      <c r="B83" s="26" t="s">
        <v>31</v>
      </c>
      <c r="C83" s="26" t="s">
        <v>34</v>
      </c>
      <c r="D83" s="26" t="s">
        <v>46</v>
      </c>
      <c r="E83" s="27">
        <v>592200</v>
      </c>
      <c r="F83" s="28">
        <v>367164</v>
      </c>
    </row>
    <row r="84" spans="1:6" x14ac:dyDescent="0.25">
      <c r="A84" s="26" t="s">
        <v>30</v>
      </c>
      <c r="B84" s="26" t="s">
        <v>31</v>
      </c>
      <c r="C84" s="26" t="s">
        <v>36</v>
      </c>
      <c r="D84" s="26" t="s">
        <v>40</v>
      </c>
      <c r="E84" s="27">
        <v>1349435</v>
      </c>
      <c r="F84" s="28">
        <v>782672.3</v>
      </c>
    </row>
    <row r="85" spans="1:6" x14ac:dyDescent="0.25">
      <c r="A85" s="26" t="s">
        <v>30</v>
      </c>
      <c r="B85" s="26" t="s">
        <v>31</v>
      </c>
      <c r="C85" s="26" t="s">
        <v>38</v>
      </c>
      <c r="D85" s="26" t="s">
        <v>65</v>
      </c>
      <c r="E85" s="27">
        <v>651578</v>
      </c>
      <c r="F85" s="28">
        <v>377915.24</v>
      </c>
    </row>
    <row r="86" spans="1:6" x14ac:dyDescent="0.25">
      <c r="A86" s="26" t="s">
        <v>30</v>
      </c>
      <c r="B86" s="26" t="s">
        <v>31</v>
      </c>
      <c r="C86" s="26" t="s">
        <v>39</v>
      </c>
      <c r="D86" s="26" t="s">
        <v>51</v>
      </c>
      <c r="E86" s="27">
        <v>920821</v>
      </c>
      <c r="F86" s="28">
        <v>570909.02</v>
      </c>
    </row>
    <row r="87" spans="1:6" x14ac:dyDescent="0.25">
      <c r="A87" s="26" t="s">
        <v>30</v>
      </c>
      <c r="B87" s="26" t="s">
        <v>31</v>
      </c>
      <c r="C87" s="26" t="s">
        <v>41</v>
      </c>
      <c r="D87" s="26" t="s">
        <v>51</v>
      </c>
      <c r="E87" s="27">
        <v>829458</v>
      </c>
      <c r="F87" s="28">
        <v>514263.96</v>
      </c>
    </row>
    <row r="88" spans="1:6" x14ac:dyDescent="0.25">
      <c r="A88" s="26" t="s">
        <v>30</v>
      </c>
      <c r="B88" s="26" t="s">
        <v>31</v>
      </c>
      <c r="C88" s="26" t="s">
        <v>43</v>
      </c>
      <c r="D88" s="26" t="s">
        <v>46</v>
      </c>
      <c r="E88" s="27">
        <v>868390</v>
      </c>
      <c r="F88" s="28">
        <v>564453.5</v>
      </c>
    </row>
    <row r="89" spans="1:6" x14ac:dyDescent="0.25">
      <c r="A89" s="26" t="s">
        <v>30</v>
      </c>
      <c r="B89" s="26" t="s">
        <v>31</v>
      </c>
      <c r="C89" s="26" t="s">
        <v>45</v>
      </c>
      <c r="D89" s="26" t="s">
        <v>65</v>
      </c>
      <c r="E89" s="27">
        <v>873542</v>
      </c>
      <c r="F89" s="28">
        <v>532860.62</v>
      </c>
    </row>
    <row r="90" spans="1:6" x14ac:dyDescent="0.25">
      <c r="A90" s="26" t="s">
        <v>30</v>
      </c>
      <c r="B90" s="26" t="s">
        <v>31</v>
      </c>
      <c r="C90" s="26" t="s">
        <v>47</v>
      </c>
      <c r="D90" s="26" t="s">
        <v>65</v>
      </c>
      <c r="E90" s="27">
        <v>716733</v>
      </c>
      <c r="F90" s="28">
        <v>415705.14</v>
      </c>
    </row>
    <row r="91" spans="1:6" x14ac:dyDescent="0.25">
      <c r="A91" s="26" t="s">
        <v>30</v>
      </c>
      <c r="B91" s="26" t="s">
        <v>31</v>
      </c>
      <c r="C91" s="26" t="s">
        <v>48</v>
      </c>
      <c r="D91" s="26" t="s">
        <v>65</v>
      </c>
      <c r="E91" s="27">
        <v>879437</v>
      </c>
      <c r="F91" s="28">
        <v>545250.93999999994</v>
      </c>
    </row>
    <row r="92" spans="1:6" x14ac:dyDescent="0.25">
      <c r="A92" s="26" t="s">
        <v>49</v>
      </c>
      <c r="B92" s="26" t="s">
        <v>31</v>
      </c>
      <c r="C92" s="26" t="s">
        <v>32</v>
      </c>
      <c r="D92" s="26" t="s">
        <v>35</v>
      </c>
      <c r="E92" s="27">
        <v>1199972</v>
      </c>
      <c r="F92" s="28">
        <v>659984.6</v>
      </c>
    </row>
    <row r="93" spans="1:6" x14ac:dyDescent="0.25">
      <c r="A93" s="26" t="s">
        <v>49</v>
      </c>
      <c r="B93" s="26" t="s">
        <v>31</v>
      </c>
      <c r="C93" s="26" t="s">
        <v>34</v>
      </c>
      <c r="D93" s="26" t="s">
        <v>40</v>
      </c>
      <c r="E93" s="27">
        <v>950485</v>
      </c>
      <c r="F93" s="28">
        <v>503757.05</v>
      </c>
    </row>
    <row r="94" spans="1:6" x14ac:dyDescent="0.25">
      <c r="A94" s="26" t="s">
        <v>49</v>
      </c>
      <c r="B94" s="26" t="s">
        <v>31</v>
      </c>
      <c r="C94" s="26" t="s">
        <v>36</v>
      </c>
      <c r="D94" s="26" t="s">
        <v>33</v>
      </c>
      <c r="E94" s="27">
        <v>1002914</v>
      </c>
      <c r="F94" s="28">
        <v>521515.28</v>
      </c>
    </row>
    <row r="95" spans="1:6" x14ac:dyDescent="0.25">
      <c r="A95" s="26" t="s">
        <v>49</v>
      </c>
      <c r="B95" s="26" t="s">
        <v>31</v>
      </c>
      <c r="C95" s="26" t="s">
        <v>38</v>
      </c>
      <c r="D95" s="26" t="s">
        <v>33</v>
      </c>
      <c r="E95" s="27">
        <v>851202</v>
      </c>
      <c r="F95" s="28">
        <v>502209.18</v>
      </c>
    </row>
    <row r="96" spans="1:6" x14ac:dyDescent="0.25">
      <c r="A96" s="26" t="s">
        <v>49</v>
      </c>
      <c r="B96" s="26" t="s">
        <v>31</v>
      </c>
      <c r="C96" s="26" t="s">
        <v>39</v>
      </c>
      <c r="D96" s="26" t="s">
        <v>33</v>
      </c>
      <c r="E96" s="27">
        <v>1340658</v>
      </c>
      <c r="F96" s="28">
        <v>858021.12</v>
      </c>
    </row>
    <row r="97" spans="1:6" x14ac:dyDescent="0.25">
      <c r="A97" s="26" t="s">
        <v>49</v>
      </c>
      <c r="B97" s="26" t="s">
        <v>31</v>
      </c>
      <c r="C97" s="26" t="s">
        <v>41</v>
      </c>
      <c r="D97" s="26" t="s">
        <v>46</v>
      </c>
      <c r="E97" s="27">
        <v>1030441</v>
      </c>
      <c r="F97" s="28">
        <v>566742.55000000005</v>
      </c>
    </row>
    <row r="98" spans="1:6" x14ac:dyDescent="0.25">
      <c r="A98" s="26" t="s">
        <v>49</v>
      </c>
      <c r="B98" s="26" t="s">
        <v>31</v>
      </c>
      <c r="C98" s="26" t="s">
        <v>43</v>
      </c>
      <c r="D98" s="26" t="s">
        <v>50</v>
      </c>
      <c r="E98" s="27">
        <v>1201939</v>
      </c>
      <c r="F98" s="28">
        <v>661066.44999999995</v>
      </c>
    </row>
    <row r="99" spans="1:6" x14ac:dyDescent="0.25">
      <c r="A99" s="26" t="s">
        <v>49</v>
      </c>
      <c r="B99" s="26" t="s">
        <v>31</v>
      </c>
      <c r="C99" s="26" t="s">
        <v>45</v>
      </c>
      <c r="D99" s="26" t="s">
        <v>44</v>
      </c>
      <c r="E99" s="27">
        <v>553507</v>
      </c>
      <c r="F99" s="28">
        <v>348709.41</v>
      </c>
    </row>
    <row r="100" spans="1:6" x14ac:dyDescent="0.25">
      <c r="A100" s="26" t="s">
        <v>49</v>
      </c>
      <c r="B100" s="26" t="s">
        <v>31</v>
      </c>
      <c r="C100" s="26" t="s">
        <v>47</v>
      </c>
      <c r="D100" s="26" t="s">
        <v>37</v>
      </c>
      <c r="E100" s="27">
        <v>1060148</v>
      </c>
      <c r="F100" s="28">
        <v>604284.36</v>
      </c>
    </row>
    <row r="101" spans="1:6" x14ac:dyDescent="0.25">
      <c r="A101" s="26" t="s">
        <v>49</v>
      </c>
      <c r="B101" s="26" t="s">
        <v>31</v>
      </c>
      <c r="C101" s="26" t="s">
        <v>48</v>
      </c>
      <c r="D101" s="26" t="s">
        <v>56</v>
      </c>
      <c r="E101" s="27">
        <v>915639</v>
      </c>
      <c r="F101" s="28">
        <v>576852.56999999995</v>
      </c>
    </row>
    <row r="102" spans="1:6" x14ac:dyDescent="0.25">
      <c r="A102" s="26" t="s">
        <v>30</v>
      </c>
      <c r="B102" s="26" t="s">
        <v>52</v>
      </c>
      <c r="C102" s="26" t="s">
        <v>53</v>
      </c>
      <c r="D102" s="26" t="s">
        <v>42</v>
      </c>
      <c r="E102" s="27">
        <v>1131851</v>
      </c>
      <c r="F102" s="28">
        <v>690429.11</v>
      </c>
    </row>
    <row r="103" spans="1:6" x14ac:dyDescent="0.25">
      <c r="A103" s="26" t="s">
        <v>30</v>
      </c>
      <c r="B103" s="26" t="s">
        <v>52</v>
      </c>
      <c r="C103" s="26" t="s">
        <v>54</v>
      </c>
      <c r="D103" s="26" t="s">
        <v>65</v>
      </c>
      <c r="E103" s="27">
        <v>1400846</v>
      </c>
      <c r="F103" s="28">
        <v>840507.6</v>
      </c>
    </row>
    <row r="104" spans="1:6" x14ac:dyDescent="0.25">
      <c r="A104" s="26" t="s">
        <v>30</v>
      </c>
      <c r="B104" s="26" t="s">
        <v>52</v>
      </c>
      <c r="C104" s="26" t="s">
        <v>55</v>
      </c>
      <c r="D104" s="26" t="s">
        <v>51</v>
      </c>
      <c r="E104" s="27">
        <v>1436795</v>
      </c>
      <c r="F104" s="28">
        <v>833341.1</v>
      </c>
    </row>
    <row r="105" spans="1:6" x14ac:dyDescent="0.25">
      <c r="A105" s="26" t="s">
        <v>30</v>
      </c>
      <c r="B105" s="26" t="s">
        <v>52</v>
      </c>
      <c r="C105" s="26" t="s">
        <v>57</v>
      </c>
      <c r="D105" s="26" t="s">
        <v>42</v>
      </c>
      <c r="E105" s="27">
        <v>631386</v>
      </c>
      <c r="F105" s="28">
        <v>334634.58</v>
      </c>
    </row>
    <row r="106" spans="1:6" x14ac:dyDescent="0.25">
      <c r="A106" s="26" t="s">
        <v>30</v>
      </c>
      <c r="B106" s="26" t="s">
        <v>52</v>
      </c>
      <c r="C106" s="26" t="s">
        <v>58</v>
      </c>
      <c r="D106" s="26" t="s">
        <v>51</v>
      </c>
      <c r="E106" s="27">
        <v>913697</v>
      </c>
      <c r="F106" s="28">
        <v>511670.32</v>
      </c>
    </row>
    <row r="107" spans="1:6" x14ac:dyDescent="0.25">
      <c r="A107" s="26" t="s">
        <v>30</v>
      </c>
      <c r="B107" s="26" t="s">
        <v>52</v>
      </c>
      <c r="C107" s="26" t="s">
        <v>59</v>
      </c>
      <c r="D107" s="26" t="s">
        <v>35</v>
      </c>
      <c r="E107" s="27">
        <v>1429067</v>
      </c>
      <c r="F107" s="28">
        <v>757405.51</v>
      </c>
    </row>
    <row r="108" spans="1:6" x14ac:dyDescent="0.25">
      <c r="A108" s="26" t="s">
        <v>30</v>
      </c>
      <c r="B108" s="26" t="s">
        <v>52</v>
      </c>
      <c r="C108" s="26" t="s">
        <v>60</v>
      </c>
      <c r="D108" s="26" t="s">
        <v>56</v>
      </c>
      <c r="E108" s="27">
        <v>726214</v>
      </c>
      <c r="F108" s="28">
        <v>377631.28</v>
      </c>
    </row>
    <row r="109" spans="1:6" x14ac:dyDescent="0.25">
      <c r="A109" s="26" t="s">
        <v>30</v>
      </c>
      <c r="B109" s="26" t="s">
        <v>52</v>
      </c>
      <c r="C109" s="26" t="s">
        <v>61</v>
      </c>
      <c r="D109" s="26" t="s">
        <v>51</v>
      </c>
      <c r="E109" s="27">
        <v>774985</v>
      </c>
      <c r="F109" s="28">
        <v>480490.7</v>
      </c>
    </row>
    <row r="110" spans="1:6" x14ac:dyDescent="0.25">
      <c r="A110" s="26" t="s">
        <v>30</v>
      </c>
      <c r="B110" s="26" t="s">
        <v>52</v>
      </c>
      <c r="C110" s="26" t="s">
        <v>62</v>
      </c>
      <c r="D110" s="26" t="s">
        <v>40</v>
      </c>
      <c r="E110" s="27">
        <v>912747</v>
      </c>
      <c r="F110" s="28">
        <v>547648.19999999995</v>
      </c>
    </row>
    <row r="111" spans="1:6" x14ac:dyDescent="0.25">
      <c r="A111" s="26" t="s">
        <v>30</v>
      </c>
      <c r="B111" s="26" t="s">
        <v>52</v>
      </c>
      <c r="C111" s="26" t="s">
        <v>63</v>
      </c>
      <c r="D111" s="26" t="s">
        <v>35</v>
      </c>
      <c r="E111" s="27">
        <v>718207</v>
      </c>
      <c r="F111" s="28">
        <v>402195.92</v>
      </c>
    </row>
    <row r="112" spans="1:6" x14ac:dyDescent="0.25">
      <c r="A112" s="26" t="s">
        <v>49</v>
      </c>
      <c r="B112" s="26" t="s">
        <v>52</v>
      </c>
      <c r="C112" s="26" t="s">
        <v>53</v>
      </c>
      <c r="D112" s="26" t="s">
        <v>46</v>
      </c>
      <c r="E112" s="27">
        <v>1489981</v>
      </c>
      <c r="F112" s="28">
        <v>834389.36</v>
      </c>
    </row>
    <row r="113" spans="1:6" x14ac:dyDescent="0.25">
      <c r="A113" s="26" t="s">
        <v>49</v>
      </c>
      <c r="B113" s="26" t="s">
        <v>52</v>
      </c>
      <c r="C113" s="26" t="s">
        <v>54</v>
      </c>
      <c r="D113" s="26" t="s">
        <v>37</v>
      </c>
      <c r="E113" s="27">
        <v>1321597</v>
      </c>
      <c r="F113" s="28">
        <v>713662.38</v>
      </c>
    </row>
    <row r="114" spans="1:6" x14ac:dyDescent="0.25">
      <c r="A114" s="26" t="s">
        <v>49</v>
      </c>
      <c r="B114" s="26" t="s">
        <v>52</v>
      </c>
      <c r="C114" s="26" t="s">
        <v>55</v>
      </c>
      <c r="D114" s="26" t="s">
        <v>56</v>
      </c>
      <c r="E114" s="27">
        <v>1401161</v>
      </c>
      <c r="F114" s="28">
        <v>868719.82</v>
      </c>
    </row>
    <row r="115" spans="1:6" x14ac:dyDescent="0.25">
      <c r="A115" s="26" t="s">
        <v>49</v>
      </c>
      <c r="B115" s="26" t="s">
        <v>52</v>
      </c>
      <c r="C115" s="26" t="s">
        <v>57</v>
      </c>
      <c r="D115" s="26" t="s">
        <v>37</v>
      </c>
      <c r="E115" s="27">
        <v>850849</v>
      </c>
      <c r="F115" s="28">
        <v>553051.85</v>
      </c>
    </row>
    <row r="116" spans="1:6" x14ac:dyDescent="0.25">
      <c r="A116" s="26" t="s">
        <v>49</v>
      </c>
      <c r="B116" s="26" t="s">
        <v>52</v>
      </c>
      <c r="C116" s="26" t="s">
        <v>58</v>
      </c>
      <c r="D116" s="26" t="s">
        <v>40</v>
      </c>
      <c r="E116" s="27">
        <v>1134132</v>
      </c>
      <c r="F116" s="28">
        <v>669137.88</v>
      </c>
    </row>
    <row r="117" spans="1:6" x14ac:dyDescent="0.25">
      <c r="A117" s="26" t="s">
        <v>49</v>
      </c>
      <c r="B117" s="26" t="s">
        <v>52</v>
      </c>
      <c r="C117" s="26" t="s">
        <v>59</v>
      </c>
      <c r="D117" s="26" t="s">
        <v>44</v>
      </c>
      <c r="E117" s="27">
        <v>1087424</v>
      </c>
      <c r="F117" s="28">
        <v>587208.95999999996</v>
      </c>
    </row>
    <row r="118" spans="1:6" x14ac:dyDescent="0.25">
      <c r="A118" s="26" t="s">
        <v>49</v>
      </c>
      <c r="B118" s="26" t="s">
        <v>52</v>
      </c>
      <c r="C118" s="26" t="s">
        <v>60</v>
      </c>
      <c r="D118" s="26" t="s">
        <v>35</v>
      </c>
      <c r="E118" s="27">
        <v>709158</v>
      </c>
      <c r="F118" s="28">
        <v>425494.8</v>
      </c>
    </row>
    <row r="119" spans="1:6" x14ac:dyDescent="0.25">
      <c r="A119" s="26" t="s">
        <v>49</v>
      </c>
      <c r="B119" s="26" t="s">
        <v>52</v>
      </c>
      <c r="C119" s="26" t="s">
        <v>61</v>
      </c>
      <c r="D119" s="26" t="s">
        <v>37</v>
      </c>
      <c r="E119" s="27">
        <v>854378</v>
      </c>
      <c r="F119" s="28">
        <v>478451.68</v>
      </c>
    </row>
    <row r="120" spans="1:6" x14ac:dyDescent="0.25">
      <c r="A120" s="26" t="s">
        <v>49</v>
      </c>
      <c r="B120" s="26" t="s">
        <v>52</v>
      </c>
      <c r="C120" s="26" t="s">
        <v>62</v>
      </c>
      <c r="D120" s="26" t="s">
        <v>44</v>
      </c>
      <c r="E120" s="27">
        <v>1387764</v>
      </c>
      <c r="F120" s="28">
        <v>902046.6</v>
      </c>
    </row>
    <row r="121" spans="1:6" x14ac:dyDescent="0.25">
      <c r="A121" s="26" t="s">
        <v>49</v>
      </c>
      <c r="B121" s="26" t="s">
        <v>52</v>
      </c>
      <c r="C121" s="26" t="s">
        <v>63</v>
      </c>
      <c r="D121" s="26" t="s">
        <v>56</v>
      </c>
      <c r="E121" s="27">
        <v>553559</v>
      </c>
      <c r="F121" s="28">
        <v>332135.40000000002</v>
      </c>
    </row>
    <row r="122" spans="1:6" x14ac:dyDescent="0.25">
      <c r="A122" s="26" t="s">
        <v>30</v>
      </c>
      <c r="B122" s="26" t="s">
        <v>66</v>
      </c>
      <c r="C122" s="26" t="s">
        <v>67</v>
      </c>
      <c r="D122" s="26" t="s">
        <v>33</v>
      </c>
      <c r="E122" s="27">
        <v>1351398</v>
      </c>
      <c r="F122" s="28">
        <v>810838.8</v>
      </c>
    </row>
    <row r="123" spans="1:6" x14ac:dyDescent="0.25">
      <c r="A123" s="26" t="s">
        <v>30</v>
      </c>
      <c r="B123" s="26" t="s">
        <v>66</v>
      </c>
      <c r="C123" s="26" t="s">
        <v>68</v>
      </c>
      <c r="D123" s="26" t="s">
        <v>42</v>
      </c>
      <c r="E123" s="27">
        <v>1298983</v>
      </c>
      <c r="F123" s="28">
        <v>805369.46</v>
      </c>
    </row>
    <row r="124" spans="1:6" x14ac:dyDescent="0.25">
      <c r="A124" s="26" t="s">
        <v>30</v>
      </c>
      <c r="B124" s="26" t="s">
        <v>66</v>
      </c>
      <c r="C124" s="26" t="s">
        <v>69</v>
      </c>
      <c r="D124" s="26" t="s">
        <v>56</v>
      </c>
      <c r="E124" s="27">
        <v>1030843</v>
      </c>
      <c r="F124" s="28">
        <v>628814.23</v>
      </c>
    </row>
    <row r="125" spans="1:6" x14ac:dyDescent="0.25">
      <c r="A125" s="26" t="s">
        <v>30</v>
      </c>
      <c r="B125" s="26" t="s">
        <v>66</v>
      </c>
      <c r="C125" s="26" t="s">
        <v>70</v>
      </c>
      <c r="D125" s="26" t="s">
        <v>51</v>
      </c>
      <c r="E125" s="27">
        <v>1161302</v>
      </c>
      <c r="F125" s="28">
        <v>638716.1</v>
      </c>
    </row>
    <row r="126" spans="1:6" x14ac:dyDescent="0.25">
      <c r="A126" s="26" t="s">
        <v>30</v>
      </c>
      <c r="B126" s="26" t="s">
        <v>66</v>
      </c>
      <c r="C126" s="26" t="s">
        <v>71</v>
      </c>
      <c r="D126" s="26" t="s">
        <v>42</v>
      </c>
      <c r="E126" s="27">
        <v>1360412</v>
      </c>
      <c r="F126" s="28">
        <v>829851.32</v>
      </c>
    </row>
    <row r="127" spans="1:6" x14ac:dyDescent="0.25">
      <c r="A127" s="26" t="s">
        <v>30</v>
      </c>
      <c r="B127" s="26" t="s">
        <v>66</v>
      </c>
      <c r="C127" s="26" t="s">
        <v>72</v>
      </c>
      <c r="D127" s="26" t="s">
        <v>65</v>
      </c>
      <c r="E127" s="27">
        <v>736212</v>
      </c>
      <c r="F127" s="28">
        <v>382830.24</v>
      </c>
    </row>
    <row r="128" spans="1:6" x14ac:dyDescent="0.25">
      <c r="A128" s="26" t="s">
        <v>30</v>
      </c>
      <c r="B128" s="26" t="s">
        <v>66</v>
      </c>
      <c r="C128" s="26" t="s">
        <v>73</v>
      </c>
      <c r="D128" s="26" t="s">
        <v>51</v>
      </c>
      <c r="E128" s="27">
        <v>525506</v>
      </c>
      <c r="F128" s="28">
        <v>325813.71999999997</v>
      </c>
    </row>
    <row r="129" spans="1:6" x14ac:dyDescent="0.25">
      <c r="A129" s="26" t="s">
        <v>30</v>
      </c>
      <c r="B129" s="26" t="s">
        <v>66</v>
      </c>
      <c r="C129" s="26" t="s">
        <v>74</v>
      </c>
      <c r="D129" s="26" t="s">
        <v>51</v>
      </c>
      <c r="E129" s="27">
        <v>856686</v>
      </c>
      <c r="F129" s="28">
        <v>471177.3</v>
      </c>
    </row>
    <row r="130" spans="1:6" x14ac:dyDescent="0.25">
      <c r="A130" s="26" t="s">
        <v>30</v>
      </c>
      <c r="B130" s="26" t="s">
        <v>66</v>
      </c>
      <c r="C130" s="26" t="s">
        <v>75</v>
      </c>
      <c r="D130" s="26" t="s">
        <v>51</v>
      </c>
      <c r="E130" s="27">
        <v>523057</v>
      </c>
      <c r="F130" s="28">
        <v>298142.49</v>
      </c>
    </row>
    <row r="131" spans="1:6" x14ac:dyDescent="0.25">
      <c r="A131" s="26" t="s">
        <v>30</v>
      </c>
      <c r="B131" s="26" t="s">
        <v>66</v>
      </c>
      <c r="C131" s="26" t="s">
        <v>76</v>
      </c>
      <c r="D131" s="26" t="s">
        <v>65</v>
      </c>
      <c r="E131" s="27">
        <v>1361124</v>
      </c>
      <c r="F131" s="28">
        <v>884730.6</v>
      </c>
    </row>
    <row r="132" spans="1:6" x14ac:dyDescent="0.25">
      <c r="A132" s="26" t="s">
        <v>49</v>
      </c>
      <c r="B132" s="26" t="s">
        <v>66</v>
      </c>
      <c r="C132" s="26" t="s">
        <v>67</v>
      </c>
      <c r="D132" s="26" t="s">
        <v>65</v>
      </c>
      <c r="E132" s="27">
        <v>891728</v>
      </c>
      <c r="F132" s="28">
        <v>579623.19999999995</v>
      </c>
    </row>
    <row r="133" spans="1:6" x14ac:dyDescent="0.25">
      <c r="A133" s="26" t="s">
        <v>49</v>
      </c>
      <c r="B133" s="26" t="s">
        <v>66</v>
      </c>
      <c r="C133" s="26" t="s">
        <v>68</v>
      </c>
      <c r="D133" s="26" t="s">
        <v>42</v>
      </c>
      <c r="E133" s="27">
        <v>711181</v>
      </c>
      <c r="F133" s="28">
        <v>419596.79</v>
      </c>
    </row>
    <row r="134" spans="1:6" x14ac:dyDescent="0.25">
      <c r="A134" s="26" t="s">
        <v>49</v>
      </c>
      <c r="B134" s="26" t="s">
        <v>66</v>
      </c>
      <c r="C134" s="26" t="s">
        <v>69</v>
      </c>
      <c r="D134" s="26" t="s">
        <v>35</v>
      </c>
      <c r="E134" s="27">
        <v>1494430</v>
      </c>
      <c r="F134" s="28">
        <v>836880.8</v>
      </c>
    </row>
    <row r="135" spans="1:6" x14ac:dyDescent="0.25">
      <c r="A135" s="26" t="s">
        <v>49</v>
      </c>
      <c r="B135" s="26" t="s">
        <v>66</v>
      </c>
      <c r="C135" s="26" t="s">
        <v>70</v>
      </c>
      <c r="D135" s="26" t="s">
        <v>37</v>
      </c>
      <c r="E135" s="27">
        <v>545036</v>
      </c>
      <c r="F135" s="28">
        <v>332471.96000000002</v>
      </c>
    </row>
    <row r="136" spans="1:6" x14ac:dyDescent="0.25">
      <c r="A136" s="26" t="s">
        <v>49</v>
      </c>
      <c r="B136" s="26" t="s">
        <v>66</v>
      </c>
      <c r="C136" s="26" t="s">
        <v>71</v>
      </c>
      <c r="D136" s="26" t="s">
        <v>50</v>
      </c>
      <c r="E136" s="27">
        <v>784613</v>
      </c>
      <c r="F136" s="28">
        <v>509998.45</v>
      </c>
    </row>
    <row r="137" spans="1:6" x14ac:dyDescent="0.25">
      <c r="A137" s="26" t="s">
        <v>49</v>
      </c>
      <c r="B137" s="26" t="s">
        <v>66</v>
      </c>
      <c r="C137" s="26" t="s">
        <v>72</v>
      </c>
      <c r="D137" s="26" t="s">
        <v>40</v>
      </c>
      <c r="E137" s="27">
        <v>782824</v>
      </c>
      <c r="F137" s="28">
        <v>501007.35999999999</v>
      </c>
    </row>
    <row r="138" spans="1:6" x14ac:dyDescent="0.25">
      <c r="A138" s="26" t="s">
        <v>49</v>
      </c>
      <c r="B138" s="26" t="s">
        <v>66</v>
      </c>
      <c r="C138" s="26" t="s">
        <v>73</v>
      </c>
      <c r="D138" s="26" t="s">
        <v>35</v>
      </c>
      <c r="E138" s="27">
        <v>1314576</v>
      </c>
      <c r="F138" s="28">
        <v>749308.32</v>
      </c>
    </row>
    <row r="139" spans="1:6" x14ac:dyDescent="0.25">
      <c r="A139" s="26" t="s">
        <v>49</v>
      </c>
      <c r="B139" s="26" t="s">
        <v>66</v>
      </c>
      <c r="C139" s="26" t="s">
        <v>74</v>
      </c>
      <c r="D139" s="26" t="s">
        <v>51</v>
      </c>
      <c r="E139" s="27">
        <v>543711</v>
      </c>
      <c r="F139" s="28">
        <v>288166.83</v>
      </c>
    </row>
    <row r="140" spans="1:6" x14ac:dyDescent="0.25">
      <c r="A140" s="26" t="s">
        <v>49</v>
      </c>
      <c r="B140" s="26" t="s">
        <v>66</v>
      </c>
      <c r="C140" s="26" t="s">
        <v>75</v>
      </c>
      <c r="D140" s="26" t="s">
        <v>33</v>
      </c>
      <c r="E140" s="27">
        <v>983215</v>
      </c>
      <c r="F140" s="28">
        <v>511271.8</v>
      </c>
    </row>
    <row r="141" spans="1:6" x14ac:dyDescent="0.25">
      <c r="A141" s="26" t="s">
        <v>49</v>
      </c>
      <c r="B141" s="26" t="s">
        <v>66</v>
      </c>
      <c r="C141" s="26" t="s">
        <v>76</v>
      </c>
      <c r="D141" s="26" t="s">
        <v>51</v>
      </c>
      <c r="E141" s="27">
        <v>1081208</v>
      </c>
      <c r="F141" s="28">
        <v>681161.04</v>
      </c>
    </row>
    <row r="142" spans="1:6" x14ac:dyDescent="0.25">
      <c r="A142" s="26" t="s">
        <v>30</v>
      </c>
      <c r="B142" s="26" t="s">
        <v>77</v>
      </c>
      <c r="C142" s="26" t="s">
        <v>78</v>
      </c>
      <c r="D142" s="26" t="s">
        <v>50</v>
      </c>
      <c r="E142" s="27">
        <v>909479</v>
      </c>
      <c r="F142" s="28">
        <v>563876.98</v>
      </c>
    </row>
    <row r="143" spans="1:6" x14ac:dyDescent="0.25">
      <c r="A143" s="26" t="s">
        <v>30</v>
      </c>
      <c r="B143" s="26" t="s">
        <v>77</v>
      </c>
      <c r="C143" s="26" t="s">
        <v>79</v>
      </c>
      <c r="D143" s="26" t="s">
        <v>65</v>
      </c>
      <c r="E143" s="27">
        <v>790759</v>
      </c>
      <c r="F143" s="28">
        <v>442825.04</v>
      </c>
    </row>
    <row r="144" spans="1:6" x14ac:dyDescent="0.25">
      <c r="A144" s="26" t="s">
        <v>30</v>
      </c>
      <c r="B144" s="26" t="s">
        <v>77</v>
      </c>
      <c r="C144" s="26" t="s">
        <v>80</v>
      </c>
      <c r="D144" s="26" t="s">
        <v>51</v>
      </c>
      <c r="E144" s="27">
        <v>556049</v>
      </c>
      <c r="F144" s="28">
        <v>289145.48</v>
      </c>
    </row>
    <row r="145" spans="1:6" x14ac:dyDescent="0.25">
      <c r="A145" s="26" t="s">
        <v>30</v>
      </c>
      <c r="B145" s="26" t="s">
        <v>77</v>
      </c>
      <c r="C145" s="26" t="s">
        <v>81</v>
      </c>
      <c r="D145" s="26" t="s">
        <v>33</v>
      </c>
      <c r="E145" s="27">
        <v>1419826</v>
      </c>
      <c r="F145" s="28">
        <v>880292.12</v>
      </c>
    </row>
    <row r="146" spans="1:6" x14ac:dyDescent="0.25">
      <c r="A146" s="26" t="s">
        <v>30</v>
      </c>
      <c r="B146" s="26" t="s">
        <v>77</v>
      </c>
      <c r="C146" s="26" t="s">
        <v>82</v>
      </c>
      <c r="D146" s="26" t="s">
        <v>37</v>
      </c>
      <c r="E146" s="27">
        <v>1471831</v>
      </c>
      <c r="F146" s="28">
        <v>912535.22</v>
      </c>
    </row>
    <row r="147" spans="1:6" x14ac:dyDescent="0.25">
      <c r="A147" s="26" t="s">
        <v>30</v>
      </c>
      <c r="B147" s="26" t="s">
        <v>77</v>
      </c>
      <c r="C147" s="26" t="s">
        <v>83</v>
      </c>
      <c r="D147" s="26" t="s">
        <v>51</v>
      </c>
      <c r="E147" s="27">
        <v>1320100</v>
      </c>
      <c r="F147" s="28">
        <v>831663</v>
      </c>
    </row>
    <row r="148" spans="1:6" x14ac:dyDescent="0.25">
      <c r="A148" s="26" t="s">
        <v>30</v>
      </c>
      <c r="B148" s="26" t="s">
        <v>77</v>
      </c>
      <c r="C148" s="26" t="s">
        <v>84</v>
      </c>
      <c r="D148" s="26" t="s">
        <v>50</v>
      </c>
      <c r="E148" s="27">
        <v>797188</v>
      </c>
      <c r="F148" s="28">
        <v>510200.32000000001</v>
      </c>
    </row>
    <row r="149" spans="1:6" x14ac:dyDescent="0.25">
      <c r="A149" s="26" t="s">
        <v>30</v>
      </c>
      <c r="B149" s="26" t="s">
        <v>77</v>
      </c>
      <c r="C149" s="26" t="s">
        <v>85</v>
      </c>
      <c r="D149" s="26" t="s">
        <v>42</v>
      </c>
      <c r="E149" s="27">
        <v>591411</v>
      </c>
      <c r="F149" s="28">
        <v>378503.04</v>
      </c>
    </row>
    <row r="150" spans="1:6" x14ac:dyDescent="0.25">
      <c r="A150" s="26" t="s">
        <v>30</v>
      </c>
      <c r="B150" s="26" t="s">
        <v>77</v>
      </c>
      <c r="C150" s="26" t="s">
        <v>86</v>
      </c>
      <c r="D150" s="26" t="s">
        <v>44</v>
      </c>
      <c r="E150" s="27">
        <v>1439604</v>
      </c>
      <c r="F150" s="28">
        <v>863762.4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F322-AA0E-48C6-800E-75BA28876358}">
  <dimension ref="A1:O26"/>
  <sheetViews>
    <sheetView topLeftCell="B1" workbookViewId="0">
      <selection activeCell="N15" sqref="N15"/>
    </sheetView>
  </sheetViews>
  <sheetFormatPr defaultColWidth="12.85546875" defaultRowHeight="15" x14ac:dyDescent="0.25"/>
  <cols>
    <col min="11" max="11" width="15.85546875" customWidth="1"/>
    <col min="12" max="12" width="6.7109375" customWidth="1"/>
    <col min="13" max="13" width="7.28515625" customWidth="1"/>
    <col min="14" max="14" width="23.28515625" customWidth="1"/>
    <col min="15" max="15" width="15.42578125" customWidth="1"/>
  </cols>
  <sheetData>
    <row r="1" spans="1:15" ht="17.25" thickTop="1" thickBot="1" x14ac:dyDescent="0.3">
      <c r="A1" s="201" t="s">
        <v>301</v>
      </c>
      <c r="B1" s="202"/>
      <c r="C1" s="202"/>
      <c r="D1" s="202"/>
      <c r="E1" s="202"/>
      <c r="F1" s="202"/>
      <c r="G1" s="202"/>
      <c r="H1" s="202"/>
      <c r="I1" s="202"/>
      <c r="J1" s="202"/>
      <c r="K1" s="203"/>
      <c r="N1" s="121" t="s">
        <v>302</v>
      </c>
      <c r="O1" s="121" t="s">
        <v>303</v>
      </c>
    </row>
    <row r="2" spans="1:15" ht="15.75" thickBot="1" x14ac:dyDescent="0.3">
      <c r="A2" s="122">
        <v>1</v>
      </c>
      <c r="B2" s="123">
        <v>2</v>
      </c>
      <c r="C2" s="123">
        <v>3</v>
      </c>
      <c r="D2" s="123">
        <v>4</v>
      </c>
      <c r="E2" s="123">
        <v>5</v>
      </c>
      <c r="F2" s="123">
        <v>6</v>
      </c>
      <c r="G2" s="123">
        <v>7</v>
      </c>
      <c r="H2" s="123">
        <v>8</v>
      </c>
      <c r="I2" s="123">
        <v>9</v>
      </c>
      <c r="J2" s="123">
        <v>10</v>
      </c>
      <c r="K2" s="124">
        <v>11</v>
      </c>
      <c r="N2" s="125" t="s">
        <v>304</v>
      </c>
      <c r="O2" s="126">
        <f>COUNTIF($A$3:$K$25,"Rui")</f>
        <v>13</v>
      </c>
    </row>
    <row r="3" spans="1:15" x14ac:dyDescent="0.25">
      <c r="A3" s="127" t="s">
        <v>305</v>
      </c>
      <c r="B3" s="128" t="s">
        <v>305</v>
      </c>
      <c r="C3" s="128" t="s">
        <v>305</v>
      </c>
      <c r="D3" s="128" t="s">
        <v>305</v>
      </c>
      <c r="E3" s="128" t="s">
        <v>305</v>
      </c>
      <c r="F3" s="128" t="s">
        <v>305</v>
      </c>
      <c r="G3" s="128" t="s">
        <v>305</v>
      </c>
      <c r="H3" s="128" t="s">
        <v>305</v>
      </c>
      <c r="I3" s="128" t="s">
        <v>305</v>
      </c>
      <c r="J3" s="128" t="s">
        <v>305</v>
      </c>
      <c r="K3" s="129" t="s">
        <v>305</v>
      </c>
      <c r="N3" s="130" t="s">
        <v>305</v>
      </c>
      <c r="O3" s="126">
        <f>COUNTIF($A$3:$K$25,"Carla")</f>
        <v>17</v>
      </c>
    </row>
    <row r="4" spans="1:15" x14ac:dyDescent="0.25">
      <c r="A4" s="131" t="s">
        <v>306</v>
      </c>
      <c r="B4" s="132" t="s">
        <v>306</v>
      </c>
      <c r="C4" s="132" t="s">
        <v>306</v>
      </c>
      <c r="D4" s="132" t="s">
        <v>306</v>
      </c>
      <c r="E4" s="132" t="s">
        <v>306</v>
      </c>
      <c r="F4" s="51"/>
      <c r="G4" s="51"/>
      <c r="H4" s="51"/>
      <c r="I4" s="51"/>
      <c r="J4" s="51"/>
      <c r="K4" s="133"/>
      <c r="N4" s="134" t="s">
        <v>306</v>
      </c>
      <c r="O4" s="126">
        <f>COUNTIF($A$3:$K$25,"Maria")</f>
        <v>11</v>
      </c>
    </row>
    <row r="5" spans="1:15" x14ac:dyDescent="0.25">
      <c r="A5" s="135"/>
      <c r="B5" s="51"/>
      <c r="C5" s="51"/>
      <c r="D5" s="51"/>
      <c r="E5" s="51"/>
      <c r="F5" s="136" t="s">
        <v>304</v>
      </c>
      <c r="G5" s="136" t="s">
        <v>304</v>
      </c>
      <c r="H5" s="136" t="s">
        <v>304</v>
      </c>
      <c r="I5" s="136" t="s">
        <v>304</v>
      </c>
      <c r="J5" s="136" t="s">
        <v>304</v>
      </c>
      <c r="K5" s="137" t="s">
        <v>304</v>
      </c>
      <c r="N5" s="138" t="s">
        <v>307</v>
      </c>
      <c r="O5" s="126">
        <f>COUNTIF($A$3:$K$25,"Fernando")</f>
        <v>15</v>
      </c>
    </row>
    <row r="6" spans="1:15" x14ac:dyDescent="0.25">
      <c r="A6" s="139" t="s">
        <v>307</v>
      </c>
      <c r="B6" s="140" t="s">
        <v>307</v>
      </c>
      <c r="C6" s="140" t="s">
        <v>307</v>
      </c>
      <c r="D6" s="140" t="s">
        <v>307</v>
      </c>
      <c r="E6" s="140" t="s">
        <v>307</v>
      </c>
      <c r="F6" s="140" t="s">
        <v>307</v>
      </c>
      <c r="G6" s="140" t="s">
        <v>307</v>
      </c>
      <c r="H6" s="140" t="s">
        <v>307</v>
      </c>
      <c r="I6" s="140" t="s">
        <v>307</v>
      </c>
      <c r="J6" s="140" t="s">
        <v>307</v>
      </c>
      <c r="K6" s="141" t="s">
        <v>307</v>
      </c>
      <c r="N6" s="142" t="s">
        <v>308</v>
      </c>
      <c r="O6" s="126">
        <f>COUNTIF($A$3:$K$25,"Vitória")</f>
        <v>20</v>
      </c>
    </row>
    <row r="7" spans="1:15" x14ac:dyDescent="0.25">
      <c r="A7" s="143" t="s">
        <v>308</v>
      </c>
      <c r="B7" s="144" t="s">
        <v>308</v>
      </c>
      <c r="C7" s="144" t="s">
        <v>308</v>
      </c>
      <c r="D7" s="144" t="s">
        <v>308</v>
      </c>
      <c r="E7" s="144" t="s">
        <v>308</v>
      </c>
      <c r="F7" s="144" t="s">
        <v>308</v>
      </c>
      <c r="G7" s="144" t="s">
        <v>308</v>
      </c>
      <c r="H7" s="144" t="s">
        <v>308</v>
      </c>
      <c r="I7" s="144" t="s">
        <v>308</v>
      </c>
      <c r="J7" s="144" t="s">
        <v>308</v>
      </c>
      <c r="K7" s="144" t="s">
        <v>308</v>
      </c>
    </row>
    <row r="8" spans="1:15" x14ac:dyDescent="0.25">
      <c r="A8" s="135"/>
      <c r="B8" s="51"/>
      <c r="C8" s="51"/>
      <c r="D8" s="51"/>
      <c r="E8" s="51"/>
      <c r="F8" s="51"/>
      <c r="G8" s="51"/>
      <c r="H8" s="51"/>
      <c r="I8" s="51"/>
      <c r="J8" s="51"/>
      <c r="K8" s="133"/>
    </row>
    <row r="9" spans="1:15" x14ac:dyDescent="0.25">
      <c r="A9" s="135"/>
      <c r="B9" s="51"/>
      <c r="C9" s="51"/>
      <c r="D9" s="51"/>
      <c r="E9" s="51"/>
      <c r="F9" s="51"/>
      <c r="G9" s="51"/>
      <c r="H9" s="51"/>
      <c r="I9" s="51"/>
      <c r="J9" s="51"/>
      <c r="K9" s="133"/>
      <c r="N9" s="66" t="s">
        <v>155</v>
      </c>
    </row>
    <row r="10" spans="1:15" ht="15.75" thickBot="1" x14ac:dyDescent="0.3">
      <c r="A10" s="145"/>
      <c r="B10" s="146"/>
      <c r="C10" s="146"/>
      <c r="D10" s="146"/>
      <c r="E10" s="146"/>
      <c r="F10" s="146"/>
      <c r="G10" s="146"/>
      <c r="H10" s="146"/>
      <c r="I10" s="146"/>
      <c r="J10" s="146"/>
      <c r="K10" s="147"/>
      <c r="N10" t="s">
        <v>342</v>
      </c>
    </row>
    <row r="11" spans="1:15" ht="15.75" thickBot="1" x14ac:dyDescent="0.3">
      <c r="A11" s="148">
        <v>12</v>
      </c>
      <c r="B11" s="149">
        <v>13</v>
      </c>
      <c r="C11" s="149">
        <v>14</v>
      </c>
      <c r="D11" s="149">
        <v>15</v>
      </c>
      <c r="E11" s="149">
        <v>16</v>
      </c>
      <c r="F11" s="149">
        <v>17</v>
      </c>
      <c r="G11" s="149">
        <v>18</v>
      </c>
      <c r="H11" s="149">
        <v>19</v>
      </c>
      <c r="I11" s="149">
        <v>20</v>
      </c>
      <c r="J11" s="149">
        <v>21</v>
      </c>
      <c r="K11" s="150">
        <v>22</v>
      </c>
    </row>
    <row r="12" spans="1:15" x14ac:dyDescent="0.25">
      <c r="A12" s="151"/>
      <c r="B12" s="152"/>
      <c r="C12" s="152"/>
      <c r="D12" s="152"/>
      <c r="E12" s="152"/>
      <c r="F12" s="152"/>
      <c r="G12" s="152"/>
      <c r="H12" s="152"/>
      <c r="I12" s="152"/>
      <c r="J12" s="152"/>
      <c r="K12" s="153"/>
    </row>
    <row r="13" spans="1:15" x14ac:dyDescent="0.25">
      <c r="A13" s="131" t="s">
        <v>306</v>
      </c>
      <c r="B13" s="132" t="s">
        <v>306</v>
      </c>
      <c r="C13" s="132" t="s">
        <v>306</v>
      </c>
      <c r="D13" s="132" t="s">
        <v>306</v>
      </c>
      <c r="E13" s="132" t="s">
        <v>306</v>
      </c>
      <c r="F13" s="51"/>
      <c r="G13" s="51"/>
      <c r="H13" s="51"/>
      <c r="I13" s="51"/>
      <c r="J13" s="51"/>
      <c r="K13" s="133"/>
    </row>
    <row r="14" spans="1:15" x14ac:dyDescent="0.25">
      <c r="A14" s="135"/>
      <c r="B14" s="51"/>
      <c r="C14" s="51"/>
      <c r="D14" s="51"/>
      <c r="E14" s="136" t="s">
        <v>304</v>
      </c>
      <c r="F14" s="136" t="s">
        <v>304</v>
      </c>
      <c r="G14" s="136" t="s">
        <v>304</v>
      </c>
      <c r="H14" s="136" t="s">
        <v>304</v>
      </c>
      <c r="I14" s="136" t="s">
        <v>304</v>
      </c>
      <c r="J14" s="136" t="s">
        <v>304</v>
      </c>
      <c r="K14" s="136" t="s">
        <v>304</v>
      </c>
    </row>
    <row r="15" spans="1:15" x14ac:dyDescent="0.25">
      <c r="A15" s="139" t="s">
        <v>307</v>
      </c>
      <c r="B15" s="140" t="s">
        <v>307</v>
      </c>
      <c r="C15" s="140" t="s">
        <v>307</v>
      </c>
      <c r="D15" s="140" t="s">
        <v>307</v>
      </c>
      <c r="E15" s="51"/>
      <c r="F15" s="51"/>
      <c r="G15" s="51"/>
      <c r="H15" s="51"/>
      <c r="I15" s="51"/>
      <c r="J15" s="51"/>
      <c r="K15" s="133"/>
    </row>
    <row r="16" spans="1:15" x14ac:dyDescent="0.25">
      <c r="A16" s="135"/>
      <c r="B16" s="51"/>
      <c r="C16" s="51"/>
      <c r="D16" s="51"/>
      <c r="E16" s="51"/>
      <c r="F16" s="51"/>
      <c r="G16" s="51"/>
      <c r="H16" s="51"/>
      <c r="I16" s="51"/>
      <c r="J16" s="51"/>
      <c r="K16" s="133"/>
    </row>
    <row r="17" spans="1:11" ht="15.75" thickBot="1" x14ac:dyDescent="0.3">
      <c r="A17" s="145"/>
      <c r="B17" s="146"/>
      <c r="C17" s="146"/>
      <c r="D17" s="146"/>
      <c r="E17" s="146"/>
      <c r="F17" s="146"/>
      <c r="G17" s="146"/>
      <c r="H17" s="146"/>
      <c r="I17" s="146"/>
      <c r="J17" s="51"/>
      <c r="K17" s="133"/>
    </row>
    <row r="18" spans="1:11" ht="15.75" thickBot="1" x14ac:dyDescent="0.3">
      <c r="A18" s="148">
        <v>23</v>
      </c>
      <c r="B18" s="149">
        <v>24</v>
      </c>
      <c r="C18" s="149">
        <v>25</v>
      </c>
      <c r="D18" s="149">
        <v>26</v>
      </c>
      <c r="E18" s="149">
        <v>27</v>
      </c>
      <c r="F18" s="149">
        <v>28</v>
      </c>
      <c r="G18" s="149">
        <v>29</v>
      </c>
      <c r="H18" s="149">
        <v>30</v>
      </c>
      <c r="I18" s="154">
        <v>31</v>
      </c>
      <c r="J18" s="155"/>
      <c r="K18" s="156"/>
    </row>
    <row r="19" spans="1:11" x14ac:dyDescent="0.25">
      <c r="A19" s="151"/>
      <c r="B19" s="152"/>
      <c r="C19" s="152"/>
      <c r="D19" s="128" t="s">
        <v>305</v>
      </c>
      <c r="E19" s="128" t="s">
        <v>305</v>
      </c>
      <c r="F19" s="128" t="s">
        <v>305</v>
      </c>
      <c r="G19" s="128" t="s">
        <v>305</v>
      </c>
      <c r="H19" s="128" t="s">
        <v>305</v>
      </c>
      <c r="I19" s="128" t="s">
        <v>305</v>
      </c>
      <c r="J19" s="155"/>
      <c r="K19" s="156"/>
    </row>
    <row r="20" spans="1:11" x14ac:dyDescent="0.25">
      <c r="A20" s="135"/>
      <c r="B20" s="51"/>
      <c r="C20" s="51"/>
      <c r="D20" s="51"/>
      <c r="E20" s="51"/>
      <c r="F20" s="51"/>
      <c r="G20" s="51"/>
      <c r="H20" s="51"/>
      <c r="I20" s="132" t="s">
        <v>306</v>
      </c>
      <c r="J20" s="155"/>
      <c r="K20" s="156"/>
    </row>
    <row r="21" spans="1:11" x14ac:dyDescent="0.25">
      <c r="A21" s="135"/>
      <c r="B21" s="51"/>
      <c r="C21" s="51"/>
      <c r="D21" s="51"/>
      <c r="E21" s="51"/>
      <c r="F21" s="51"/>
      <c r="G21" s="51"/>
      <c r="H21" s="51"/>
      <c r="I21" s="51"/>
      <c r="J21" s="155"/>
      <c r="K21" s="156"/>
    </row>
    <row r="22" spans="1:11" x14ac:dyDescent="0.25">
      <c r="A22" s="135"/>
      <c r="B22" s="51"/>
      <c r="C22" s="51"/>
      <c r="D22" s="51"/>
      <c r="E22" s="51"/>
      <c r="F22" s="51"/>
      <c r="G22" s="51"/>
      <c r="H22" s="51"/>
      <c r="I22" s="51"/>
      <c r="J22" s="155"/>
      <c r="K22" s="156"/>
    </row>
    <row r="23" spans="1:11" x14ac:dyDescent="0.25">
      <c r="A23" s="144" t="s">
        <v>308</v>
      </c>
      <c r="B23" s="144" t="s">
        <v>308</v>
      </c>
      <c r="C23" s="144" t="s">
        <v>308</v>
      </c>
      <c r="D23" s="144" t="s">
        <v>308</v>
      </c>
      <c r="E23" s="144" t="s">
        <v>308</v>
      </c>
      <c r="F23" s="144" t="s">
        <v>308</v>
      </c>
      <c r="G23" s="144" t="s">
        <v>308</v>
      </c>
      <c r="H23" s="144" t="s">
        <v>308</v>
      </c>
      <c r="I23" s="144" t="s">
        <v>308</v>
      </c>
      <c r="J23" s="155"/>
      <c r="K23" s="156"/>
    </row>
    <row r="24" spans="1:11" x14ac:dyDescent="0.25">
      <c r="A24" s="135"/>
      <c r="B24" s="51"/>
      <c r="C24" s="51"/>
      <c r="D24" s="51"/>
      <c r="E24" s="51"/>
      <c r="F24" s="51"/>
      <c r="G24" s="51"/>
      <c r="H24" s="51"/>
      <c r="I24" s="51"/>
      <c r="J24" s="155"/>
      <c r="K24" s="156"/>
    </row>
    <row r="25" spans="1:11" ht="15.75" thickBo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9"/>
      <c r="K25" s="160"/>
    </row>
    <row r="26" spans="1:11" ht="15.75" thickTop="1" x14ac:dyDescent="0.25"/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D56D-BDDF-45DA-9D4C-379A3D0F87C3}">
  <dimension ref="A2:L21"/>
  <sheetViews>
    <sheetView topLeftCell="B1" zoomScale="120" zoomScaleNormal="120" workbookViewId="0">
      <selection activeCell="H3" sqref="H3"/>
    </sheetView>
  </sheetViews>
  <sheetFormatPr defaultRowHeight="15" x14ac:dyDescent="0.25"/>
  <cols>
    <col min="1" max="1" width="13.7109375" customWidth="1"/>
    <col min="2" max="2" width="12.42578125" customWidth="1"/>
    <col min="3" max="3" width="13.7109375" customWidth="1"/>
    <col min="4" max="4" width="11.85546875" customWidth="1"/>
    <col min="5" max="5" width="12.42578125" customWidth="1"/>
    <col min="6" max="6" width="20.5703125" customWidth="1"/>
    <col min="7" max="7" width="14.85546875" customWidth="1"/>
    <col min="8" max="8" width="12.5703125" customWidth="1"/>
    <col min="9" max="9" width="5.140625" customWidth="1"/>
    <col min="10" max="10" width="5.28515625" customWidth="1"/>
    <col min="12" max="12" width="15" customWidth="1"/>
  </cols>
  <sheetData>
    <row r="2" spans="1:12" x14ac:dyDescent="0.25">
      <c r="A2" s="176" t="s">
        <v>320</v>
      </c>
      <c r="B2" s="177" t="s">
        <v>11</v>
      </c>
      <c r="C2" s="177" t="s">
        <v>321</v>
      </c>
      <c r="D2" s="177" t="s">
        <v>322</v>
      </c>
      <c r="E2" s="177" t="s">
        <v>323</v>
      </c>
      <c r="F2" s="177" t="s">
        <v>324</v>
      </c>
      <c r="G2" s="177" t="s">
        <v>325</v>
      </c>
      <c r="H2" s="178" t="s">
        <v>326</v>
      </c>
    </row>
    <row r="3" spans="1:12" x14ac:dyDescent="0.25">
      <c r="A3" s="174" t="s">
        <v>327</v>
      </c>
      <c r="B3" s="164">
        <v>0.04</v>
      </c>
      <c r="C3" s="165">
        <v>13400</v>
      </c>
      <c r="D3" s="166">
        <f>Tabela2[[#This Row],[Preço Compra]]*4/100</f>
        <v>536</v>
      </c>
      <c r="E3" s="166">
        <f>Tabela2[[#This Row],[Preço Compra]]+Tabela2[[#This Row],[Lucro]]</f>
        <v>13936</v>
      </c>
      <c r="F3" s="167">
        <v>3</v>
      </c>
      <c r="G3" s="166">
        <f>Tabela2[[#This Row],[Preço Venda]]/Tabela2[[#This Row],[Financiamento - Meses]]</f>
        <v>4645.333333333333</v>
      </c>
      <c r="H3" s="175" t="str">
        <f>IF(Tabela2[[#This Row],[Preço Venda]]&gt;=25000,"Caro","Barato")</f>
        <v>Barato</v>
      </c>
      <c r="L3" s="168" t="s">
        <v>155</v>
      </c>
    </row>
    <row r="4" spans="1:12" x14ac:dyDescent="0.25">
      <c r="A4" s="174" t="s">
        <v>328</v>
      </c>
      <c r="B4" s="164">
        <v>0.03</v>
      </c>
      <c r="C4" s="165">
        <v>19400</v>
      </c>
      <c r="D4" s="166">
        <f>Tabela2[[#This Row],[Preço Compra]]*4/100</f>
        <v>776</v>
      </c>
      <c r="E4" s="166">
        <f>Tabela2[[#This Row],[Preço Compra]]+Tabela2[[#This Row],[Lucro]]</f>
        <v>20176</v>
      </c>
      <c r="F4" s="167">
        <v>5</v>
      </c>
      <c r="G4" s="166">
        <f>Tabela2[[#This Row],[Preço Venda]]/Tabela2[[#This Row],[Financiamento - Meses]]</f>
        <v>4035.2</v>
      </c>
      <c r="H4" s="175" t="str">
        <f>IF(Tabela2[[#This Row],[Preço Venda]]&gt;=25000,"Caro","Barato")</f>
        <v>Barato</v>
      </c>
      <c r="L4" t="s">
        <v>329</v>
      </c>
    </row>
    <row r="5" spans="1:12" x14ac:dyDescent="0.25">
      <c r="A5" s="174" t="s">
        <v>330</v>
      </c>
      <c r="B5" s="164">
        <v>0.04</v>
      </c>
      <c r="C5" s="165">
        <v>17450</v>
      </c>
      <c r="D5" s="166">
        <f>Tabela2[[#This Row],[Preço Compra]]*4/100</f>
        <v>698</v>
      </c>
      <c r="E5" s="166">
        <f>Tabela2[[#This Row],[Preço Compra]]+Tabela2[[#This Row],[Lucro]]</f>
        <v>18148</v>
      </c>
      <c r="F5" s="167">
        <v>6</v>
      </c>
      <c r="G5" s="166">
        <f>Tabela2[[#This Row],[Preço Venda]]/Tabela2[[#This Row],[Financiamento - Meses]]</f>
        <v>3024.6666666666665</v>
      </c>
      <c r="H5" s="175" t="str">
        <f>IF(Tabela2[[#This Row],[Preço Venda]]&gt;=25000,"Caro","Barato")</f>
        <v>Barato</v>
      </c>
      <c r="L5" t="s">
        <v>331</v>
      </c>
    </row>
    <row r="6" spans="1:12" x14ac:dyDescent="0.25">
      <c r="A6" s="174" t="s">
        <v>332</v>
      </c>
      <c r="B6" s="164">
        <v>0.03</v>
      </c>
      <c r="C6" s="165">
        <v>25300.5</v>
      </c>
      <c r="D6" s="166">
        <f>Tabela2[[#This Row],[Preço Compra]]*4/100</f>
        <v>1012.02</v>
      </c>
      <c r="E6" s="166">
        <f>Tabela2[[#This Row],[Preço Compra]]+Tabela2[[#This Row],[Lucro]]</f>
        <v>26312.52</v>
      </c>
      <c r="F6" s="167">
        <v>5</v>
      </c>
      <c r="G6" s="166">
        <f>Tabela2[[#This Row],[Preço Venda]]/Tabela2[[#This Row],[Financiamento - Meses]]</f>
        <v>5262.5039999999999</v>
      </c>
      <c r="H6" s="175" t="str">
        <f>IF(Tabela2[[#This Row],[Preço Venda]]&gt;=25000,"Caro","Barato")</f>
        <v>Caro</v>
      </c>
      <c r="L6" t="s">
        <v>333</v>
      </c>
    </row>
    <row r="7" spans="1:12" x14ac:dyDescent="0.25">
      <c r="A7" s="174" t="s">
        <v>334</v>
      </c>
      <c r="B7" s="164">
        <v>0.05</v>
      </c>
      <c r="C7" s="165">
        <v>15600</v>
      </c>
      <c r="D7" s="166">
        <f>Tabela2[[#This Row],[Preço Compra]]*4/100</f>
        <v>624</v>
      </c>
      <c r="E7" s="166">
        <f>Tabela2[[#This Row],[Preço Compra]]+Tabela2[[#This Row],[Lucro]]</f>
        <v>16224</v>
      </c>
      <c r="F7" s="167">
        <v>4</v>
      </c>
      <c r="G7" s="166">
        <f>Tabela2[[#This Row],[Preço Venda]]/Tabela2[[#This Row],[Financiamento - Meses]]</f>
        <v>4056</v>
      </c>
      <c r="H7" s="175" t="str">
        <f>IF(Tabela2[[#This Row],[Preço Venda]]&gt;=25000,"Caro","Barato")</f>
        <v>Barato</v>
      </c>
      <c r="L7" t="s">
        <v>335</v>
      </c>
    </row>
    <row r="8" spans="1:12" x14ac:dyDescent="0.25">
      <c r="A8" s="174" t="s">
        <v>336</v>
      </c>
      <c r="B8" s="164">
        <v>0.04</v>
      </c>
      <c r="C8" s="165">
        <v>20000</v>
      </c>
      <c r="D8" s="166">
        <f>Tabela2[[#This Row],[Preço Compra]]*4/100</f>
        <v>800</v>
      </c>
      <c r="E8" s="166">
        <f>Tabela2[[#This Row],[Preço Compra]]+Tabela2[[#This Row],[Lucro]]</f>
        <v>20800</v>
      </c>
      <c r="F8" s="167">
        <v>4</v>
      </c>
      <c r="G8" s="166">
        <f>Tabela2[[#This Row],[Preço Venda]]/Tabela2[[#This Row],[Financiamento - Meses]]</f>
        <v>5200</v>
      </c>
      <c r="H8" s="175" t="str">
        <f>IF(Tabela2[[#This Row],[Preço Venda]]&gt;=25000,"Caro","Barato")</f>
        <v>Barato</v>
      </c>
      <c r="L8" t="s">
        <v>337</v>
      </c>
    </row>
    <row r="9" spans="1:12" x14ac:dyDescent="0.25">
      <c r="A9" s="174" t="s">
        <v>334</v>
      </c>
      <c r="B9" s="164">
        <v>0.06</v>
      </c>
      <c r="C9" s="165">
        <v>13780</v>
      </c>
      <c r="D9" s="166">
        <f>Tabela2[[#This Row],[Preço Compra]]*4/100</f>
        <v>551.20000000000005</v>
      </c>
      <c r="E9" s="166">
        <f>Tabela2[[#This Row],[Preço Compra]]+Tabela2[[#This Row],[Lucro]]</f>
        <v>14331.2</v>
      </c>
      <c r="F9" s="167">
        <v>3</v>
      </c>
      <c r="G9" s="166">
        <f>Tabela2[[#This Row],[Preço Venda]]/Tabela2[[#This Row],[Financiamento - Meses]]</f>
        <v>4777.0666666666666</v>
      </c>
      <c r="H9" s="175" t="str">
        <f>IF(Tabela2[[#This Row],[Preço Venda]]&gt;=25000,"Caro","Barato")</f>
        <v>Barato</v>
      </c>
    </row>
    <row r="10" spans="1:12" x14ac:dyDescent="0.25">
      <c r="A10" s="174" t="s">
        <v>328</v>
      </c>
      <c r="B10" s="164">
        <v>0.04</v>
      </c>
      <c r="C10" s="165">
        <v>21600.5</v>
      </c>
      <c r="D10" s="166">
        <f>Tabela2[[#This Row],[Preço Compra]]*4/100</f>
        <v>864.02</v>
      </c>
      <c r="E10" s="166">
        <f>Tabela2[[#This Row],[Preço Compra]]+Tabela2[[#This Row],[Lucro]]</f>
        <v>22464.52</v>
      </c>
      <c r="F10" s="167">
        <v>6</v>
      </c>
      <c r="G10" s="166">
        <f>Tabela2[[#This Row],[Preço Venda]]/Tabela2[[#This Row],[Financiamento - Meses]]</f>
        <v>3744.0866666666666</v>
      </c>
      <c r="H10" s="175" t="str">
        <f>IF(Tabela2[[#This Row],[Preço Venda]]&gt;=25000,"Caro","Barato")</f>
        <v>Barato</v>
      </c>
    </row>
    <row r="11" spans="1:12" x14ac:dyDescent="0.25">
      <c r="A11" s="174" t="s">
        <v>338</v>
      </c>
      <c r="B11" s="164">
        <v>0.03</v>
      </c>
      <c r="C11" s="165">
        <v>29550</v>
      </c>
      <c r="D11" s="166">
        <f>Tabela2[[#This Row],[Preço Compra]]*4/100</f>
        <v>1182</v>
      </c>
      <c r="E11" s="166">
        <f>Tabela2[[#This Row],[Preço Compra]]+Tabela2[[#This Row],[Lucro]]</f>
        <v>30732</v>
      </c>
      <c r="F11" s="167">
        <v>10</v>
      </c>
      <c r="G11" s="166">
        <f>Tabela2[[#This Row],[Preço Venda]]/Tabela2[[#This Row],[Financiamento - Meses]]</f>
        <v>3073.2</v>
      </c>
      <c r="H11" s="175" t="str">
        <f>IF(Tabela2[[#This Row],[Preço Venda]]&gt;=25000,"Caro","Barato")</f>
        <v>Caro</v>
      </c>
    </row>
    <row r="12" spans="1:12" x14ac:dyDescent="0.25">
      <c r="A12" s="174" t="s">
        <v>339</v>
      </c>
      <c r="B12" s="164">
        <v>0.06</v>
      </c>
      <c r="C12" s="165">
        <v>15500</v>
      </c>
      <c r="D12" s="166">
        <f>Tabela2[[#This Row],[Preço Compra]]*4/100</f>
        <v>620</v>
      </c>
      <c r="E12" s="166">
        <f>Tabela2[[#This Row],[Preço Compra]]+Tabela2[[#This Row],[Lucro]]</f>
        <v>16120</v>
      </c>
      <c r="F12" s="167">
        <v>6</v>
      </c>
      <c r="G12" s="166">
        <f>Tabela2[[#This Row],[Preço Venda]]/Tabela2[[#This Row],[Financiamento - Meses]]</f>
        <v>2686.6666666666665</v>
      </c>
      <c r="H12" s="175" t="str">
        <f>IF(Tabela2[[#This Row],[Preço Venda]]&gt;=25000,"Caro","Barato")</f>
        <v>Barato</v>
      </c>
      <c r="L12" t="s">
        <v>346</v>
      </c>
    </row>
    <row r="13" spans="1:12" x14ac:dyDescent="0.25">
      <c r="A13" s="174" t="s">
        <v>339</v>
      </c>
      <c r="B13" s="164">
        <v>0.05</v>
      </c>
      <c r="C13" s="165">
        <v>18600</v>
      </c>
      <c r="D13" s="166">
        <f>Tabela2[[#This Row],[Preço Compra]]*4/100</f>
        <v>744</v>
      </c>
      <c r="E13" s="166">
        <f>Tabela2[[#This Row],[Preço Compra]]+Tabela2[[#This Row],[Lucro]]</f>
        <v>19344</v>
      </c>
      <c r="F13" s="167">
        <v>6</v>
      </c>
      <c r="G13" s="166">
        <f>Tabela2[[#This Row],[Preço Venda]]/Tabela2[[#This Row],[Financiamento - Meses]]</f>
        <v>3224</v>
      </c>
      <c r="H13" s="175" t="str">
        <f>IF(Tabela2[[#This Row],[Preço Venda]]&gt;=25000,"Caro","Barato")</f>
        <v>Barato</v>
      </c>
    </row>
    <row r="14" spans="1:12" x14ac:dyDescent="0.25">
      <c r="A14" s="174" t="s">
        <v>330</v>
      </c>
      <c r="B14" s="164">
        <v>0.05</v>
      </c>
      <c r="C14" s="165">
        <v>19900</v>
      </c>
      <c r="D14" s="166">
        <f>Tabela2[[#This Row],[Preço Compra]]*4/100</f>
        <v>796</v>
      </c>
      <c r="E14" s="166">
        <f>Tabela2[[#This Row],[Preço Compra]]+Tabela2[[#This Row],[Lucro]]</f>
        <v>20696</v>
      </c>
      <c r="F14" s="167">
        <v>6</v>
      </c>
      <c r="G14" s="166">
        <f>Tabela2[[#This Row],[Preço Venda]]/Tabela2[[#This Row],[Financiamento - Meses]]</f>
        <v>3449.3333333333335</v>
      </c>
      <c r="H14" s="175" t="str">
        <f>IF(Tabela2[[#This Row],[Preço Venda]]&gt;=25000,"Caro","Barato")</f>
        <v>Barato</v>
      </c>
      <c r="L14" t="s">
        <v>345</v>
      </c>
    </row>
    <row r="15" spans="1:12" x14ac:dyDescent="0.25">
      <c r="A15" s="174" t="s">
        <v>328</v>
      </c>
      <c r="B15" s="164">
        <v>0.05</v>
      </c>
      <c r="C15" s="165">
        <v>20000.5</v>
      </c>
      <c r="D15" s="166">
        <f>Tabela2[[#This Row],[Preço Compra]]*4/100</f>
        <v>800.02</v>
      </c>
      <c r="E15" s="166">
        <f>Tabela2[[#This Row],[Preço Compra]]+Tabela2[[#This Row],[Lucro]]</f>
        <v>20800.52</v>
      </c>
      <c r="F15" s="167">
        <v>6</v>
      </c>
      <c r="G15" s="166">
        <f>Tabela2[[#This Row],[Preço Venda]]/Tabela2[[#This Row],[Financiamento - Meses]]</f>
        <v>3466.7533333333336</v>
      </c>
      <c r="H15" s="175" t="str">
        <f>IF(Tabela2[[#This Row],[Preço Venda]]&gt;=25000,"Caro","Barato")</f>
        <v>Barato</v>
      </c>
    </row>
    <row r="16" spans="1:12" x14ac:dyDescent="0.25">
      <c r="A16" s="174" t="s">
        <v>334</v>
      </c>
      <c r="B16" s="164">
        <v>7.0000000000000007E-2</v>
      </c>
      <c r="C16" s="165">
        <v>14600</v>
      </c>
      <c r="D16" s="166">
        <f>Tabela2[[#This Row],[Preço Compra]]*4/100</f>
        <v>584</v>
      </c>
      <c r="E16" s="166">
        <f>Tabela2[[#This Row],[Preço Compra]]+Tabela2[[#This Row],[Lucro]]</f>
        <v>15184</v>
      </c>
      <c r="F16" s="167">
        <v>2</v>
      </c>
      <c r="G16" s="166">
        <f>Tabela2[[#This Row],[Preço Venda]]/Tabela2[[#This Row],[Financiamento - Meses]]</f>
        <v>7592</v>
      </c>
      <c r="H16" s="175" t="str">
        <f>IF(Tabela2[[#This Row],[Preço Venda]]&gt;=25000,"Caro","Barato")</f>
        <v>Barato</v>
      </c>
    </row>
    <row r="17" spans="1:8" x14ac:dyDescent="0.25">
      <c r="A17" s="174" t="s">
        <v>338</v>
      </c>
      <c r="B17" s="164">
        <v>0.04</v>
      </c>
      <c r="C17" s="165">
        <v>26400</v>
      </c>
      <c r="D17" s="166">
        <f>Tabela2[[#This Row],[Preço Compra]]*4/100</f>
        <v>1056</v>
      </c>
      <c r="E17" s="166">
        <f>Tabela2[[#This Row],[Preço Compra]]+Tabela2[[#This Row],[Lucro]]</f>
        <v>27456</v>
      </c>
      <c r="F17" s="167">
        <v>5</v>
      </c>
      <c r="G17" s="166">
        <f>Tabela2[[#This Row],[Preço Venda]]/Tabela2[[#This Row],[Financiamento - Meses]]</f>
        <v>5491.2</v>
      </c>
      <c r="H17" s="175" t="str">
        <f>IF(Tabela2[[#This Row],[Preço Venda]]&gt;=25000,"Caro","Barato")</f>
        <v>Caro</v>
      </c>
    </row>
    <row r="18" spans="1:8" x14ac:dyDescent="0.25">
      <c r="A18" s="174" t="s">
        <v>340</v>
      </c>
      <c r="B18" s="164">
        <v>7.0000000000000007E-2</v>
      </c>
      <c r="C18" s="165">
        <v>15500.5</v>
      </c>
      <c r="D18" s="166">
        <f>Tabela2[[#This Row],[Preço Compra]]*4/100</f>
        <v>620.02</v>
      </c>
      <c r="E18" s="166">
        <f>Tabela2[[#This Row],[Preço Compra]]+Tabela2[[#This Row],[Lucro]]</f>
        <v>16120.52</v>
      </c>
      <c r="F18" s="167">
        <v>3</v>
      </c>
      <c r="G18" s="166">
        <f>Tabela2[[#This Row],[Preço Venda]]/Tabela2[[#This Row],[Financiamento - Meses]]</f>
        <v>5373.5066666666671</v>
      </c>
      <c r="H18" s="175" t="str">
        <f>IF(Tabela2[[#This Row],[Preço Venda]]&gt;=25000,"Caro","Barato")</f>
        <v>Barato</v>
      </c>
    </row>
    <row r="19" spans="1:8" x14ac:dyDescent="0.25">
      <c r="A19" s="174" t="s">
        <v>341</v>
      </c>
      <c r="B19" s="164">
        <v>7.0000000000000007E-2</v>
      </c>
      <c r="C19" s="165">
        <v>16890</v>
      </c>
      <c r="D19" s="166">
        <f>Tabela2[[#This Row],[Preço Compra]]*4/100</f>
        <v>675.6</v>
      </c>
      <c r="E19" s="166">
        <f>Tabela2[[#This Row],[Preço Compra]]+Tabela2[[#This Row],[Lucro]]</f>
        <v>17565.599999999999</v>
      </c>
      <c r="F19" s="167">
        <v>6</v>
      </c>
      <c r="G19" s="166">
        <f>Tabela2[[#This Row],[Preço Venda]]/Tabela2[[#This Row],[Financiamento - Meses]]</f>
        <v>2927.6</v>
      </c>
      <c r="H19" s="175" t="str">
        <f>IF(Tabela2[[#This Row],[Preço Venda]]&gt;=25000,"Caro","Barato")</f>
        <v>Barato</v>
      </c>
    </row>
    <row r="20" spans="1:8" x14ac:dyDescent="0.25">
      <c r="A20" s="174" t="s">
        <v>336</v>
      </c>
      <c r="B20" s="164">
        <v>0.06</v>
      </c>
      <c r="C20" s="165">
        <v>21400</v>
      </c>
      <c r="D20" s="166">
        <f>Tabela2[[#This Row],[Preço Compra]]*4/100</f>
        <v>856</v>
      </c>
      <c r="E20" s="166">
        <f>Tabela2[[#This Row],[Preço Compra]]+Tabela2[[#This Row],[Lucro]]</f>
        <v>22256</v>
      </c>
      <c r="F20" s="167">
        <v>5</v>
      </c>
      <c r="G20" s="166">
        <f>Tabela2[[#This Row],[Preço Venda]]/Tabela2[[#This Row],[Financiamento - Meses]]</f>
        <v>4451.2</v>
      </c>
      <c r="H20" s="175" t="str">
        <f>IF(Tabela2[[#This Row],[Preço Venda]]&gt;=25000,"Caro","Barato")</f>
        <v>Barato</v>
      </c>
    </row>
    <row r="21" spans="1:8" x14ac:dyDescent="0.25">
      <c r="A21" s="179" t="s">
        <v>336</v>
      </c>
      <c r="B21" s="180">
        <v>0.05</v>
      </c>
      <c r="C21" s="181">
        <v>28000</v>
      </c>
      <c r="D21" s="182">
        <f>Tabela2[[#This Row],[Preço Compra]]*4/100</f>
        <v>1120</v>
      </c>
      <c r="E21" s="182">
        <f>Tabela2[[#This Row],[Preço Compra]]+Tabela2[[#This Row],[Lucro]]</f>
        <v>29120</v>
      </c>
      <c r="F21" s="183">
        <v>4</v>
      </c>
      <c r="G21" s="182">
        <f>Tabela2[[#This Row],[Preço Venda]]/Tabela2[[#This Row],[Financiamento - Meses]]</f>
        <v>7280</v>
      </c>
      <c r="H21" s="184" t="str">
        <f>IF(Tabela2[[#This Row],[Preço Venda]]&gt;=25000,"Caro","Barato")</f>
        <v>Caro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8966-81D1-4828-800C-D3F3A4BBCFB0}">
  <dimension ref="B1:M27"/>
  <sheetViews>
    <sheetView topLeftCell="A4" workbookViewId="0">
      <selection activeCell="K15" sqref="K15"/>
    </sheetView>
  </sheetViews>
  <sheetFormatPr defaultRowHeight="15" x14ac:dyDescent="0.25"/>
  <cols>
    <col min="1" max="1" width="1.140625" customWidth="1"/>
    <col min="2" max="2" width="43.28515625" bestFit="1" customWidth="1"/>
    <col min="3" max="3" width="23.85546875" customWidth="1"/>
    <col min="4" max="4" width="14.140625" style="68" customWidth="1"/>
    <col min="5" max="5" width="13.42578125" customWidth="1"/>
    <col min="6" max="6" width="12.140625" customWidth="1"/>
    <col min="7" max="7" width="25.85546875" customWidth="1"/>
    <col min="8" max="8" width="4.28515625" customWidth="1"/>
  </cols>
  <sheetData>
    <row r="1" spans="2:13" ht="15.75" x14ac:dyDescent="0.25">
      <c r="B1" s="67" t="s">
        <v>172</v>
      </c>
    </row>
    <row r="3" spans="2:13" ht="30" x14ac:dyDescent="0.25">
      <c r="B3" s="69" t="s">
        <v>173</v>
      </c>
      <c r="C3" s="69" t="s">
        <v>174</v>
      </c>
      <c r="D3" s="70" t="s">
        <v>175</v>
      </c>
      <c r="E3" s="69" t="s">
        <v>176</v>
      </c>
      <c r="F3" s="69" t="s">
        <v>177</v>
      </c>
      <c r="G3" s="69" t="s">
        <v>178</v>
      </c>
    </row>
    <row r="4" spans="2:13" ht="15.75" thickBot="1" x14ac:dyDescent="0.3">
      <c r="B4" s="71" t="s">
        <v>179</v>
      </c>
      <c r="C4" s="71" t="s">
        <v>180</v>
      </c>
      <c r="D4" s="72">
        <v>46302</v>
      </c>
      <c r="E4" s="73">
        <v>62.332331700797063</v>
      </c>
      <c r="F4" s="73">
        <v>86.300647359877587</v>
      </c>
      <c r="G4" s="71" t="str">
        <f>IF(F4&gt;=E4,"Conforme Planeado","Atrasado")</f>
        <v>Conforme Planeado</v>
      </c>
      <c r="I4" s="66" t="s">
        <v>155</v>
      </c>
    </row>
    <row r="5" spans="2:13" x14ac:dyDescent="0.25">
      <c r="B5" s="71" t="s">
        <v>181</v>
      </c>
      <c r="C5" s="71" t="s">
        <v>182</v>
      </c>
      <c r="D5" s="72">
        <v>46132.375</v>
      </c>
      <c r="E5" s="73">
        <v>56.584152629687601</v>
      </c>
      <c r="F5" s="73">
        <v>72.38</v>
      </c>
      <c r="G5" s="71" t="str">
        <f t="shared" ref="G5:G27" si="0">IF(F5&gt;=E5,"Conforme Planeado","Atrasado")</f>
        <v>Conforme Planeado</v>
      </c>
      <c r="I5" s="204" t="s">
        <v>344</v>
      </c>
      <c r="J5" s="205"/>
      <c r="K5" s="205"/>
      <c r="L5" s="205"/>
      <c r="M5" s="206"/>
    </row>
    <row r="6" spans="2:13" x14ac:dyDescent="0.25">
      <c r="B6" s="71" t="s">
        <v>183</v>
      </c>
      <c r="C6" s="71" t="s">
        <v>184</v>
      </c>
      <c r="D6" s="72">
        <v>46162</v>
      </c>
      <c r="E6" s="73">
        <v>14.425887184123642</v>
      </c>
      <c r="F6" s="73">
        <v>88.091101660188315</v>
      </c>
      <c r="G6" s="71" t="str">
        <f t="shared" si="0"/>
        <v>Conforme Planeado</v>
      </c>
      <c r="I6" s="207"/>
      <c r="J6" s="208"/>
      <c r="K6" s="208"/>
      <c r="L6" s="208"/>
      <c r="M6" s="209"/>
    </row>
    <row r="7" spans="2:13" x14ac:dyDescent="0.25">
      <c r="B7" s="71" t="s">
        <v>185</v>
      </c>
      <c r="C7" s="71" t="s">
        <v>184</v>
      </c>
      <c r="D7" s="72">
        <v>45999</v>
      </c>
      <c r="E7" s="73">
        <v>100</v>
      </c>
      <c r="F7" s="73">
        <v>78.359451416792396</v>
      </c>
      <c r="G7" s="71" t="str">
        <f t="shared" si="0"/>
        <v>Atrasado</v>
      </c>
      <c r="I7" s="207"/>
      <c r="J7" s="208"/>
      <c r="K7" s="208"/>
      <c r="L7" s="208"/>
      <c r="M7" s="209"/>
    </row>
    <row r="8" spans="2:13" x14ac:dyDescent="0.25">
      <c r="B8" s="71" t="s">
        <v>186</v>
      </c>
      <c r="C8" s="71" t="s">
        <v>187</v>
      </c>
      <c r="D8" s="72">
        <v>46265</v>
      </c>
      <c r="E8" s="73">
        <v>17.727755113025502</v>
      </c>
      <c r="F8" s="73">
        <v>86.168354687005504</v>
      </c>
      <c r="G8" s="71" t="str">
        <f t="shared" si="0"/>
        <v>Conforme Planeado</v>
      </c>
      <c r="I8" s="207"/>
      <c r="J8" s="208"/>
      <c r="K8" s="208"/>
      <c r="L8" s="208"/>
      <c r="M8" s="209"/>
    </row>
    <row r="9" spans="2:13" ht="15.75" thickBot="1" x14ac:dyDescent="0.3">
      <c r="B9" s="71" t="s">
        <v>188</v>
      </c>
      <c r="C9" s="71" t="s">
        <v>180</v>
      </c>
      <c r="D9" s="72">
        <v>45985</v>
      </c>
      <c r="E9" s="73">
        <v>100</v>
      </c>
      <c r="F9" s="73">
        <v>98.3</v>
      </c>
      <c r="G9" s="71" t="str">
        <f t="shared" si="0"/>
        <v>Atrasado</v>
      </c>
      <c r="I9" s="210"/>
      <c r="J9" s="211"/>
      <c r="K9" s="211"/>
      <c r="L9" s="211"/>
      <c r="M9" s="212"/>
    </row>
    <row r="10" spans="2:13" x14ac:dyDescent="0.25">
      <c r="B10" s="71" t="s">
        <v>189</v>
      </c>
      <c r="C10" s="71" t="s">
        <v>180</v>
      </c>
      <c r="D10" s="72">
        <v>46358.375</v>
      </c>
      <c r="E10" s="73">
        <v>20.58419875834926</v>
      </c>
      <c r="F10" s="73">
        <v>30.277083215153521</v>
      </c>
      <c r="G10" s="71" t="str">
        <f t="shared" si="0"/>
        <v>Conforme Planeado</v>
      </c>
    </row>
    <row r="11" spans="2:13" x14ac:dyDescent="0.25">
      <c r="B11" s="71" t="s">
        <v>190</v>
      </c>
      <c r="C11" s="71" t="s">
        <v>184</v>
      </c>
      <c r="D11" s="72">
        <v>45974.375</v>
      </c>
      <c r="E11" s="73">
        <v>100</v>
      </c>
      <c r="F11" s="73">
        <v>38.289424560259711</v>
      </c>
      <c r="G11" s="71" t="str">
        <f t="shared" si="0"/>
        <v>Atrasado</v>
      </c>
      <c r="I11" s="169" t="s">
        <v>343</v>
      </c>
    </row>
    <row r="12" spans="2:13" ht="15.75" x14ac:dyDescent="0.25">
      <c r="B12" s="71" t="s">
        <v>191</v>
      </c>
      <c r="C12" s="71" t="s">
        <v>187</v>
      </c>
      <c r="D12" s="72">
        <v>46016.375</v>
      </c>
      <c r="E12" s="73">
        <v>9.3285147912703152</v>
      </c>
      <c r="F12" s="73">
        <v>53.844252535744729</v>
      </c>
      <c r="G12" s="71" t="str">
        <f t="shared" si="0"/>
        <v>Conforme Planeado</v>
      </c>
      <c r="J12" s="67"/>
    </row>
    <row r="13" spans="2:13" x14ac:dyDescent="0.25">
      <c r="B13" s="71" t="s">
        <v>192</v>
      </c>
      <c r="C13" s="71" t="s">
        <v>193</v>
      </c>
      <c r="D13" s="72">
        <v>45918.375</v>
      </c>
      <c r="E13" s="73">
        <v>63.6814575829533</v>
      </c>
      <c r="F13" s="73">
        <v>49.221071323773081</v>
      </c>
      <c r="G13" s="71" t="str">
        <f t="shared" si="0"/>
        <v>Atrasado</v>
      </c>
    </row>
    <row r="14" spans="2:13" x14ac:dyDescent="0.25">
      <c r="B14" s="71" t="s">
        <v>194</v>
      </c>
      <c r="C14" s="71" t="s">
        <v>184</v>
      </c>
      <c r="D14" s="72">
        <v>46382.375</v>
      </c>
      <c r="E14" s="73">
        <v>61.914773199721942</v>
      </c>
      <c r="F14" s="73">
        <v>18.779607552222799</v>
      </c>
      <c r="G14" s="71" t="str">
        <f t="shared" si="0"/>
        <v>Atrasado</v>
      </c>
    </row>
    <row r="15" spans="2:13" x14ac:dyDescent="0.25">
      <c r="B15" s="71" t="s">
        <v>195</v>
      </c>
      <c r="C15" s="71" t="s">
        <v>196</v>
      </c>
      <c r="D15" s="72">
        <v>45675.375</v>
      </c>
      <c r="E15" s="73">
        <v>61.16</v>
      </c>
      <c r="F15" s="73">
        <v>36.716933934576801</v>
      </c>
      <c r="G15" s="71" t="str">
        <f t="shared" si="0"/>
        <v>Atrasado</v>
      </c>
    </row>
    <row r="16" spans="2:13" x14ac:dyDescent="0.25">
      <c r="B16" s="71" t="s">
        <v>197</v>
      </c>
      <c r="C16" s="71" t="s">
        <v>187</v>
      </c>
      <c r="D16" s="72">
        <v>46150.375</v>
      </c>
      <c r="E16" s="73">
        <v>89.051056380571964</v>
      </c>
      <c r="F16" s="73">
        <v>52.469927405192642</v>
      </c>
      <c r="G16" s="71" t="str">
        <f t="shared" si="0"/>
        <v>Atrasado</v>
      </c>
    </row>
    <row r="17" spans="2:10" x14ac:dyDescent="0.25">
      <c r="B17" s="71" t="s">
        <v>198</v>
      </c>
      <c r="C17" s="71" t="s">
        <v>180</v>
      </c>
      <c r="D17" s="72">
        <v>46343.375</v>
      </c>
      <c r="E17" s="73">
        <v>59.743585934506896</v>
      </c>
      <c r="F17" s="73">
        <v>13.563404768726596</v>
      </c>
      <c r="G17" s="71" t="str">
        <f t="shared" si="0"/>
        <v>Atrasado</v>
      </c>
    </row>
    <row r="18" spans="2:10" x14ac:dyDescent="0.25">
      <c r="B18" s="71" t="s">
        <v>199</v>
      </c>
      <c r="C18" s="71" t="s">
        <v>180</v>
      </c>
      <c r="D18" s="72">
        <v>46381.375</v>
      </c>
      <c r="E18" s="73">
        <v>54.422739746532002</v>
      </c>
      <c r="F18" s="73">
        <v>18.059903389328557</v>
      </c>
      <c r="G18" s="71" t="str">
        <f t="shared" si="0"/>
        <v>Atrasado</v>
      </c>
      <c r="J18" t="s">
        <v>347</v>
      </c>
    </row>
    <row r="19" spans="2:10" x14ac:dyDescent="0.25">
      <c r="B19" s="71" t="s">
        <v>200</v>
      </c>
      <c r="C19" s="71" t="s">
        <v>182</v>
      </c>
      <c r="D19" s="72">
        <v>46353</v>
      </c>
      <c r="E19" s="73">
        <v>46.548676438853285</v>
      </c>
      <c r="F19" s="73">
        <v>91.155451691468997</v>
      </c>
      <c r="G19" s="71" t="str">
        <f t="shared" si="0"/>
        <v>Conforme Planeado</v>
      </c>
    </row>
    <row r="20" spans="2:10" x14ac:dyDescent="0.25">
      <c r="B20" s="71" t="s">
        <v>201</v>
      </c>
      <c r="C20" s="71" t="s">
        <v>180</v>
      </c>
      <c r="D20" s="72">
        <v>46079.375</v>
      </c>
      <c r="E20" s="73">
        <v>33.048607855227672</v>
      </c>
      <c r="F20" s="73">
        <v>24.062173502366523</v>
      </c>
      <c r="G20" s="71" t="str">
        <f t="shared" si="0"/>
        <v>Atrasado</v>
      </c>
    </row>
    <row r="21" spans="2:10" x14ac:dyDescent="0.25">
      <c r="B21" s="71" t="s">
        <v>202</v>
      </c>
      <c r="C21" s="71" t="s">
        <v>184</v>
      </c>
      <c r="D21" s="72">
        <v>46211.375</v>
      </c>
      <c r="E21" s="73">
        <v>66.028217307308154</v>
      </c>
      <c r="F21" s="73">
        <v>66.659039624725111</v>
      </c>
      <c r="G21" s="71" t="str">
        <f t="shared" si="0"/>
        <v>Conforme Planeado</v>
      </c>
    </row>
    <row r="22" spans="2:10" x14ac:dyDescent="0.25">
      <c r="B22" s="71" t="s">
        <v>203</v>
      </c>
      <c r="C22" s="71" t="s">
        <v>187</v>
      </c>
      <c r="D22" s="72">
        <v>45726.375</v>
      </c>
      <c r="E22" s="73">
        <v>62.787426134046356</v>
      </c>
      <c r="F22" s="73">
        <v>25.122379732952759</v>
      </c>
      <c r="G22" s="71" t="str">
        <f t="shared" si="0"/>
        <v>Atrasado</v>
      </c>
      <c r="J22" t="s">
        <v>348</v>
      </c>
    </row>
    <row r="23" spans="2:10" x14ac:dyDescent="0.25">
      <c r="B23" s="71" t="s">
        <v>204</v>
      </c>
      <c r="C23" s="71" t="s">
        <v>182</v>
      </c>
      <c r="D23" s="72">
        <v>45784.375</v>
      </c>
      <c r="E23" s="73">
        <v>6.490079873310572</v>
      </c>
      <c r="F23" s="73">
        <v>2.2999999999999998</v>
      </c>
      <c r="G23" s="71" t="str">
        <f t="shared" si="0"/>
        <v>Atrasado</v>
      </c>
    </row>
    <row r="24" spans="2:10" x14ac:dyDescent="0.25">
      <c r="B24" s="71" t="s">
        <v>205</v>
      </c>
      <c r="C24" s="71" t="s">
        <v>184</v>
      </c>
      <c r="D24" s="72">
        <v>45810.375</v>
      </c>
      <c r="E24" s="73">
        <v>24.177178474789329</v>
      </c>
      <c r="F24" s="73">
        <v>24.772342167621318</v>
      </c>
      <c r="G24" s="71" t="str">
        <f t="shared" si="0"/>
        <v>Conforme Planeado</v>
      </c>
    </row>
    <row r="25" spans="2:10" x14ac:dyDescent="0.25">
      <c r="B25" s="71" t="s">
        <v>206</v>
      </c>
      <c r="C25" s="71" t="s">
        <v>193</v>
      </c>
      <c r="D25" s="72">
        <v>46173</v>
      </c>
      <c r="E25" s="73">
        <v>68.4996441286183</v>
      </c>
      <c r="F25" s="73">
        <v>98.217691177803616</v>
      </c>
      <c r="G25" s="71" t="str">
        <f t="shared" si="0"/>
        <v>Conforme Planeado</v>
      </c>
    </row>
    <row r="26" spans="2:10" x14ac:dyDescent="0.25">
      <c r="B26" s="71" t="s">
        <v>207</v>
      </c>
      <c r="C26" s="71" t="s">
        <v>196</v>
      </c>
      <c r="D26" s="72">
        <v>46092</v>
      </c>
      <c r="E26" s="73">
        <v>2.806490526553862</v>
      </c>
      <c r="F26" s="73">
        <v>2.1049821058019558</v>
      </c>
      <c r="G26" s="71" t="str">
        <f t="shared" si="0"/>
        <v>Atrasado</v>
      </c>
    </row>
    <row r="27" spans="2:10" x14ac:dyDescent="0.25">
      <c r="B27" s="71" t="s">
        <v>208</v>
      </c>
      <c r="C27" s="71" t="s">
        <v>184</v>
      </c>
      <c r="D27" s="72">
        <v>46352</v>
      </c>
      <c r="E27" s="73">
        <v>84.634838324737345</v>
      </c>
      <c r="F27" s="73">
        <v>60.157652251368887</v>
      </c>
      <c r="G27" s="71" t="str">
        <f t="shared" si="0"/>
        <v>Atrasado</v>
      </c>
    </row>
  </sheetData>
  <mergeCells count="1">
    <mergeCell ref="I5:M9"/>
  </mergeCells>
  <conditionalFormatting sqref="G4">
    <cfRule type="cellIs" dxfId="2" priority="3" operator="equal">
      <formula>$G$7</formula>
    </cfRule>
  </conditionalFormatting>
  <conditionalFormatting sqref="G4:G27">
    <cfRule type="cellIs" dxfId="1" priority="1" operator="equal">
      <formula>"Atrasado"</formula>
    </cfRule>
    <cfRule type="cellIs" dxfId="0" priority="2" operator="equal">
      <formula>"Atrasado"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E0D1-2348-4592-A9E6-53C59116049D}">
  <dimension ref="A1:J57"/>
  <sheetViews>
    <sheetView topLeftCell="A35" workbookViewId="0">
      <selection activeCell="L40" sqref="L40"/>
    </sheetView>
  </sheetViews>
  <sheetFormatPr defaultRowHeight="12.75" outlineLevelRow="2" x14ac:dyDescent="0.25"/>
  <cols>
    <col min="1" max="1" width="4.42578125" style="87" customWidth="1"/>
    <col min="2" max="2" width="15.85546875" style="87" bestFit="1" customWidth="1"/>
    <col min="3" max="3" width="14.140625" style="87" customWidth="1"/>
    <col min="4" max="4" width="12.28515625" style="87" bestFit="1" customWidth="1"/>
    <col min="5" max="5" width="14" style="87" bestFit="1" customWidth="1"/>
    <col min="6" max="6" width="20.7109375" style="87" customWidth="1"/>
    <col min="7" max="7" width="14" style="87" customWidth="1"/>
    <col min="8" max="8" width="12" style="87" customWidth="1"/>
    <col min="9" max="252" width="9.140625" style="87"/>
    <col min="253" max="253" width="4.42578125" style="87" bestFit="1" customWidth="1"/>
    <col min="254" max="254" width="15.85546875" style="87" bestFit="1" customWidth="1"/>
    <col min="255" max="255" width="37.85546875" style="87" customWidth="1"/>
    <col min="256" max="256" width="8.85546875" style="87" customWidth="1"/>
    <col min="257" max="257" width="12.42578125" style="87" bestFit="1" customWidth="1"/>
    <col min="258" max="258" width="12.28515625" style="87" bestFit="1" customWidth="1"/>
    <col min="259" max="259" width="14" style="87" bestFit="1" customWidth="1"/>
    <col min="260" max="260" width="13.5703125" style="87" bestFit="1" customWidth="1"/>
    <col min="261" max="261" width="10.28515625" style="87" bestFit="1" customWidth="1"/>
    <col min="262" max="262" width="7.85546875" style="87" bestFit="1" customWidth="1"/>
    <col min="263" max="263" width="12.140625" style="87" bestFit="1" customWidth="1"/>
    <col min="264" max="264" width="12" style="87" bestFit="1" customWidth="1"/>
    <col min="265" max="508" width="9.140625" style="87"/>
    <col min="509" max="509" width="4.42578125" style="87" bestFit="1" customWidth="1"/>
    <col min="510" max="510" width="15.85546875" style="87" bestFit="1" customWidth="1"/>
    <col min="511" max="511" width="37.85546875" style="87" customWidth="1"/>
    <col min="512" max="512" width="8.85546875" style="87" customWidth="1"/>
    <col min="513" max="513" width="12.42578125" style="87" bestFit="1" customWidth="1"/>
    <col min="514" max="514" width="12.28515625" style="87" bestFit="1" customWidth="1"/>
    <col min="515" max="515" width="14" style="87" bestFit="1" customWidth="1"/>
    <col min="516" max="516" width="13.5703125" style="87" bestFit="1" customWidth="1"/>
    <col min="517" max="517" width="10.28515625" style="87" bestFit="1" customWidth="1"/>
    <col min="518" max="518" width="7.85546875" style="87" bestFit="1" customWidth="1"/>
    <col min="519" max="519" width="12.140625" style="87" bestFit="1" customWidth="1"/>
    <col min="520" max="520" width="12" style="87" bestFit="1" customWidth="1"/>
    <col min="521" max="764" width="9.140625" style="87"/>
    <col min="765" max="765" width="4.42578125" style="87" bestFit="1" customWidth="1"/>
    <col min="766" max="766" width="15.85546875" style="87" bestFit="1" customWidth="1"/>
    <col min="767" max="767" width="37.85546875" style="87" customWidth="1"/>
    <col min="768" max="768" width="8.85546875" style="87" customWidth="1"/>
    <col min="769" max="769" width="12.42578125" style="87" bestFit="1" customWidth="1"/>
    <col min="770" max="770" width="12.28515625" style="87" bestFit="1" customWidth="1"/>
    <col min="771" max="771" width="14" style="87" bestFit="1" customWidth="1"/>
    <col min="772" max="772" width="13.5703125" style="87" bestFit="1" customWidth="1"/>
    <col min="773" max="773" width="10.28515625" style="87" bestFit="1" customWidth="1"/>
    <col min="774" max="774" width="7.85546875" style="87" bestFit="1" customWidth="1"/>
    <col min="775" max="775" width="12.140625" style="87" bestFit="1" customWidth="1"/>
    <col min="776" max="776" width="12" style="87" bestFit="1" customWidth="1"/>
    <col min="777" max="1020" width="9.140625" style="87"/>
    <col min="1021" max="1021" width="4.42578125" style="87" bestFit="1" customWidth="1"/>
    <col min="1022" max="1022" width="15.85546875" style="87" bestFit="1" customWidth="1"/>
    <col min="1023" max="1023" width="37.85546875" style="87" customWidth="1"/>
    <col min="1024" max="1024" width="8.85546875" style="87" customWidth="1"/>
    <col min="1025" max="1025" width="12.42578125" style="87" bestFit="1" customWidth="1"/>
    <col min="1026" max="1026" width="12.28515625" style="87" bestFit="1" customWidth="1"/>
    <col min="1027" max="1027" width="14" style="87" bestFit="1" customWidth="1"/>
    <col min="1028" max="1028" width="13.5703125" style="87" bestFit="1" customWidth="1"/>
    <col min="1029" max="1029" width="10.28515625" style="87" bestFit="1" customWidth="1"/>
    <col min="1030" max="1030" width="7.85546875" style="87" bestFit="1" customWidth="1"/>
    <col min="1031" max="1031" width="12.140625" style="87" bestFit="1" customWidth="1"/>
    <col min="1032" max="1032" width="12" style="87" bestFit="1" customWidth="1"/>
    <col min="1033" max="1276" width="9.140625" style="87"/>
    <col min="1277" max="1277" width="4.42578125" style="87" bestFit="1" customWidth="1"/>
    <col min="1278" max="1278" width="15.85546875" style="87" bestFit="1" customWidth="1"/>
    <col min="1279" max="1279" width="37.85546875" style="87" customWidth="1"/>
    <col min="1280" max="1280" width="8.85546875" style="87" customWidth="1"/>
    <col min="1281" max="1281" width="12.42578125" style="87" bestFit="1" customWidth="1"/>
    <col min="1282" max="1282" width="12.28515625" style="87" bestFit="1" customWidth="1"/>
    <col min="1283" max="1283" width="14" style="87" bestFit="1" customWidth="1"/>
    <col min="1284" max="1284" width="13.5703125" style="87" bestFit="1" customWidth="1"/>
    <col min="1285" max="1285" width="10.28515625" style="87" bestFit="1" customWidth="1"/>
    <col min="1286" max="1286" width="7.85546875" style="87" bestFit="1" customWidth="1"/>
    <col min="1287" max="1287" width="12.140625" style="87" bestFit="1" customWidth="1"/>
    <col min="1288" max="1288" width="12" style="87" bestFit="1" customWidth="1"/>
    <col min="1289" max="1532" width="9.140625" style="87"/>
    <col min="1533" max="1533" width="4.42578125" style="87" bestFit="1" customWidth="1"/>
    <col min="1534" max="1534" width="15.85546875" style="87" bestFit="1" customWidth="1"/>
    <col min="1535" max="1535" width="37.85546875" style="87" customWidth="1"/>
    <col min="1536" max="1536" width="8.85546875" style="87" customWidth="1"/>
    <col min="1537" max="1537" width="12.42578125" style="87" bestFit="1" customWidth="1"/>
    <col min="1538" max="1538" width="12.28515625" style="87" bestFit="1" customWidth="1"/>
    <col min="1539" max="1539" width="14" style="87" bestFit="1" customWidth="1"/>
    <col min="1540" max="1540" width="13.5703125" style="87" bestFit="1" customWidth="1"/>
    <col min="1541" max="1541" width="10.28515625" style="87" bestFit="1" customWidth="1"/>
    <col min="1542" max="1542" width="7.85546875" style="87" bestFit="1" customWidth="1"/>
    <col min="1543" max="1543" width="12.140625" style="87" bestFit="1" customWidth="1"/>
    <col min="1544" max="1544" width="12" style="87" bestFit="1" customWidth="1"/>
    <col min="1545" max="1788" width="9.140625" style="87"/>
    <col min="1789" max="1789" width="4.42578125" style="87" bestFit="1" customWidth="1"/>
    <col min="1790" max="1790" width="15.85546875" style="87" bestFit="1" customWidth="1"/>
    <col min="1791" max="1791" width="37.85546875" style="87" customWidth="1"/>
    <col min="1792" max="1792" width="8.85546875" style="87" customWidth="1"/>
    <col min="1793" max="1793" width="12.42578125" style="87" bestFit="1" customWidth="1"/>
    <col min="1794" max="1794" width="12.28515625" style="87" bestFit="1" customWidth="1"/>
    <col min="1795" max="1795" width="14" style="87" bestFit="1" customWidth="1"/>
    <col min="1796" max="1796" width="13.5703125" style="87" bestFit="1" customWidth="1"/>
    <col min="1797" max="1797" width="10.28515625" style="87" bestFit="1" customWidth="1"/>
    <col min="1798" max="1798" width="7.85546875" style="87" bestFit="1" customWidth="1"/>
    <col min="1799" max="1799" width="12.140625" style="87" bestFit="1" customWidth="1"/>
    <col min="1800" max="1800" width="12" style="87" bestFit="1" customWidth="1"/>
    <col min="1801" max="2044" width="9.140625" style="87"/>
    <col min="2045" max="2045" width="4.42578125" style="87" bestFit="1" customWidth="1"/>
    <col min="2046" max="2046" width="15.85546875" style="87" bestFit="1" customWidth="1"/>
    <col min="2047" max="2047" width="37.85546875" style="87" customWidth="1"/>
    <col min="2048" max="2048" width="8.85546875" style="87" customWidth="1"/>
    <col min="2049" max="2049" width="12.42578125" style="87" bestFit="1" customWidth="1"/>
    <col min="2050" max="2050" width="12.28515625" style="87" bestFit="1" customWidth="1"/>
    <col min="2051" max="2051" width="14" style="87" bestFit="1" customWidth="1"/>
    <col min="2052" max="2052" width="13.5703125" style="87" bestFit="1" customWidth="1"/>
    <col min="2053" max="2053" width="10.28515625" style="87" bestFit="1" customWidth="1"/>
    <col min="2054" max="2054" width="7.85546875" style="87" bestFit="1" customWidth="1"/>
    <col min="2055" max="2055" width="12.140625" style="87" bestFit="1" customWidth="1"/>
    <col min="2056" max="2056" width="12" style="87" bestFit="1" customWidth="1"/>
    <col min="2057" max="2300" width="9.140625" style="87"/>
    <col min="2301" max="2301" width="4.42578125" style="87" bestFit="1" customWidth="1"/>
    <col min="2302" max="2302" width="15.85546875" style="87" bestFit="1" customWidth="1"/>
    <col min="2303" max="2303" width="37.85546875" style="87" customWidth="1"/>
    <col min="2304" max="2304" width="8.85546875" style="87" customWidth="1"/>
    <col min="2305" max="2305" width="12.42578125" style="87" bestFit="1" customWidth="1"/>
    <col min="2306" max="2306" width="12.28515625" style="87" bestFit="1" customWidth="1"/>
    <col min="2307" max="2307" width="14" style="87" bestFit="1" customWidth="1"/>
    <col min="2308" max="2308" width="13.5703125" style="87" bestFit="1" customWidth="1"/>
    <col min="2309" max="2309" width="10.28515625" style="87" bestFit="1" customWidth="1"/>
    <col min="2310" max="2310" width="7.85546875" style="87" bestFit="1" customWidth="1"/>
    <col min="2311" max="2311" width="12.140625" style="87" bestFit="1" customWidth="1"/>
    <col min="2312" max="2312" width="12" style="87" bestFit="1" customWidth="1"/>
    <col min="2313" max="2556" width="9.140625" style="87"/>
    <col min="2557" max="2557" width="4.42578125" style="87" bestFit="1" customWidth="1"/>
    <col min="2558" max="2558" width="15.85546875" style="87" bestFit="1" customWidth="1"/>
    <col min="2559" max="2559" width="37.85546875" style="87" customWidth="1"/>
    <col min="2560" max="2560" width="8.85546875" style="87" customWidth="1"/>
    <col min="2561" max="2561" width="12.42578125" style="87" bestFit="1" customWidth="1"/>
    <col min="2562" max="2562" width="12.28515625" style="87" bestFit="1" customWidth="1"/>
    <col min="2563" max="2563" width="14" style="87" bestFit="1" customWidth="1"/>
    <col min="2564" max="2564" width="13.5703125" style="87" bestFit="1" customWidth="1"/>
    <col min="2565" max="2565" width="10.28515625" style="87" bestFit="1" customWidth="1"/>
    <col min="2566" max="2566" width="7.85546875" style="87" bestFit="1" customWidth="1"/>
    <col min="2567" max="2567" width="12.140625" style="87" bestFit="1" customWidth="1"/>
    <col min="2568" max="2568" width="12" style="87" bestFit="1" customWidth="1"/>
    <col min="2569" max="2812" width="9.140625" style="87"/>
    <col min="2813" max="2813" width="4.42578125" style="87" bestFit="1" customWidth="1"/>
    <col min="2814" max="2814" width="15.85546875" style="87" bestFit="1" customWidth="1"/>
    <col min="2815" max="2815" width="37.85546875" style="87" customWidth="1"/>
    <col min="2816" max="2816" width="8.85546875" style="87" customWidth="1"/>
    <col min="2817" max="2817" width="12.42578125" style="87" bestFit="1" customWidth="1"/>
    <col min="2818" max="2818" width="12.28515625" style="87" bestFit="1" customWidth="1"/>
    <col min="2819" max="2819" width="14" style="87" bestFit="1" customWidth="1"/>
    <col min="2820" max="2820" width="13.5703125" style="87" bestFit="1" customWidth="1"/>
    <col min="2821" max="2821" width="10.28515625" style="87" bestFit="1" customWidth="1"/>
    <col min="2822" max="2822" width="7.85546875" style="87" bestFit="1" customWidth="1"/>
    <col min="2823" max="2823" width="12.140625" style="87" bestFit="1" customWidth="1"/>
    <col min="2824" max="2824" width="12" style="87" bestFit="1" customWidth="1"/>
    <col min="2825" max="3068" width="9.140625" style="87"/>
    <col min="3069" max="3069" width="4.42578125" style="87" bestFit="1" customWidth="1"/>
    <col min="3070" max="3070" width="15.85546875" style="87" bestFit="1" customWidth="1"/>
    <col min="3071" max="3071" width="37.85546875" style="87" customWidth="1"/>
    <col min="3072" max="3072" width="8.85546875" style="87" customWidth="1"/>
    <col min="3073" max="3073" width="12.42578125" style="87" bestFit="1" customWidth="1"/>
    <col min="3074" max="3074" width="12.28515625" style="87" bestFit="1" customWidth="1"/>
    <col min="3075" max="3075" width="14" style="87" bestFit="1" customWidth="1"/>
    <col min="3076" max="3076" width="13.5703125" style="87" bestFit="1" customWidth="1"/>
    <col min="3077" max="3077" width="10.28515625" style="87" bestFit="1" customWidth="1"/>
    <col min="3078" max="3078" width="7.85546875" style="87" bestFit="1" customWidth="1"/>
    <col min="3079" max="3079" width="12.140625" style="87" bestFit="1" customWidth="1"/>
    <col min="3080" max="3080" width="12" style="87" bestFit="1" customWidth="1"/>
    <col min="3081" max="3324" width="9.140625" style="87"/>
    <col min="3325" max="3325" width="4.42578125" style="87" bestFit="1" customWidth="1"/>
    <col min="3326" max="3326" width="15.85546875" style="87" bestFit="1" customWidth="1"/>
    <col min="3327" max="3327" width="37.85546875" style="87" customWidth="1"/>
    <col min="3328" max="3328" width="8.85546875" style="87" customWidth="1"/>
    <col min="3329" max="3329" width="12.42578125" style="87" bestFit="1" customWidth="1"/>
    <col min="3330" max="3330" width="12.28515625" style="87" bestFit="1" customWidth="1"/>
    <col min="3331" max="3331" width="14" style="87" bestFit="1" customWidth="1"/>
    <col min="3332" max="3332" width="13.5703125" style="87" bestFit="1" customWidth="1"/>
    <col min="3333" max="3333" width="10.28515625" style="87" bestFit="1" customWidth="1"/>
    <col min="3334" max="3334" width="7.85546875" style="87" bestFit="1" customWidth="1"/>
    <col min="3335" max="3335" width="12.140625" style="87" bestFit="1" customWidth="1"/>
    <col min="3336" max="3336" width="12" style="87" bestFit="1" customWidth="1"/>
    <col min="3337" max="3580" width="9.140625" style="87"/>
    <col min="3581" max="3581" width="4.42578125" style="87" bestFit="1" customWidth="1"/>
    <col min="3582" max="3582" width="15.85546875" style="87" bestFit="1" customWidth="1"/>
    <col min="3583" max="3583" width="37.85546875" style="87" customWidth="1"/>
    <col min="3584" max="3584" width="8.85546875" style="87" customWidth="1"/>
    <col min="3585" max="3585" width="12.42578125" style="87" bestFit="1" customWidth="1"/>
    <col min="3586" max="3586" width="12.28515625" style="87" bestFit="1" customWidth="1"/>
    <col min="3587" max="3587" width="14" style="87" bestFit="1" customWidth="1"/>
    <col min="3588" max="3588" width="13.5703125" style="87" bestFit="1" customWidth="1"/>
    <col min="3589" max="3589" width="10.28515625" style="87" bestFit="1" customWidth="1"/>
    <col min="3590" max="3590" width="7.85546875" style="87" bestFit="1" customWidth="1"/>
    <col min="3591" max="3591" width="12.140625" style="87" bestFit="1" customWidth="1"/>
    <col min="3592" max="3592" width="12" style="87" bestFit="1" customWidth="1"/>
    <col min="3593" max="3836" width="9.140625" style="87"/>
    <col min="3837" max="3837" width="4.42578125" style="87" bestFit="1" customWidth="1"/>
    <col min="3838" max="3838" width="15.85546875" style="87" bestFit="1" customWidth="1"/>
    <col min="3839" max="3839" width="37.85546875" style="87" customWidth="1"/>
    <col min="3840" max="3840" width="8.85546875" style="87" customWidth="1"/>
    <col min="3841" max="3841" width="12.42578125" style="87" bestFit="1" customWidth="1"/>
    <col min="3842" max="3842" width="12.28515625" style="87" bestFit="1" customWidth="1"/>
    <col min="3843" max="3843" width="14" style="87" bestFit="1" customWidth="1"/>
    <col min="3844" max="3844" width="13.5703125" style="87" bestFit="1" customWidth="1"/>
    <col min="3845" max="3845" width="10.28515625" style="87" bestFit="1" customWidth="1"/>
    <col min="3846" max="3846" width="7.85546875" style="87" bestFit="1" customWidth="1"/>
    <col min="3847" max="3847" width="12.140625" style="87" bestFit="1" customWidth="1"/>
    <col min="3848" max="3848" width="12" style="87" bestFit="1" customWidth="1"/>
    <col min="3849" max="4092" width="9.140625" style="87"/>
    <col min="4093" max="4093" width="4.42578125" style="87" bestFit="1" customWidth="1"/>
    <col min="4094" max="4094" width="15.85546875" style="87" bestFit="1" customWidth="1"/>
    <col min="4095" max="4095" width="37.85546875" style="87" customWidth="1"/>
    <col min="4096" max="4096" width="8.85546875" style="87" customWidth="1"/>
    <col min="4097" max="4097" width="12.42578125" style="87" bestFit="1" customWidth="1"/>
    <col min="4098" max="4098" width="12.28515625" style="87" bestFit="1" customWidth="1"/>
    <col min="4099" max="4099" width="14" style="87" bestFit="1" customWidth="1"/>
    <col min="4100" max="4100" width="13.5703125" style="87" bestFit="1" customWidth="1"/>
    <col min="4101" max="4101" width="10.28515625" style="87" bestFit="1" customWidth="1"/>
    <col min="4102" max="4102" width="7.85546875" style="87" bestFit="1" customWidth="1"/>
    <col min="4103" max="4103" width="12.140625" style="87" bestFit="1" customWidth="1"/>
    <col min="4104" max="4104" width="12" style="87" bestFit="1" customWidth="1"/>
    <col min="4105" max="4348" width="9.140625" style="87"/>
    <col min="4349" max="4349" width="4.42578125" style="87" bestFit="1" customWidth="1"/>
    <col min="4350" max="4350" width="15.85546875" style="87" bestFit="1" customWidth="1"/>
    <col min="4351" max="4351" width="37.85546875" style="87" customWidth="1"/>
    <col min="4352" max="4352" width="8.85546875" style="87" customWidth="1"/>
    <col min="4353" max="4353" width="12.42578125" style="87" bestFit="1" customWidth="1"/>
    <col min="4354" max="4354" width="12.28515625" style="87" bestFit="1" customWidth="1"/>
    <col min="4355" max="4355" width="14" style="87" bestFit="1" customWidth="1"/>
    <col min="4356" max="4356" width="13.5703125" style="87" bestFit="1" customWidth="1"/>
    <col min="4357" max="4357" width="10.28515625" style="87" bestFit="1" customWidth="1"/>
    <col min="4358" max="4358" width="7.85546875" style="87" bestFit="1" customWidth="1"/>
    <col min="4359" max="4359" width="12.140625" style="87" bestFit="1" customWidth="1"/>
    <col min="4360" max="4360" width="12" style="87" bestFit="1" customWidth="1"/>
    <col min="4361" max="4604" width="9.140625" style="87"/>
    <col min="4605" max="4605" width="4.42578125" style="87" bestFit="1" customWidth="1"/>
    <col min="4606" max="4606" width="15.85546875" style="87" bestFit="1" customWidth="1"/>
    <col min="4607" max="4607" width="37.85546875" style="87" customWidth="1"/>
    <col min="4608" max="4608" width="8.85546875" style="87" customWidth="1"/>
    <col min="4609" max="4609" width="12.42578125" style="87" bestFit="1" customWidth="1"/>
    <col min="4610" max="4610" width="12.28515625" style="87" bestFit="1" customWidth="1"/>
    <col min="4611" max="4611" width="14" style="87" bestFit="1" customWidth="1"/>
    <col min="4612" max="4612" width="13.5703125" style="87" bestFit="1" customWidth="1"/>
    <col min="4613" max="4613" width="10.28515625" style="87" bestFit="1" customWidth="1"/>
    <col min="4614" max="4614" width="7.85546875" style="87" bestFit="1" customWidth="1"/>
    <col min="4615" max="4615" width="12.140625" style="87" bestFit="1" customWidth="1"/>
    <col min="4616" max="4616" width="12" style="87" bestFit="1" customWidth="1"/>
    <col min="4617" max="4860" width="9.140625" style="87"/>
    <col min="4861" max="4861" width="4.42578125" style="87" bestFit="1" customWidth="1"/>
    <col min="4862" max="4862" width="15.85546875" style="87" bestFit="1" customWidth="1"/>
    <col min="4863" max="4863" width="37.85546875" style="87" customWidth="1"/>
    <col min="4864" max="4864" width="8.85546875" style="87" customWidth="1"/>
    <col min="4865" max="4865" width="12.42578125" style="87" bestFit="1" customWidth="1"/>
    <col min="4866" max="4866" width="12.28515625" style="87" bestFit="1" customWidth="1"/>
    <col min="4867" max="4867" width="14" style="87" bestFit="1" customWidth="1"/>
    <col min="4868" max="4868" width="13.5703125" style="87" bestFit="1" customWidth="1"/>
    <col min="4869" max="4869" width="10.28515625" style="87" bestFit="1" customWidth="1"/>
    <col min="4870" max="4870" width="7.85546875" style="87" bestFit="1" customWidth="1"/>
    <col min="4871" max="4871" width="12.140625" style="87" bestFit="1" customWidth="1"/>
    <col min="4872" max="4872" width="12" style="87" bestFit="1" customWidth="1"/>
    <col min="4873" max="5116" width="9.140625" style="87"/>
    <col min="5117" max="5117" width="4.42578125" style="87" bestFit="1" customWidth="1"/>
    <col min="5118" max="5118" width="15.85546875" style="87" bestFit="1" customWidth="1"/>
    <col min="5119" max="5119" width="37.85546875" style="87" customWidth="1"/>
    <col min="5120" max="5120" width="8.85546875" style="87" customWidth="1"/>
    <col min="5121" max="5121" width="12.42578125" style="87" bestFit="1" customWidth="1"/>
    <col min="5122" max="5122" width="12.28515625" style="87" bestFit="1" customWidth="1"/>
    <col min="5123" max="5123" width="14" style="87" bestFit="1" customWidth="1"/>
    <col min="5124" max="5124" width="13.5703125" style="87" bestFit="1" customWidth="1"/>
    <col min="5125" max="5125" width="10.28515625" style="87" bestFit="1" customWidth="1"/>
    <col min="5126" max="5126" width="7.85546875" style="87" bestFit="1" customWidth="1"/>
    <col min="5127" max="5127" width="12.140625" style="87" bestFit="1" customWidth="1"/>
    <col min="5128" max="5128" width="12" style="87" bestFit="1" customWidth="1"/>
    <col min="5129" max="5372" width="9.140625" style="87"/>
    <col min="5373" max="5373" width="4.42578125" style="87" bestFit="1" customWidth="1"/>
    <col min="5374" max="5374" width="15.85546875" style="87" bestFit="1" customWidth="1"/>
    <col min="5375" max="5375" width="37.85546875" style="87" customWidth="1"/>
    <col min="5376" max="5376" width="8.85546875" style="87" customWidth="1"/>
    <col min="5377" max="5377" width="12.42578125" style="87" bestFit="1" customWidth="1"/>
    <col min="5378" max="5378" width="12.28515625" style="87" bestFit="1" customWidth="1"/>
    <col min="5379" max="5379" width="14" style="87" bestFit="1" customWidth="1"/>
    <col min="5380" max="5380" width="13.5703125" style="87" bestFit="1" customWidth="1"/>
    <col min="5381" max="5381" width="10.28515625" style="87" bestFit="1" customWidth="1"/>
    <col min="5382" max="5382" width="7.85546875" style="87" bestFit="1" customWidth="1"/>
    <col min="5383" max="5383" width="12.140625" style="87" bestFit="1" customWidth="1"/>
    <col min="5384" max="5384" width="12" style="87" bestFit="1" customWidth="1"/>
    <col min="5385" max="5628" width="9.140625" style="87"/>
    <col min="5629" max="5629" width="4.42578125" style="87" bestFit="1" customWidth="1"/>
    <col min="5630" max="5630" width="15.85546875" style="87" bestFit="1" customWidth="1"/>
    <col min="5631" max="5631" width="37.85546875" style="87" customWidth="1"/>
    <col min="5632" max="5632" width="8.85546875" style="87" customWidth="1"/>
    <col min="5633" max="5633" width="12.42578125" style="87" bestFit="1" customWidth="1"/>
    <col min="5634" max="5634" width="12.28515625" style="87" bestFit="1" customWidth="1"/>
    <col min="5635" max="5635" width="14" style="87" bestFit="1" customWidth="1"/>
    <col min="5636" max="5636" width="13.5703125" style="87" bestFit="1" customWidth="1"/>
    <col min="5637" max="5637" width="10.28515625" style="87" bestFit="1" customWidth="1"/>
    <col min="5638" max="5638" width="7.85546875" style="87" bestFit="1" customWidth="1"/>
    <col min="5639" max="5639" width="12.140625" style="87" bestFit="1" customWidth="1"/>
    <col min="5640" max="5640" width="12" style="87" bestFit="1" customWidth="1"/>
    <col min="5641" max="5884" width="9.140625" style="87"/>
    <col min="5885" max="5885" width="4.42578125" style="87" bestFit="1" customWidth="1"/>
    <col min="5886" max="5886" width="15.85546875" style="87" bestFit="1" customWidth="1"/>
    <col min="5887" max="5887" width="37.85546875" style="87" customWidth="1"/>
    <col min="5888" max="5888" width="8.85546875" style="87" customWidth="1"/>
    <col min="5889" max="5889" width="12.42578125" style="87" bestFit="1" customWidth="1"/>
    <col min="5890" max="5890" width="12.28515625" style="87" bestFit="1" customWidth="1"/>
    <col min="5891" max="5891" width="14" style="87" bestFit="1" customWidth="1"/>
    <col min="5892" max="5892" width="13.5703125" style="87" bestFit="1" customWidth="1"/>
    <col min="5893" max="5893" width="10.28515625" style="87" bestFit="1" customWidth="1"/>
    <col min="5894" max="5894" width="7.85546875" style="87" bestFit="1" customWidth="1"/>
    <col min="5895" max="5895" width="12.140625" style="87" bestFit="1" customWidth="1"/>
    <col min="5896" max="5896" width="12" style="87" bestFit="1" customWidth="1"/>
    <col min="5897" max="6140" width="9.140625" style="87"/>
    <col min="6141" max="6141" width="4.42578125" style="87" bestFit="1" customWidth="1"/>
    <col min="6142" max="6142" width="15.85546875" style="87" bestFit="1" customWidth="1"/>
    <col min="6143" max="6143" width="37.85546875" style="87" customWidth="1"/>
    <col min="6144" max="6144" width="8.85546875" style="87" customWidth="1"/>
    <col min="6145" max="6145" width="12.42578125" style="87" bestFit="1" customWidth="1"/>
    <col min="6146" max="6146" width="12.28515625" style="87" bestFit="1" customWidth="1"/>
    <col min="6147" max="6147" width="14" style="87" bestFit="1" customWidth="1"/>
    <col min="6148" max="6148" width="13.5703125" style="87" bestFit="1" customWidth="1"/>
    <col min="6149" max="6149" width="10.28515625" style="87" bestFit="1" customWidth="1"/>
    <col min="6150" max="6150" width="7.85546875" style="87" bestFit="1" customWidth="1"/>
    <col min="6151" max="6151" width="12.140625" style="87" bestFit="1" customWidth="1"/>
    <col min="6152" max="6152" width="12" style="87" bestFit="1" customWidth="1"/>
    <col min="6153" max="6396" width="9.140625" style="87"/>
    <col min="6397" max="6397" width="4.42578125" style="87" bestFit="1" customWidth="1"/>
    <col min="6398" max="6398" width="15.85546875" style="87" bestFit="1" customWidth="1"/>
    <col min="6399" max="6399" width="37.85546875" style="87" customWidth="1"/>
    <col min="6400" max="6400" width="8.85546875" style="87" customWidth="1"/>
    <col min="6401" max="6401" width="12.42578125" style="87" bestFit="1" customWidth="1"/>
    <col min="6402" max="6402" width="12.28515625" style="87" bestFit="1" customWidth="1"/>
    <col min="6403" max="6403" width="14" style="87" bestFit="1" customWidth="1"/>
    <col min="6404" max="6404" width="13.5703125" style="87" bestFit="1" customWidth="1"/>
    <col min="6405" max="6405" width="10.28515625" style="87" bestFit="1" customWidth="1"/>
    <col min="6406" max="6406" width="7.85546875" style="87" bestFit="1" customWidth="1"/>
    <col min="6407" max="6407" width="12.140625" style="87" bestFit="1" customWidth="1"/>
    <col min="6408" max="6408" width="12" style="87" bestFit="1" customWidth="1"/>
    <col min="6409" max="6652" width="9.140625" style="87"/>
    <col min="6653" max="6653" width="4.42578125" style="87" bestFit="1" customWidth="1"/>
    <col min="6654" max="6654" width="15.85546875" style="87" bestFit="1" customWidth="1"/>
    <col min="6655" max="6655" width="37.85546875" style="87" customWidth="1"/>
    <col min="6656" max="6656" width="8.85546875" style="87" customWidth="1"/>
    <col min="6657" max="6657" width="12.42578125" style="87" bestFit="1" customWidth="1"/>
    <col min="6658" max="6658" width="12.28515625" style="87" bestFit="1" customWidth="1"/>
    <col min="6659" max="6659" width="14" style="87" bestFit="1" customWidth="1"/>
    <col min="6660" max="6660" width="13.5703125" style="87" bestFit="1" customWidth="1"/>
    <col min="6661" max="6661" width="10.28515625" style="87" bestFit="1" customWidth="1"/>
    <col min="6662" max="6662" width="7.85546875" style="87" bestFit="1" customWidth="1"/>
    <col min="6663" max="6663" width="12.140625" style="87" bestFit="1" customWidth="1"/>
    <col min="6664" max="6664" width="12" style="87" bestFit="1" customWidth="1"/>
    <col min="6665" max="6908" width="9.140625" style="87"/>
    <col min="6909" max="6909" width="4.42578125" style="87" bestFit="1" customWidth="1"/>
    <col min="6910" max="6910" width="15.85546875" style="87" bestFit="1" customWidth="1"/>
    <col min="6911" max="6911" width="37.85546875" style="87" customWidth="1"/>
    <col min="6912" max="6912" width="8.85546875" style="87" customWidth="1"/>
    <col min="6913" max="6913" width="12.42578125" style="87" bestFit="1" customWidth="1"/>
    <col min="6914" max="6914" width="12.28515625" style="87" bestFit="1" customWidth="1"/>
    <col min="6915" max="6915" width="14" style="87" bestFit="1" customWidth="1"/>
    <col min="6916" max="6916" width="13.5703125" style="87" bestFit="1" customWidth="1"/>
    <col min="6917" max="6917" width="10.28515625" style="87" bestFit="1" customWidth="1"/>
    <col min="6918" max="6918" width="7.85546875" style="87" bestFit="1" customWidth="1"/>
    <col min="6919" max="6919" width="12.140625" style="87" bestFit="1" customWidth="1"/>
    <col min="6920" max="6920" width="12" style="87" bestFit="1" customWidth="1"/>
    <col min="6921" max="7164" width="9.140625" style="87"/>
    <col min="7165" max="7165" width="4.42578125" style="87" bestFit="1" customWidth="1"/>
    <col min="7166" max="7166" width="15.85546875" style="87" bestFit="1" customWidth="1"/>
    <col min="7167" max="7167" width="37.85546875" style="87" customWidth="1"/>
    <col min="7168" max="7168" width="8.85546875" style="87" customWidth="1"/>
    <col min="7169" max="7169" width="12.42578125" style="87" bestFit="1" customWidth="1"/>
    <col min="7170" max="7170" width="12.28515625" style="87" bestFit="1" customWidth="1"/>
    <col min="7171" max="7171" width="14" style="87" bestFit="1" customWidth="1"/>
    <col min="7172" max="7172" width="13.5703125" style="87" bestFit="1" customWidth="1"/>
    <col min="7173" max="7173" width="10.28515625" style="87" bestFit="1" customWidth="1"/>
    <col min="7174" max="7174" width="7.85546875" style="87" bestFit="1" customWidth="1"/>
    <col min="7175" max="7175" width="12.140625" style="87" bestFit="1" customWidth="1"/>
    <col min="7176" max="7176" width="12" style="87" bestFit="1" customWidth="1"/>
    <col min="7177" max="7420" width="9.140625" style="87"/>
    <col min="7421" max="7421" width="4.42578125" style="87" bestFit="1" customWidth="1"/>
    <col min="7422" max="7422" width="15.85546875" style="87" bestFit="1" customWidth="1"/>
    <col min="7423" max="7423" width="37.85546875" style="87" customWidth="1"/>
    <col min="7424" max="7424" width="8.85546875" style="87" customWidth="1"/>
    <col min="7425" max="7425" width="12.42578125" style="87" bestFit="1" customWidth="1"/>
    <col min="7426" max="7426" width="12.28515625" style="87" bestFit="1" customWidth="1"/>
    <col min="7427" max="7427" width="14" style="87" bestFit="1" customWidth="1"/>
    <col min="7428" max="7428" width="13.5703125" style="87" bestFit="1" customWidth="1"/>
    <col min="7429" max="7429" width="10.28515625" style="87" bestFit="1" customWidth="1"/>
    <col min="7430" max="7430" width="7.85546875" style="87" bestFit="1" customWidth="1"/>
    <col min="7431" max="7431" width="12.140625" style="87" bestFit="1" customWidth="1"/>
    <col min="7432" max="7432" width="12" style="87" bestFit="1" customWidth="1"/>
    <col min="7433" max="7676" width="9.140625" style="87"/>
    <col min="7677" max="7677" width="4.42578125" style="87" bestFit="1" customWidth="1"/>
    <col min="7678" max="7678" width="15.85546875" style="87" bestFit="1" customWidth="1"/>
    <col min="7679" max="7679" width="37.85546875" style="87" customWidth="1"/>
    <col min="7680" max="7680" width="8.85546875" style="87" customWidth="1"/>
    <col min="7681" max="7681" width="12.42578125" style="87" bestFit="1" customWidth="1"/>
    <col min="7682" max="7682" width="12.28515625" style="87" bestFit="1" customWidth="1"/>
    <col min="7683" max="7683" width="14" style="87" bestFit="1" customWidth="1"/>
    <col min="7684" max="7684" width="13.5703125" style="87" bestFit="1" customWidth="1"/>
    <col min="7685" max="7685" width="10.28515625" style="87" bestFit="1" customWidth="1"/>
    <col min="7686" max="7686" width="7.85546875" style="87" bestFit="1" customWidth="1"/>
    <col min="7687" max="7687" width="12.140625" style="87" bestFit="1" customWidth="1"/>
    <col min="7688" max="7688" width="12" style="87" bestFit="1" customWidth="1"/>
    <col min="7689" max="7932" width="9.140625" style="87"/>
    <col min="7933" max="7933" width="4.42578125" style="87" bestFit="1" customWidth="1"/>
    <col min="7934" max="7934" width="15.85546875" style="87" bestFit="1" customWidth="1"/>
    <col min="7935" max="7935" width="37.85546875" style="87" customWidth="1"/>
    <col min="7936" max="7936" width="8.85546875" style="87" customWidth="1"/>
    <col min="7937" max="7937" width="12.42578125" style="87" bestFit="1" customWidth="1"/>
    <col min="7938" max="7938" width="12.28515625" style="87" bestFit="1" customWidth="1"/>
    <col min="7939" max="7939" width="14" style="87" bestFit="1" customWidth="1"/>
    <col min="7940" max="7940" width="13.5703125" style="87" bestFit="1" customWidth="1"/>
    <col min="7941" max="7941" width="10.28515625" style="87" bestFit="1" customWidth="1"/>
    <col min="7942" max="7942" width="7.85546875" style="87" bestFit="1" customWidth="1"/>
    <col min="7943" max="7943" width="12.140625" style="87" bestFit="1" customWidth="1"/>
    <col min="7944" max="7944" width="12" style="87" bestFit="1" customWidth="1"/>
    <col min="7945" max="8188" width="9.140625" style="87"/>
    <col min="8189" max="8189" width="4.42578125" style="87" bestFit="1" customWidth="1"/>
    <col min="8190" max="8190" width="15.85546875" style="87" bestFit="1" customWidth="1"/>
    <col min="8191" max="8191" width="37.85546875" style="87" customWidth="1"/>
    <col min="8192" max="8192" width="8.85546875" style="87" customWidth="1"/>
    <col min="8193" max="8193" width="12.42578125" style="87" bestFit="1" customWidth="1"/>
    <col min="8194" max="8194" width="12.28515625" style="87" bestFit="1" customWidth="1"/>
    <col min="8195" max="8195" width="14" style="87" bestFit="1" customWidth="1"/>
    <col min="8196" max="8196" width="13.5703125" style="87" bestFit="1" customWidth="1"/>
    <col min="8197" max="8197" width="10.28515625" style="87" bestFit="1" customWidth="1"/>
    <col min="8198" max="8198" width="7.85546875" style="87" bestFit="1" customWidth="1"/>
    <col min="8199" max="8199" width="12.140625" style="87" bestFit="1" customWidth="1"/>
    <col min="8200" max="8200" width="12" style="87" bestFit="1" customWidth="1"/>
    <col min="8201" max="8444" width="9.140625" style="87"/>
    <col min="8445" max="8445" width="4.42578125" style="87" bestFit="1" customWidth="1"/>
    <col min="8446" max="8446" width="15.85546875" style="87" bestFit="1" customWidth="1"/>
    <col min="8447" max="8447" width="37.85546875" style="87" customWidth="1"/>
    <col min="8448" max="8448" width="8.85546875" style="87" customWidth="1"/>
    <col min="8449" max="8449" width="12.42578125" style="87" bestFit="1" customWidth="1"/>
    <col min="8450" max="8450" width="12.28515625" style="87" bestFit="1" customWidth="1"/>
    <col min="8451" max="8451" width="14" style="87" bestFit="1" customWidth="1"/>
    <col min="8452" max="8452" width="13.5703125" style="87" bestFit="1" customWidth="1"/>
    <col min="8453" max="8453" width="10.28515625" style="87" bestFit="1" customWidth="1"/>
    <col min="8454" max="8454" width="7.85546875" style="87" bestFit="1" customWidth="1"/>
    <col min="8455" max="8455" width="12.140625" style="87" bestFit="1" customWidth="1"/>
    <col min="8456" max="8456" width="12" style="87" bestFit="1" customWidth="1"/>
    <col min="8457" max="8700" width="9.140625" style="87"/>
    <col min="8701" max="8701" width="4.42578125" style="87" bestFit="1" customWidth="1"/>
    <col min="8702" max="8702" width="15.85546875" style="87" bestFit="1" customWidth="1"/>
    <col min="8703" max="8703" width="37.85546875" style="87" customWidth="1"/>
    <col min="8704" max="8704" width="8.85546875" style="87" customWidth="1"/>
    <col min="8705" max="8705" width="12.42578125" style="87" bestFit="1" customWidth="1"/>
    <col min="8706" max="8706" width="12.28515625" style="87" bestFit="1" customWidth="1"/>
    <col min="8707" max="8707" width="14" style="87" bestFit="1" customWidth="1"/>
    <col min="8708" max="8708" width="13.5703125" style="87" bestFit="1" customWidth="1"/>
    <col min="8709" max="8709" width="10.28515625" style="87" bestFit="1" customWidth="1"/>
    <col min="8710" max="8710" width="7.85546875" style="87" bestFit="1" customWidth="1"/>
    <col min="8711" max="8711" width="12.140625" style="87" bestFit="1" customWidth="1"/>
    <col min="8712" max="8712" width="12" style="87" bestFit="1" customWidth="1"/>
    <col min="8713" max="8956" width="9.140625" style="87"/>
    <col min="8957" max="8957" width="4.42578125" style="87" bestFit="1" customWidth="1"/>
    <col min="8958" max="8958" width="15.85546875" style="87" bestFit="1" customWidth="1"/>
    <col min="8959" max="8959" width="37.85546875" style="87" customWidth="1"/>
    <col min="8960" max="8960" width="8.85546875" style="87" customWidth="1"/>
    <col min="8961" max="8961" width="12.42578125" style="87" bestFit="1" customWidth="1"/>
    <col min="8962" max="8962" width="12.28515625" style="87" bestFit="1" customWidth="1"/>
    <col min="8963" max="8963" width="14" style="87" bestFit="1" customWidth="1"/>
    <col min="8964" max="8964" width="13.5703125" style="87" bestFit="1" customWidth="1"/>
    <col min="8965" max="8965" width="10.28515625" style="87" bestFit="1" customWidth="1"/>
    <col min="8966" max="8966" width="7.85546875" style="87" bestFit="1" customWidth="1"/>
    <col min="8967" max="8967" width="12.140625" style="87" bestFit="1" customWidth="1"/>
    <col min="8968" max="8968" width="12" style="87" bestFit="1" customWidth="1"/>
    <col min="8969" max="9212" width="9.140625" style="87"/>
    <col min="9213" max="9213" width="4.42578125" style="87" bestFit="1" customWidth="1"/>
    <col min="9214" max="9214" width="15.85546875" style="87" bestFit="1" customWidth="1"/>
    <col min="9215" max="9215" width="37.85546875" style="87" customWidth="1"/>
    <col min="9216" max="9216" width="8.85546875" style="87" customWidth="1"/>
    <col min="9217" max="9217" width="12.42578125" style="87" bestFit="1" customWidth="1"/>
    <col min="9218" max="9218" width="12.28515625" style="87" bestFit="1" customWidth="1"/>
    <col min="9219" max="9219" width="14" style="87" bestFit="1" customWidth="1"/>
    <col min="9220" max="9220" width="13.5703125" style="87" bestFit="1" customWidth="1"/>
    <col min="9221" max="9221" width="10.28515625" style="87" bestFit="1" customWidth="1"/>
    <col min="9222" max="9222" width="7.85546875" style="87" bestFit="1" customWidth="1"/>
    <col min="9223" max="9223" width="12.140625" style="87" bestFit="1" customWidth="1"/>
    <col min="9224" max="9224" width="12" style="87" bestFit="1" customWidth="1"/>
    <col min="9225" max="9468" width="9.140625" style="87"/>
    <col min="9469" max="9469" width="4.42578125" style="87" bestFit="1" customWidth="1"/>
    <col min="9470" max="9470" width="15.85546875" style="87" bestFit="1" customWidth="1"/>
    <col min="9471" max="9471" width="37.85546875" style="87" customWidth="1"/>
    <col min="9472" max="9472" width="8.85546875" style="87" customWidth="1"/>
    <col min="9473" max="9473" width="12.42578125" style="87" bestFit="1" customWidth="1"/>
    <col min="9474" max="9474" width="12.28515625" style="87" bestFit="1" customWidth="1"/>
    <col min="9475" max="9475" width="14" style="87" bestFit="1" customWidth="1"/>
    <col min="9476" max="9476" width="13.5703125" style="87" bestFit="1" customWidth="1"/>
    <col min="9477" max="9477" width="10.28515625" style="87" bestFit="1" customWidth="1"/>
    <col min="9478" max="9478" width="7.85546875" style="87" bestFit="1" customWidth="1"/>
    <col min="9479" max="9479" width="12.140625" style="87" bestFit="1" customWidth="1"/>
    <col min="9480" max="9480" width="12" style="87" bestFit="1" customWidth="1"/>
    <col min="9481" max="9724" width="9.140625" style="87"/>
    <col min="9725" max="9725" width="4.42578125" style="87" bestFit="1" customWidth="1"/>
    <col min="9726" max="9726" width="15.85546875" style="87" bestFit="1" customWidth="1"/>
    <col min="9727" max="9727" width="37.85546875" style="87" customWidth="1"/>
    <col min="9728" max="9728" width="8.85546875" style="87" customWidth="1"/>
    <col min="9729" max="9729" width="12.42578125" style="87" bestFit="1" customWidth="1"/>
    <col min="9730" max="9730" width="12.28515625" style="87" bestFit="1" customWidth="1"/>
    <col min="9731" max="9731" width="14" style="87" bestFit="1" customWidth="1"/>
    <col min="9732" max="9732" width="13.5703125" style="87" bestFit="1" customWidth="1"/>
    <col min="9733" max="9733" width="10.28515625" style="87" bestFit="1" customWidth="1"/>
    <col min="9734" max="9734" width="7.85546875" style="87" bestFit="1" customWidth="1"/>
    <col min="9735" max="9735" width="12.140625" style="87" bestFit="1" customWidth="1"/>
    <col min="9736" max="9736" width="12" style="87" bestFit="1" customWidth="1"/>
    <col min="9737" max="9980" width="9.140625" style="87"/>
    <col min="9981" max="9981" width="4.42578125" style="87" bestFit="1" customWidth="1"/>
    <col min="9982" max="9982" width="15.85546875" style="87" bestFit="1" customWidth="1"/>
    <col min="9983" max="9983" width="37.85546875" style="87" customWidth="1"/>
    <col min="9984" max="9984" width="8.85546875" style="87" customWidth="1"/>
    <col min="9985" max="9985" width="12.42578125" style="87" bestFit="1" customWidth="1"/>
    <col min="9986" max="9986" width="12.28515625" style="87" bestFit="1" customWidth="1"/>
    <col min="9987" max="9987" width="14" style="87" bestFit="1" customWidth="1"/>
    <col min="9988" max="9988" width="13.5703125" style="87" bestFit="1" customWidth="1"/>
    <col min="9989" max="9989" width="10.28515625" style="87" bestFit="1" customWidth="1"/>
    <col min="9990" max="9990" width="7.85546875" style="87" bestFit="1" customWidth="1"/>
    <col min="9991" max="9991" width="12.140625" style="87" bestFit="1" customWidth="1"/>
    <col min="9992" max="9992" width="12" style="87" bestFit="1" customWidth="1"/>
    <col min="9993" max="10236" width="9.140625" style="87"/>
    <col min="10237" max="10237" width="4.42578125" style="87" bestFit="1" customWidth="1"/>
    <col min="10238" max="10238" width="15.85546875" style="87" bestFit="1" customWidth="1"/>
    <col min="10239" max="10239" width="37.85546875" style="87" customWidth="1"/>
    <col min="10240" max="10240" width="8.85546875" style="87" customWidth="1"/>
    <col min="10241" max="10241" width="12.42578125" style="87" bestFit="1" customWidth="1"/>
    <col min="10242" max="10242" width="12.28515625" style="87" bestFit="1" customWidth="1"/>
    <col min="10243" max="10243" width="14" style="87" bestFit="1" customWidth="1"/>
    <col min="10244" max="10244" width="13.5703125" style="87" bestFit="1" customWidth="1"/>
    <col min="10245" max="10245" width="10.28515625" style="87" bestFit="1" customWidth="1"/>
    <col min="10246" max="10246" width="7.85546875" style="87" bestFit="1" customWidth="1"/>
    <col min="10247" max="10247" width="12.140625" style="87" bestFit="1" customWidth="1"/>
    <col min="10248" max="10248" width="12" style="87" bestFit="1" customWidth="1"/>
    <col min="10249" max="10492" width="9.140625" style="87"/>
    <col min="10493" max="10493" width="4.42578125" style="87" bestFit="1" customWidth="1"/>
    <col min="10494" max="10494" width="15.85546875" style="87" bestFit="1" customWidth="1"/>
    <col min="10495" max="10495" width="37.85546875" style="87" customWidth="1"/>
    <col min="10496" max="10496" width="8.85546875" style="87" customWidth="1"/>
    <col min="10497" max="10497" width="12.42578125" style="87" bestFit="1" customWidth="1"/>
    <col min="10498" max="10498" width="12.28515625" style="87" bestFit="1" customWidth="1"/>
    <col min="10499" max="10499" width="14" style="87" bestFit="1" customWidth="1"/>
    <col min="10500" max="10500" width="13.5703125" style="87" bestFit="1" customWidth="1"/>
    <col min="10501" max="10501" width="10.28515625" style="87" bestFit="1" customWidth="1"/>
    <col min="10502" max="10502" width="7.85546875" style="87" bestFit="1" customWidth="1"/>
    <col min="10503" max="10503" width="12.140625" style="87" bestFit="1" customWidth="1"/>
    <col min="10504" max="10504" width="12" style="87" bestFit="1" customWidth="1"/>
    <col min="10505" max="10748" width="9.140625" style="87"/>
    <col min="10749" max="10749" width="4.42578125" style="87" bestFit="1" customWidth="1"/>
    <col min="10750" max="10750" width="15.85546875" style="87" bestFit="1" customWidth="1"/>
    <col min="10751" max="10751" width="37.85546875" style="87" customWidth="1"/>
    <col min="10752" max="10752" width="8.85546875" style="87" customWidth="1"/>
    <col min="10753" max="10753" width="12.42578125" style="87" bestFit="1" customWidth="1"/>
    <col min="10754" max="10754" width="12.28515625" style="87" bestFit="1" customWidth="1"/>
    <col min="10755" max="10755" width="14" style="87" bestFit="1" customWidth="1"/>
    <col min="10756" max="10756" width="13.5703125" style="87" bestFit="1" customWidth="1"/>
    <col min="10757" max="10757" width="10.28515625" style="87" bestFit="1" customWidth="1"/>
    <col min="10758" max="10758" width="7.85546875" style="87" bestFit="1" customWidth="1"/>
    <col min="10759" max="10759" width="12.140625" style="87" bestFit="1" customWidth="1"/>
    <col min="10760" max="10760" width="12" style="87" bestFit="1" customWidth="1"/>
    <col min="10761" max="11004" width="9.140625" style="87"/>
    <col min="11005" max="11005" width="4.42578125" style="87" bestFit="1" customWidth="1"/>
    <col min="11006" max="11006" width="15.85546875" style="87" bestFit="1" customWidth="1"/>
    <col min="11007" max="11007" width="37.85546875" style="87" customWidth="1"/>
    <col min="11008" max="11008" width="8.85546875" style="87" customWidth="1"/>
    <col min="11009" max="11009" width="12.42578125" style="87" bestFit="1" customWidth="1"/>
    <col min="11010" max="11010" width="12.28515625" style="87" bestFit="1" customWidth="1"/>
    <col min="11011" max="11011" width="14" style="87" bestFit="1" customWidth="1"/>
    <col min="11012" max="11012" width="13.5703125" style="87" bestFit="1" customWidth="1"/>
    <col min="11013" max="11013" width="10.28515625" style="87" bestFit="1" customWidth="1"/>
    <col min="11014" max="11014" width="7.85546875" style="87" bestFit="1" customWidth="1"/>
    <col min="11015" max="11015" width="12.140625" style="87" bestFit="1" customWidth="1"/>
    <col min="11016" max="11016" width="12" style="87" bestFit="1" customWidth="1"/>
    <col min="11017" max="11260" width="9.140625" style="87"/>
    <col min="11261" max="11261" width="4.42578125" style="87" bestFit="1" customWidth="1"/>
    <col min="11262" max="11262" width="15.85546875" style="87" bestFit="1" customWidth="1"/>
    <col min="11263" max="11263" width="37.85546875" style="87" customWidth="1"/>
    <col min="11264" max="11264" width="8.85546875" style="87" customWidth="1"/>
    <col min="11265" max="11265" width="12.42578125" style="87" bestFit="1" customWidth="1"/>
    <col min="11266" max="11266" width="12.28515625" style="87" bestFit="1" customWidth="1"/>
    <col min="11267" max="11267" width="14" style="87" bestFit="1" customWidth="1"/>
    <col min="11268" max="11268" width="13.5703125" style="87" bestFit="1" customWidth="1"/>
    <col min="11269" max="11269" width="10.28515625" style="87" bestFit="1" customWidth="1"/>
    <col min="11270" max="11270" width="7.85546875" style="87" bestFit="1" customWidth="1"/>
    <col min="11271" max="11271" width="12.140625" style="87" bestFit="1" customWidth="1"/>
    <col min="11272" max="11272" width="12" style="87" bestFit="1" customWidth="1"/>
    <col min="11273" max="11516" width="9.140625" style="87"/>
    <col min="11517" max="11517" width="4.42578125" style="87" bestFit="1" customWidth="1"/>
    <col min="11518" max="11518" width="15.85546875" style="87" bestFit="1" customWidth="1"/>
    <col min="11519" max="11519" width="37.85546875" style="87" customWidth="1"/>
    <col min="11520" max="11520" width="8.85546875" style="87" customWidth="1"/>
    <col min="11521" max="11521" width="12.42578125" style="87" bestFit="1" customWidth="1"/>
    <col min="11522" max="11522" width="12.28515625" style="87" bestFit="1" customWidth="1"/>
    <col min="11523" max="11523" width="14" style="87" bestFit="1" customWidth="1"/>
    <col min="11524" max="11524" width="13.5703125" style="87" bestFit="1" customWidth="1"/>
    <col min="11525" max="11525" width="10.28515625" style="87" bestFit="1" customWidth="1"/>
    <col min="11526" max="11526" width="7.85546875" style="87" bestFit="1" customWidth="1"/>
    <col min="11527" max="11527" width="12.140625" style="87" bestFit="1" customWidth="1"/>
    <col min="11528" max="11528" width="12" style="87" bestFit="1" customWidth="1"/>
    <col min="11529" max="11772" width="9.140625" style="87"/>
    <col min="11773" max="11773" width="4.42578125" style="87" bestFit="1" customWidth="1"/>
    <col min="11774" max="11774" width="15.85546875" style="87" bestFit="1" customWidth="1"/>
    <col min="11775" max="11775" width="37.85546875" style="87" customWidth="1"/>
    <col min="11776" max="11776" width="8.85546875" style="87" customWidth="1"/>
    <col min="11777" max="11777" width="12.42578125" style="87" bestFit="1" customWidth="1"/>
    <col min="11778" max="11778" width="12.28515625" style="87" bestFit="1" customWidth="1"/>
    <col min="11779" max="11779" width="14" style="87" bestFit="1" customWidth="1"/>
    <col min="11780" max="11780" width="13.5703125" style="87" bestFit="1" customWidth="1"/>
    <col min="11781" max="11781" width="10.28515625" style="87" bestFit="1" customWidth="1"/>
    <col min="11782" max="11782" width="7.85546875" style="87" bestFit="1" customWidth="1"/>
    <col min="11783" max="11783" width="12.140625" style="87" bestFit="1" customWidth="1"/>
    <col min="11784" max="11784" width="12" style="87" bestFit="1" customWidth="1"/>
    <col min="11785" max="12028" width="9.140625" style="87"/>
    <col min="12029" max="12029" width="4.42578125" style="87" bestFit="1" customWidth="1"/>
    <col min="12030" max="12030" width="15.85546875" style="87" bestFit="1" customWidth="1"/>
    <col min="12031" max="12031" width="37.85546875" style="87" customWidth="1"/>
    <col min="12032" max="12032" width="8.85546875" style="87" customWidth="1"/>
    <col min="12033" max="12033" width="12.42578125" style="87" bestFit="1" customWidth="1"/>
    <col min="12034" max="12034" width="12.28515625" style="87" bestFit="1" customWidth="1"/>
    <col min="12035" max="12035" width="14" style="87" bestFit="1" customWidth="1"/>
    <col min="12036" max="12036" width="13.5703125" style="87" bestFit="1" customWidth="1"/>
    <col min="12037" max="12037" width="10.28515625" style="87" bestFit="1" customWidth="1"/>
    <col min="12038" max="12038" width="7.85546875" style="87" bestFit="1" customWidth="1"/>
    <col min="12039" max="12039" width="12.140625" style="87" bestFit="1" customWidth="1"/>
    <col min="12040" max="12040" width="12" style="87" bestFit="1" customWidth="1"/>
    <col min="12041" max="12284" width="9.140625" style="87"/>
    <col min="12285" max="12285" width="4.42578125" style="87" bestFit="1" customWidth="1"/>
    <col min="12286" max="12286" width="15.85546875" style="87" bestFit="1" customWidth="1"/>
    <col min="12287" max="12287" width="37.85546875" style="87" customWidth="1"/>
    <col min="12288" max="12288" width="8.85546875" style="87" customWidth="1"/>
    <col min="12289" max="12289" width="12.42578125" style="87" bestFit="1" customWidth="1"/>
    <col min="12290" max="12290" width="12.28515625" style="87" bestFit="1" customWidth="1"/>
    <col min="12291" max="12291" width="14" style="87" bestFit="1" customWidth="1"/>
    <col min="12292" max="12292" width="13.5703125" style="87" bestFit="1" customWidth="1"/>
    <col min="12293" max="12293" width="10.28515625" style="87" bestFit="1" customWidth="1"/>
    <col min="12294" max="12294" width="7.85546875" style="87" bestFit="1" customWidth="1"/>
    <col min="12295" max="12295" width="12.140625" style="87" bestFit="1" customWidth="1"/>
    <col min="12296" max="12296" width="12" style="87" bestFit="1" customWidth="1"/>
    <col min="12297" max="12540" width="9.140625" style="87"/>
    <col min="12541" max="12541" width="4.42578125" style="87" bestFit="1" customWidth="1"/>
    <col min="12542" max="12542" width="15.85546875" style="87" bestFit="1" customWidth="1"/>
    <col min="12543" max="12543" width="37.85546875" style="87" customWidth="1"/>
    <col min="12544" max="12544" width="8.85546875" style="87" customWidth="1"/>
    <col min="12545" max="12545" width="12.42578125" style="87" bestFit="1" customWidth="1"/>
    <col min="12546" max="12546" width="12.28515625" style="87" bestFit="1" customWidth="1"/>
    <col min="12547" max="12547" width="14" style="87" bestFit="1" customWidth="1"/>
    <col min="12548" max="12548" width="13.5703125" style="87" bestFit="1" customWidth="1"/>
    <col min="12549" max="12549" width="10.28515625" style="87" bestFit="1" customWidth="1"/>
    <col min="12550" max="12550" width="7.85546875" style="87" bestFit="1" customWidth="1"/>
    <col min="12551" max="12551" width="12.140625" style="87" bestFit="1" customWidth="1"/>
    <col min="12552" max="12552" width="12" style="87" bestFit="1" customWidth="1"/>
    <col min="12553" max="12796" width="9.140625" style="87"/>
    <col min="12797" max="12797" width="4.42578125" style="87" bestFit="1" customWidth="1"/>
    <col min="12798" max="12798" width="15.85546875" style="87" bestFit="1" customWidth="1"/>
    <col min="12799" max="12799" width="37.85546875" style="87" customWidth="1"/>
    <col min="12800" max="12800" width="8.85546875" style="87" customWidth="1"/>
    <col min="12801" max="12801" width="12.42578125" style="87" bestFit="1" customWidth="1"/>
    <col min="12802" max="12802" width="12.28515625" style="87" bestFit="1" customWidth="1"/>
    <col min="12803" max="12803" width="14" style="87" bestFit="1" customWidth="1"/>
    <col min="12804" max="12804" width="13.5703125" style="87" bestFit="1" customWidth="1"/>
    <col min="12805" max="12805" width="10.28515625" style="87" bestFit="1" customWidth="1"/>
    <col min="12806" max="12806" width="7.85546875" style="87" bestFit="1" customWidth="1"/>
    <col min="12807" max="12807" width="12.140625" style="87" bestFit="1" customWidth="1"/>
    <col min="12808" max="12808" width="12" style="87" bestFit="1" customWidth="1"/>
    <col min="12809" max="13052" width="9.140625" style="87"/>
    <col min="13053" max="13053" width="4.42578125" style="87" bestFit="1" customWidth="1"/>
    <col min="13054" max="13054" width="15.85546875" style="87" bestFit="1" customWidth="1"/>
    <col min="13055" max="13055" width="37.85546875" style="87" customWidth="1"/>
    <col min="13056" max="13056" width="8.85546875" style="87" customWidth="1"/>
    <col min="13057" max="13057" width="12.42578125" style="87" bestFit="1" customWidth="1"/>
    <col min="13058" max="13058" width="12.28515625" style="87" bestFit="1" customWidth="1"/>
    <col min="13059" max="13059" width="14" style="87" bestFit="1" customWidth="1"/>
    <col min="13060" max="13060" width="13.5703125" style="87" bestFit="1" customWidth="1"/>
    <col min="13061" max="13061" width="10.28515625" style="87" bestFit="1" customWidth="1"/>
    <col min="13062" max="13062" width="7.85546875" style="87" bestFit="1" customWidth="1"/>
    <col min="13063" max="13063" width="12.140625" style="87" bestFit="1" customWidth="1"/>
    <col min="13064" max="13064" width="12" style="87" bestFit="1" customWidth="1"/>
    <col min="13065" max="13308" width="9.140625" style="87"/>
    <col min="13309" max="13309" width="4.42578125" style="87" bestFit="1" customWidth="1"/>
    <col min="13310" max="13310" width="15.85546875" style="87" bestFit="1" customWidth="1"/>
    <col min="13311" max="13311" width="37.85546875" style="87" customWidth="1"/>
    <col min="13312" max="13312" width="8.85546875" style="87" customWidth="1"/>
    <col min="13313" max="13313" width="12.42578125" style="87" bestFit="1" customWidth="1"/>
    <col min="13314" max="13314" width="12.28515625" style="87" bestFit="1" customWidth="1"/>
    <col min="13315" max="13315" width="14" style="87" bestFit="1" customWidth="1"/>
    <col min="13316" max="13316" width="13.5703125" style="87" bestFit="1" customWidth="1"/>
    <col min="13317" max="13317" width="10.28515625" style="87" bestFit="1" customWidth="1"/>
    <col min="13318" max="13318" width="7.85546875" style="87" bestFit="1" customWidth="1"/>
    <col min="13319" max="13319" width="12.140625" style="87" bestFit="1" customWidth="1"/>
    <col min="13320" max="13320" width="12" style="87" bestFit="1" customWidth="1"/>
    <col min="13321" max="13564" width="9.140625" style="87"/>
    <col min="13565" max="13565" width="4.42578125" style="87" bestFit="1" customWidth="1"/>
    <col min="13566" max="13566" width="15.85546875" style="87" bestFit="1" customWidth="1"/>
    <col min="13567" max="13567" width="37.85546875" style="87" customWidth="1"/>
    <col min="13568" max="13568" width="8.85546875" style="87" customWidth="1"/>
    <col min="13569" max="13569" width="12.42578125" style="87" bestFit="1" customWidth="1"/>
    <col min="13570" max="13570" width="12.28515625" style="87" bestFit="1" customWidth="1"/>
    <col min="13571" max="13571" width="14" style="87" bestFit="1" customWidth="1"/>
    <col min="13572" max="13572" width="13.5703125" style="87" bestFit="1" customWidth="1"/>
    <col min="13573" max="13573" width="10.28515625" style="87" bestFit="1" customWidth="1"/>
    <col min="13574" max="13574" width="7.85546875" style="87" bestFit="1" customWidth="1"/>
    <col min="13575" max="13575" width="12.140625" style="87" bestFit="1" customWidth="1"/>
    <col min="13576" max="13576" width="12" style="87" bestFit="1" customWidth="1"/>
    <col min="13577" max="13820" width="9.140625" style="87"/>
    <col min="13821" max="13821" width="4.42578125" style="87" bestFit="1" customWidth="1"/>
    <col min="13822" max="13822" width="15.85546875" style="87" bestFit="1" customWidth="1"/>
    <col min="13823" max="13823" width="37.85546875" style="87" customWidth="1"/>
    <col min="13824" max="13824" width="8.85546875" style="87" customWidth="1"/>
    <col min="13825" max="13825" width="12.42578125" style="87" bestFit="1" customWidth="1"/>
    <col min="13826" max="13826" width="12.28515625" style="87" bestFit="1" customWidth="1"/>
    <col min="13827" max="13827" width="14" style="87" bestFit="1" customWidth="1"/>
    <col min="13828" max="13828" width="13.5703125" style="87" bestFit="1" customWidth="1"/>
    <col min="13829" max="13829" width="10.28515625" style="87" bestFit="1" customWidth="1"/>
    <col min="13830" max="13830" width="7.85546875" style="87" bestFit="1" customWidth="1"/>
    <col min="13831" max="13831" width="12.140625" style="87" bestFit="1" customWidth="1"/>
    <col min="13832" max="13832" width="12" style="87" bestFit="1" customWidth="1"/>
    <col min="13833" max="14076" width="9.140625" style="87"/>
    <col min="14077" max="14077" width="4.42578125" style="87" bestFit="1" customWidth="1"/>
    <col min="14078" max="14078" width="15.85546875" style="87" bestFit="1" customWidth="1"/>
    <col min="14079" max="14079" width="37.85546875" style="87" customWidth="1"/>
    <col min="14080" max="14080" width="8.85546875" style="87" customWidth="1"/>
    <col min="14081" max="14081" width="12.42578125" style="87" bestFit="1" customWidth="1"/>
    <col min="14082" max="14082" width="12.28515625" style="87" bestFit="1" customWidth="1"/>
    <col min="14083" max="14083" width="14" style="87" bestFit="1" customWidth="1"/>
    <col min="14084" max="14084" width="13.5703125" style="87" bestFit="1" customWidth="1"/>
    <col min="14085" max="14085" width="10.28515625" style="87" bestFit="1" customWidth="1"/>
    <col min="14086" max="14086" width="7.85546875" style="87" bestFit="1" customWidth="1"/>
    <col min="14087" max="14087" width="12.140625" style="87" bestFit="1" customWidth="1"/>
    <col min="14088" max="14088" width="12" style="87" bestFit="1" customWidth="1"/>
    <col min="14089" max="14332" width="9.140625" style="87"/>
    <col min="14333" max="14333" width="4.42578125" style="87" bestFit="1" customWidth="1"/>
    <col min="14334" max="14334" width="15.85546875" style="87" bestFit="1" customWidth="1"/>
    <col min="14335" max="14335" width="37.85546875" style="87" customWidth="1"/>
    <col min="14336" max="14336" width="8.85546875" style="87" customWidth="1"/>
    <col min="14337" max="14337" width="12.42578125" style="87" bestFit="1" customWidth="1"/>
    <col min="14338" max="14338" width="12.28515625" style="87" bestFit="1" customWidth="1"/>
    <col min="14339" max="14339" width="14" style="87" bestFit="1" customWidth="1"/>
    <col min="14340" max="14340" width="13.5703125" style="87" bestFit="1" customWidth="1"/>
    <col min="14341" max="14341" width="10.28515625" style="87" bestFit="1" customWidth="1"/>
    <col min="14342" max="14342" width="7.85546875" style="87" bestFit="1" customWidth="1"/>
    <col min="14343" max="14343" width="12.140625" style="87" bestFit="1" customWidth="1"/>
    <col min="14344" max="14344" width="12" style="87" bestFit="1" customWidth="1"/>
    <col min="14345" max="14588" width="9.140625" style="87"/>
    <col min="14589" max="14589" width="4.42578125" style="87" bestFit="1" customWidth="1"/>
    <col min="14590" max="14590" width="15.85546875" style="87" bestFit="1" customWidth="1"/>
    <col min="14591" max="14591" width="37.85546875" style="87" customWidth="1"/>
    <col min="14592" max="14592" width="8.85546875" style="87" customWidth="1"/>
    <col min="14593" max="14593" width="12.42578125" style="87" bestFit="1" customWidth="1"/>
    <col min="14594" max="14594" width="12.28515625" style="87" bestFit="1" customWidth="1"/>
    <col min="14595" max="14595" width="14" style="87" bestFit="1" customWidth="1"/>
    <col min="14596" max="14596" width="13.5703125" style="87" bestFit="1" customWidth="1"/>
    <col min="14597" max="14597" width="10.28515625" style="87" bestFit="1" customWidth="1"/>
    <col min="14598" max="14598" width="7.85546875" style="87" bestFit="1" customWidth="1"/>
    <col min="14599" max="14599" width="12.140625" style="87" bestFit="1" customWidth="1"/>
    <col min="14600" max="14600" width="12" style="87" bestFit="1" customWidth="1"/>
    <col min="14601" max="14844" width="9.140625" style="87"/>
    <col min="14845" max="14845" width="4.42578125" style="87" bestFit="1" customWidth="1"/>
    <col min="14846" max="14846" width="15.85546875" style="87" bestFit="1" customWidth="1"/>
    <col min="14847" max="14847" width="37.85546875" style="87" customWidth="1"/>
    <col min="14848" max="14848" width="8.85546875" style="87" customWidth="1"/>
    <col min="14849" max="14849" width="12.42578125" style="87" bestFit="1" customWidth="1"/>
    <col min="14850" max="14850" width="12.28515625" style="87" bestFit="1" customWidth="1"/>
    <col min="14851" max="14851" width="14" style="87" bestFit="1" customWidth="1"/>
    <col min="14852" max="14852" width="13.5703125" style="87" bestFit="1" customWidth="1"/>
    <col min="14853" max="14853" width="10.28515625" style="87" bestFit="1" customWidth="1"/>
    <col min="14854" max="14854" width="7.85546875" style="87" bestFit="1" customWidth="1"/>
    <col min="14855" max="14855" width="12.140625" style="87" bestFit="1" customWidth="1"/>
    <col min="14856" max="14856" width="12" style="87" bestFit="1" customWidth="1"/>
    <col min="14857" max="15100" width="9.140625" style="87"/>
    <col min="15101" max="15101" width="4.42578125" style="87" bestFit="1" customWidth="1"/>
    <col min="15102" max="15102" width="15.85546875" style="87" bestFit="1" customWidth="1"/>
    <col min="15103" max="15103" width="37.85546875" style="87" customWidth="1"/>
    <col min="15104" max="15104" width="8.85546875" style="87" customWidth="1"/>
    <col min="15105" max="15105" width="12.42578125" style="87" bestFit="1" customWidth="1"/>
    <col min="15106" max="15106" width="12.28515625" style="87" bestFit="1" customWidth="1"/>
    <col min="15107" max="15107" width="14" style="87" bestFit="1" customWidth="1"/>
    <col min="15108" max="15108" width="13.5703125" style="87" bestFit="1" customWidth="1"/>
    <col min="15109" max="15109" width="10.28515625" style="87" bestFit="1" customWidth="1"/>
    <col min="15110" max="15110" width="7.85546875" style="87" bestFit="1" customWidth="1"/>
    <col min="15111" max="15111" width="12.140625" style="87" bestFit="1" customWidth="1"/>
    <col min="15112" max="15112" width="12" style="87" bestFit="1" customWidth="1"/>
    <col min="15113" max="15356" width="9.140625" style="87"/>
    <col min="15357" max="15357" width="4.42578125" style="87" bestFit="1" customWidth="1"/>
    <col min="15358" max="15358" width="15.85546875" style="87" bestFit="1" customWidth="1"/>
    <col min="15359" max="15359" width="37.85546875" style="87" customWidth="1"/>
    <col min="15360" max="15360" width="8.85546875" style="87" customWidth="1"/>
    <col min="15361" max="15361" width="12.42578125" style="87" bestFit="1" customWidth="1"/>
    <col min="15362" max="15362" width="12.28515625" style="87" bestFit="1" customWidth="1"/>
    <col min="15363" max="15363" width="14" style="87" bestFit="1" customWidth="1"/>
    <col min="15364" max="15364" width="13.5703125" style="87" bestFit="1" customWidth="1"/>
    <col min="15365" max="15365" width="10.28515625" style="87" bestFit="1" customWidth="1"/>
    <col min="15366" max="15366" width="7.85546875" style="87" bestFit="1" customWidth="1"/>
    <col min="15367" max="15367" width="12.140625" style="87" bestFit="1" customWidth="1"/>
    <col min="15368" max="15368" width="12" style="87" bestFit="1" customWidth="1"/>
    <col min="15369" max="15612" width="9.140625" style="87"/>
    <col min="15613" max="15613" width="4.42578125" style="87" bestFit="1" customWidth="1"/>
    <col min="15614" max="15614" width="15.85546875" style="87" bestFit="1" customWidth="1"/>
    <col min="15615" max="15615" width="37.85546875" style="87" customWidth="1"/>
    <col min="15616" max="15616" width="8.85546875" style="87" customWidth="1"/>
    <col min="15617" max="15617" width="12.42578125" style="87" bestFit="1" customWidth="1"/>
    <col min="15618" max="15618" width="12.28515625" style="87" bestFit="1" customWidth="1"/>
    <col min="15619" max="15619" width="14" style="87" bestFit="1" customWidth="1"/>
    <col min="15620" max="15620" width="13.5703125" style="87" bestFit="1" customWidth="1"/>
    <col min="15621" max="15621" width="10.28515625" style="87" bestFit="1" customWidth="1"/>
    <col min="15622" max="15622" width="7.85546875" style="87" bestFit="1" customWidth="1"/>
    <col min="15623" max="15623" width="12.140625" style="87" bestFit="1" customWidth="1"/>
    <col min="15624" max="15624" width="12" style="87" bestFit="1" customWidth="1"/>
    <col min="15625" max="15868" width="9.140625" style="87"/>
    <col min="15869" max="15869" width="4.42578125" style="87" bestFit="1" customWidth="1"/>
    <col min="15870" max="15870" width="15.85546875" style="87" bestFit="1" customWidth="1"/>
    <col min="15871" max="15871" width="37.85546875" style="87" customWidth="1"/>
    <col min="15872" max="15872" width="8.85546875" style="87" customWidth="1"/>
    <col min="15873" max="15873" width="12.42578125" style="87" bestFit="1" customWidth="1"/>
    <col min="15874" max="15874" width="12.28515625" style="87" bestFit="1" customWidth="1"/>
    <col min="15875" max="15875" width="14" style="87" bestFit="1" customWidth="1"/>
    <col min="15876" max="15876" width="13.5703125" style="87" bestFit="1" customWidth="1"/>
    <col min="15877" max="15877" width="10.28515625" style="87" bestFit="1" customWidth="1"/>
    <col min="15878" max="15878" width="7.85546875" style="87" bestFit="1" customWidth="1"/>
    <col min="15879" max="15879" width="12.140625" style="87" bestFit="1" customWidth="1"/>
    <col min="15880" max="15880" width="12" style="87" bestFit="1" customWidth="1"/>
    <col min="15881" max="16124" width="9.140625" style="87"/>
    <col min="16125" max="16125" width="4.42578125" style="87" bestFit="1" customWidth="1"/>
    <col min="16126" max="16126" width="15.85546875" style="87" bestFit="1" customWidth="1"/>
    <col min="16127" max="16127" width="37.85546875" style="87" customWidth="1"/>
    <col min="16128" max="16128" width="8.85546875" style="87" customWidth="1"/>
    <col min="16129" max="16129" width="12.42578125" style="87" bestFit="1" customWidth="1"/>
    <col min="16130" max="16130" width="12.28515625" style="87" bestFit="1" customWidth="1"/>
    <col min="16131" max="16131" width="14" style="87" bestFit="1" customWidth="1"/>
    <col min="16132" max="16132" width="13.5703125" style="87" bestFit="1" customWidth="1"/>
    <col min="16133" max="16133" width="10.28515625" style="87" bestFit="1" customWidth="1"/>
    <col min="16134" max="16134" width="7.85546875" style="87" bestFit="1" customWidth="1"/>
    <col min="16135" max="16135" width="12.140625" style="87" bestFit="1" customWidth="1"/>
    <col min="16136" max="16136" width="12" style="87" bestFit="1" customWidth="1"/>
    <col min="16137" max="16384" width="9.140625" style="87"/>
  </cols>
  <sheetData>
    <row r="1" spans="1:10" s="81" customFormat="1" ht="32.25" thickTop="1" x14ac:dyDescent="0.25">
      <c r="A1" s="78" t="s">
        <v>219</v>
      </c>
      <c r="B1" s="79" t="s">
        <v>0</v>
      </c>
      <c r="C1" s="79" t="s">
        <v>220</v>
      </c>
      <c r="D1" s="79" t="s">
        <v>221</v>
      </c>
      <c r="E1" s="79" t="s">
        <v>222</v>
      </c>
      <c r="F1" s="79" t="s">
        <v>223</v>
      </c>
      <c r="G1" s="79" t="s">
        <v>7</v>
      </c>
      <c r="H1" s="80" t="s">
        <v>224</v>
      </c>
    </row>
    <row r="2" spans="1:10" ht="15.75" outlineLevel="2" x14ac:dyDescent="0.25">
      <c r="A2" s="82">
        <v>12</v>
      </c>
      <c r="B2" s="83" t="s">
        <v>235</v>
      </c>
      <c r="C2" s="83" t="s">
        <v>226</v>
      </c>
      <c r="D2" s="84">
        <v>937840907</v>
      </c>
      <c r="E2" s="83">
        <v>192736333</v>
      </c>
      <c r="F2" s="83" t="s">
        <v>236</v>
      </c>
      <c r="G2" s="85">
        <v>935</v>
      </c>
      <c r="H2" s="86">
        <v>32964</v>
      </c>
      <c r="J2" s="66" t="s">
        <v>155</v>
      </c>
    </row>
    <row r="3" spans="1:10" ht="18.75" outlineLevel="2" x14ac:dyDescent="0.25">
      <c r="A3" s="82">
        <v>6</v>
      </c>
      <c r="B3" s="83" t="s">
        <v>244</v>
      </c>
      <c r="C3" s="83" t="s">
        <v>231</v>
      </c>
      <c r="D3" s="84">
        <v>967532122</v>
      </c>
      <c r="E3" s="83">
        <v>195635333</v>
      </c>
      <c r="F3" s="83" t="s">
        <v>236</v>
      </c>
      <c r="G3" s="85">
        <v>950</v>
      </c>
      <c r="H3" s="86">
        <v>33087</v>
      </c>
      <c r="J3" s="88" t="s">
        <v>256</v>
      </c>
    </row>
    <row r="4" spans="1:10" ht="18.75" outlineLevel="1" x14ac:dyDescent="0.25">
      <c r="A4" s="82"/>
      <c r="B4" s="83"/>
      <c r="C4" s="83"/>
      <c r="D4" s="84"/>
      <c r="E4" s="83"/>
      <c r="F4" s="190" t="s">
        <v>357</v>
      </c>
      <c r="G4" s="85">
        <f>SUBTOTAL(9,G2:G3)</f>
        <v>1885</v>
      </c>
      <c r="H4" s="86"/>
      <c r="J4" s="88"/>
    </row>
    <row r="5" spans="1:10" ht="15.75" outlineLevel="2" x14ac:dyDescent="0.25">
      <c r="A5" s="82">
        <v>17</v>
      </c>
      <c r="B5" s="83" t="s">
        <v>237</v>
      </c>
      <c r="C5" s="83" t="s">
        <v>226</v>
      </c>
      <c r="D5" s="84">
        <v>916575449</v>
      </c>
      <c r="E5" s="83">
        <v>197654344</v>
      </c>
      <c r="F5" s="83" t="s">
        <v>238</v>
      </c>
      <c r="G5" s="85">
        <v>3550</v>
      </c>
      <c r="H5" s="86">
        <v>35157</v>
      </c>
    </row>
    <row r="6" spans="1:10" ht="15.75" outlineLevel="2" x14ac:dyDescent="0.25">
      <c r="A6" s="82">
        <v>9</v>
      </c>
      <c r="B6" s="83" t="s">
        <v>250</v>
      </c>
      <c r="C6" s="83" t="s">
        <v>251</v>
      </c>
      <c r="D6" s="84">
        <v>916353213</v>
      </c>
      <c r="E6" s="83">
        <v>193246522</v>
      </c>
      <c r="F6" s="83" t="s">
        <v>238</v>
      </c>
      <c r="G6" s="85">
        <v>2550</v>
      </c>
      <c r="H6" s="86">
        <v>25662</v>
      </c>
    </row>
    <row r="7" spans="1:10" ht="15.75" outlineLevel="1" x14ac:dyDescent="0.25">
      <c r="A7" s="82"/>
      <c r="B7" s="83"/>
      <c r="C7" s="83"/>
      <c r="D7" s="84"/>
      <c r="E7" s="83"/>
      <c r="F7" s="190" t="s">
        <v>358</v>
      </c>
      <c r="G7" s="85">
        <f>SUBTOTAL(9,G5:G6)</f>
        <v>6100</v>
      </c>
      <c r="H7" s="86"/>
    </row>
    <row r="8" spans="1:10" ht="15.75" outlineLevel="2" x14ac:dyDescent="0.25">
      <c r="A8" s="82">
        <v>18</v>
      </c>
      <c r="B8" s="83" t="s">
        <v>239</v>
      </c>
      <c r="C8" s="83" t="s">
        <v>231</v>
      </c>
      <c r="D8" s="84">
        <v>932192744</v>
      </c>
      <c r="E8" s="83">
        <v>189465421</v>
      </c>
      <c r="F8" s="83" t="s">
        <v>240</v>
      </c>
      <c r="G8" s="85">
        <v>1750</v>
      </c>
      <c r="H8" s="86">
        <v>31902</v>
      </c>
    </row>
    <row r="9" spans="1:10" ht="15.75" outlineLevel="2" x14ac:dyDescent="0.25">
      <c r="A9" s="82">
        <v>1</v>
      </c>
      <c r="B9" s="83" t="s">
        <v>245</v>
      </c>
      <c r="C9" s="83" t="s">
        <v>231</v>
      </c>
      <c r="D9" s="84">
        <v>912323921</v>
      </c>
      <c r="E9" s="83">
        <v>192444154</v>
      </c>
      <c r="F9" s="83" t="s">
        <v>240</v>
      </c>
      <c r="G9" s="85">
        <v>675</v>
      </c>
      <c r="H9" s="86">
        <v>32874</v>
      </c>
    </row>
    <row r="10" spans="1:10" ht="15.75" outlineLevel="2" x14ac:dyDescent="0.25">
      <c r="A10" s="82">
        <v>16</v>
      </c>
      <c r="B10" s="83" t="s">
        <v>255</v>
      </c>
      <c r="C10" s="83" t="s">
        <v>251</v>
      </c>
      <c r="D10" s="84">
        <v>964513123</v>
      </c>
      <c r="E10" s="83">
        <v>189656131</v>
      </c>
      <c r="F10" s="83" t="s">
        <v>240</v>
      </c>
      <c r="G10" s="85">
        <v>5500</v>
      </c>
      <c r="H10" s="86">
        <v>34123</v>
      </c>
    </row>
    <row r="11" spans="1:10" ht="15.75" outlineLevel="1" x14ac:dyDescent="0.25">
      <c r="A11" s="82"/>
      <c r="B11" s="83"/>
      <c r="C11" s="83"/>
      <c r="D11" s="84"/>
      <c r="E11" s="83"/>
      <c r="F11" s="190" t="s">
        <v>359</v>
      </c>
      <c r="G11" s="85">
        <f>SUBTOTAL(9,G8:G10)</f>
        <v>7925</v>
      </c>
      <c r="H11" s="86"/>
    </row>
    <row r="12" spans="1:10" ht="15.75" outlineLevel="2" x14ac:dyDescent="0.25">
      <c r="A12" s="82">
        <v>20</v>
      </c>
      <c r="B12" s="83" t="s">
        <v>232</v>
      </c>
      <c r="C12" s="83" t="s">
        <v>233</v>
      </c>
      <c r="D12" s="84">
        <v>916454323</v>
      </c>
      <c r="E12" s="83">
        <v>197453784</v>
      </c>
      <c r="F12" s="83" t="s">
        <v>234</v>
      </c>
      <c r="G12" s="85">
        <v>990</v>
      </c>
      <c r="H12" s="86">
        <v>32977</v>
      </c>
    </row>
    <row r="13" spans="1:10" ht="15.75" outlineLevel="2" x14ac:dyDescent="0.25">
      <c r="A13" s="82">
        <v>7</v>
      </c>
      <c r="B13" s="83" t="s">
        <v>247</v>
      </c>
      <c r="C13" s="83" t="s">
        <v>231</v>
      </c>
      <c r="D13" s="84">
        <v>934554590</v>
      </c>
      <c r="E13" s="83">
        <v>191234344</v>
      </c>
      <c r="F13" s="83" t="s">
        <v>234</v>
      </c>
      <c r="G13" s="85">
        <v>920</v>
      </c>
      <c r="H13" s="86">
        <v>35280</v>
      </c>
    </row>
    <row r="14" spans="1:10" ht="15.75" outlineLevel="1" x14ac:dyDescent="0.25">
      <c r="A14" s="82"/>
      <c r="B14" s="83"/>
      <c r="C14" s="83"/>
      <c r="D14" s="84"/>
      <c r="E14" s="83"/>
      <c r="F14" s="190" t="s">
        <v>356</v>
      </c>
      <c r="G14" s="85">
        <f>SUBTOTAL(9,G12:G13)</f>
        <v>1910</v>
      </c>
      <c r="H14" s="86"/>
    </row>
    <row r="15" spans="1:10" ht="15.75" outlineLevel="2" x14ac:dyDescent="0.25">
      <c r="A15" s="82">
        <v>3</v>
      </c>
      <c r="B15" s="83" t="s">
        <v>227</v>
      </c>
      <c r="C15" s="83" t="s">
        <v>226</v>
      </c>
      <c r="D15" s="84">
        <v>934554566</v>
      </c>
      <c r="E15" s="83">
        <v>198435662</v>
      </c>
      <c r="F15" s="83" t="s">
        <v>228</v>
      </c>
      <c r="G15" s="85">
        <v>625</v>
      </c>
      <c r="H15" s="86">
        <v>35188</v>
      </c>
    </row>
    <row r="16" spans="1:10" ht="15.75" outlineLevel="2" x14ac:dyDescent="0.25">
      <c r="A16" s="82">
        <v>15</v>
      </c>
      <c r="B16" s="83" t="s">
        <v>230</v>
      </c>
      <c r="C16" s="83" t="s">
        <v>231</v>
      </c>
      <c r="D16" s="84">
        <v>937545433</v>
      </c>
      <c r="E16" s="83">
        <v>197656123</v>
      </c>
      <c r="F16" s="83" t="s">
        <v>228</v>
      </c>
      <c r="G16" s="85">
        <v>750</v>
      </c>
      <c r="H16" s="86">
        <v>32874</v>
      </c>
    </row>
    <row r="17" spans="1:8" ht="15.75" outlineLevel="2" x14ac:dyDescent="0.25">
      <c r="A17" s="82">
        <v>10</v>
      </c>
      <c r="B17" s="83" t="s">
        <v>241</v>
      </c>
      <c r="C17" s="83" t="s">
        <v>242</v>
      </c>
      <c r="D17" s="84">
        <v>917483454</v>
      </c>
      <c r="E17" s="83">
        <v>196755552</v>
      </c>
      <c r="F17" s="83" t="s">
        <v>228</v>
      </c>
      <c r="G17" s="85">
        <v>1550</v>
      </c>
      <c r="H17" s="86">
        <v>32964</v>
      </c>
    </row>
    <row r="18" spans="1:8" ht="15.75" outlineLevel="2" x14ac:dyDescent="0.25">
      <c r="A18" s="82">
        <v>14</v>
      </c>
      <c r="B18" s="83" t="s">
        <v>246</v>
      </c>
      <c r="C18" s="83" t="s">
        <v>226</v>
      </c>
      <c r="D18" s="84">
        <v>964534312</v>
      </c>
      <c r="E18" s="83">
        <v>198736453</v>
      </c>
      <c r="F18" s="83" t="s">
        <v>228</v>
      </c>
      <c r="G18" s="85">
        <v>1050</v>
      </c>
      <c r="H18" s="86">
        <v>32874</v>
      </c>
    </row>
    <row r="19" spans="1:8" ht="15.75" outlineLevel="2" x14ac:dyDescent="0.25">
      <c r="A19" s="82">
        <v>5</v>
      </c>
      <c r="B19" s="83" t="s">
        <v>249</v>
      </c>
      <c r="C19" s="83" t="s">
        <v>242</v>
      </c>
      <c r="D19" s="84">
        <v>918323334</v>
      </c>
      <c r="E19" s="83">
        <v>196534212</v>
      </c>
      <c r="F19" s="83" t="s">
        <v>228</v>
      </c>
      <c r="G19" s="85">
        <v>1000</v>
      </c>
      <c r="H19" s="86">
        <v>29281</v>
      </c>
    </row>
    <row r="20" spans="1:8" ht="15.75" outlineLevel="2" x14ac:dyDescent="0.25">
      <c r="A20" s="82">
        <v>2</v>
      </c>
      <c r="B20" s="83" t="s">
        <v>252</v>
      </c>
      <c r="C20" s="83" t="s">
        <v>231</v>
      </c>
      <c r="D20" s="84">
        <v>914656212</v>
      </c>
      <c r="E20" s="83">
        <v>198232323</v>
      </c>
      <c r="F20" s="83" t="s">
        <v>228</v>
      </c>
      <c r="G20" s="85">
        <v>750</v>
      </c>
      <c r="H20" s="86">
        <v>31778</v>
      </c>
    </row>
    <row r="21" spans="1:8" ht="15.75" outlineLevel="1" x14ac:dyDescent="0.25">
      <c r="A21" s="82"/>
      <c r="B21" s="83"/>
      <c r="C21" s="83"/>
      <c r="D21" s="84"/>
      <c r="E21" s="83"/>
      <c r="F21" s="190" t="s">
        <v>355</v>
      </c>
      <c r="G21" s="85">
        <f>SUBTOTAL(9,G15:G20)</f>
        <v>5725</v>
      </c>
      <c r="H21" s="86"/>
    </row>
    <row r="22" spans="1:8" ht="15.75" outlineLevel="2" x14ac:dyDescent="0.25">
      <c r="A22" s="82">
        <v>13</v>
      </c>
      <c r="B22" s="83" t="s">
        <v>225</v>
      </c>
      <c r="C22" s="83" t="s">
        <v>226</v>
      </c>
      <c r="D22" s="84">
        <v>962345821</v>
      </c>
      <c r="E22" s="83">
        <v>187901231</v>
      </c>
      <c r="F22" s="83" t="s">
        <v>131</v>
      </c>
      <c r="G22" s="85">
        <v>450</v>
      </c>
      <c r="H22" s="86">
        <v>32874</v>
      </c>
    </row>
    <row r="23" spans="1:8" ht="15.75" outlineLevel="2" x14ac:dyDescent="0.25">
      <c r="A23" s="82">
        <v>11</v>
      </c>
      <c r="B23" s="83" t="s">
        <v>243</v>
      </c>
      <c r="C23" s="83" t="s">
        <v>231</v>
      </c>
      <c r="D23" s="84">
        <v>914345567</v>
      </c>
      <c r="E23" s="83">
        <v>189234192</v>
      </c>
      <c r="F23" s="83" t="s">
        <v>131</v>
      </c>
      <c r="G23" s="85">
        <v>600</v>
      </c>
      <c r="H23" s="86">
        <v>32964</v>
      </c>
    </row>
    <row r="24" spans="1:8" ht="15.75" outlineLevel="2" x14ac:dyDescent="0.25">
      <c r="A24" s="82">
        <v>8</v>
      </c>
      <c r="B24" s="83" t="s">
        <v>248</v>
      </c>
      <c r="C24" s="83" t="s">
        <v>226</v>
      </c>
      <c r="D24" s="84">
        <v>916232333</v>
      </c>
      <c r="E24" s="83">
        <v>187255444</v>
      </c>
      <c r="F24" s="83" t="s">
        <v>131</v>
      </c>
      <c r="G24" s="85">
        <v>780</v>
      </c>
      <c r="H24" s="86">
        <v>35490</v>
      </c>
    </row>
    <row r="25" spans="1:8" ht="15.75" outlineLevel="2" x14ac:dyDescent="0.25">
      <c r="A25" s="82">
        <v>4</v>
      </c>
      <c r="B25" s="83" t="s">
        <v>253</v>
      </c>
      <c r="C25" s="83" t="s">
        <v>233</v>
      </c>
      <c r="D25" s="84">
        <v>965627262</v>
      </c>
      <c r="E25" s="83">
        <v>187263543</v>
      </c>
      <c r="F25" s="83" t="s">
        <v>131</v>
      </c>
      <c r="G25" s="85">
        <v>725</v>
      </c>
      <c r="H25" s="86">
        <v>35007</v>
      </c>
    </row>
    <row r="26" spans="1:8" ht="16.5" outlineLevel="2" thickBot="1" x14ac:dyDescent="0.3">
      <c r="A26" s="89">
        <v>19</v>
      </c>
      <c r="B26" s="90" t="s">
        <v>254</v>
      </c>
      <c r="C26" s="90" t="s">
        <v>242</v>
      </c>
      <c r="D26" s="91">
        <v>967453239</v>
      </c>
      <c r="E26" s="90">
        <v>198646434</v>
      </c>
      <c r="F26" s="90" t="s">
        <v>131</v>
      </c>
      <c r="G26" s="92">
        <v>890</v>
      </c>
      <c r="H26" s="93">
        <v>34650</v>
      </c>
    </row>
    <row r="27" spans="1:8" ht="16.5" outlineLevel="1" thickTop="1" x14ac:dyDescent="0.25">
      <c r="A27" s="185"/>
      <c r="B27" s="186"/>
      <c r="C27" s="186"/>
      <c r="D27" s="187"/>
      <c r="E27" s="186"/>
      <c r="F27" s="191" t="s">
        <v>354</v>
      </c>
      <c r="G27" s="188">
        <f>SUBTOTAL(9,G22:G26)</f>
        <v>3445</v>
      </c>
      <c r="H27" s="189"/>
    </row>
    <row r="28" spans="1:8" ht="15.75" x14ac:dyDescent="0.25">
      <c r="A28" s="185"/>
      <c r="B28" s="186"/>
      <c r="C28" s="186"/>
      <c r="D28" s="187"/>
      <c r="E28" s="186"/>
      <c r="F28" s="191" t="s">
        <v>351</v>
      </c>
      <c r="G28" s="188">
        <f>SUBTOTAL(9,G2:G26)</f>
        <v>26990</v>
      </c>
      <c r="H28" s="189"/>
    </row>
    <row r="29" spans="1:8" x14ac:dyDescent="0.25">
      <c r="A29" s="94"/>
    </row>
    <row r="30" spans="1:8" ht="13.5" thickBot="1" x14ac:dyDescent="0.3">
      <c r="A30" s="94"/>
    </row>
    <row r="31" spans="1:8" ht="32.25" thickTop="1" x14ac:dyDescent="0.25">
      <c r="A31" s="78" t="s">
        <v>219</v>
      </c>
      <c r="B31" s="79" t="s">
        <v>0</v>
      </c>
      <c r="C31" s="79" t="s">
        <v>220</v>
      </c>
      <c r="D31" s="79" t="s">
        <v>221</v>
      </c>
      <c r="E31" s="79" t="s">
        <v>222</v>
      </c>
      <c r="F31" s="79" t="s">
        <v>223</v>
      </c>
      <c r="G31" s="79" t="s">
        <v>7</v>
      </c>
      <c r="H31" s="80" t="s">
        <v>224</v>
      </c>
    </row>
    <row r="32" spans="1:8" ht="15.75" outlineLevel="2" x14ac:dyDescent="0.25">
      <c r="A32" s="82">
        <v>15</v>
      </c>
      <c r="B32" s="83" t="s">
        <v>230</v>
      </c>
      <c r="C32" s="83" t="s">
        <v>231</v>
      </c>
      <c r="D32" s="84">
        <v>937545433</v>
      </c>
      <c r="E32" s="83">
        <v>197656123</v>
      </c>
      <c r="F32" s="83" t="s">
        <v>228</v>
      </c>
      <c r="G32" s="85">
        <v>750</v>
      </c>
      <c r="H32" s="86">
        <v>32874</v>
      </c>
    </row>
    <row r="33" spans="1:10" ht="15.75" outlineLevel="2" x14ac:dyDescent="0.25">
      <c r="A33" s="82">
        <v>18</v>
      </c>
      <c r="B33" s="83" t="s">
        <v>239</v>
      </c>
      <c r="C33" s="83" t="s">
        <v>231</v>
      </c>
      <c r="D33" s="84">
        <v>932192744</v>
      </c>
      <c r="E33" s="83">
        <v>189465421</v>
      </c>
      <c r="F33" s="83" t="s">
        <v>240</v>
      </c>
      <c r="G33" s="85">
        <v>1750</v>
      </c>
      <c r="H33" s="86">
        <v>31902</v>
      </c>
      <c r="J33" s="66" t="s">
        <v>155</v>
      </c>
    </row>
    <row r="34" spans="1:10" ht="18.75" outlineLevel="2" x14ac:dyDescent="0.25">
      <c r="A34" s="82">
        <v>11</v>
      </c>
      <c r="B34" s="83" t="s">
        <v>243</v>
      </c>
      <c r="C34" s="83" t="s">
        <v>231</v>
      </c>
      <c r="D34" s="84">
        <v>914345567</v>
      </c>
      <c r="E34" s="83">
        <v>189234192</v>
      </c>
      <c r="F34" s="83" t="s">
        <v>131</v>
      </c>
      <c r="G34" s="85">
        <v>600</v>
      </c>
      <c r="H34" s="86">
        <v>32964</v>
      </c>
      <c r="J34" s="88" t="s">
        <v>229</v>
      </c>
    </row>
    <row r="35" spans="1:10" ht="15.75" outlineLevel="2" x14ac:dyDescent="0.25">
      <c r="A35" s="82">
        <v>6</v>
      </c>
      <c r="B35" s="83" t="s">
        <v>244</v>
      </c>
      <c r="C35" s="83" t="s">
        <v>231</v>
      </c>
      <c r="D35" s="84">
        <v>967532122</v>
      </c>
      <c r="E35" s="83">
        <v>195635333</v>
      </c>
      <c r="F35" s="83" t="s">
        <v>236</v>
      </c>
      <c r="G35" s="85">
        <v>950</v>
      </c>
      <c r="H35" s="86">
        <v>33087</v>
      </c>
    </row>
    <row r="36" spans="1:10" ht="15.75" outlineLevel="2" x14ac:dyDescent="0.25">
      <c r="A36" s="82">
        <v>1</v>
      </c>
      <c r="B36" s="83" t="s">
        <v>245</v>
      </c>
      <c r="C36" s="83" t="s">
        <v>231</v>
      </c>
      <c r="D36" s="84">
        <v>912323921</v>
      </c>
      <c r="E36" s="83">
        <v>192444154</v>
      </c>
      <c r="F36" s="83" t="s">
        <v>240</v>
      </c>
      <c r="G36" s="85">
        <v>675</v>
      </c>
      <c r="H36" s="86">
        <v>32874</v>
      </c>
    </row>
    <row r="37" spans="1:10" ht="15.75" outlineLevel="2" x14ac:dyDescent="0.25">
      <c r="A37" s="82">
        <v>7</v>
      </c>
      <c r="B37" s="83" t="s">
        <v>247</v>
      </c>
      <c r="C37" s="83" t="s">
        <v>231</v>
      </c>
      <c r="D37" s="84">
        <v>934554590</v>
      </c>
      <c r="E37" s="83">
        <v>191234344</v>
      </c>
      <c r="F37" s="83" t="s">
        <v>234</v>
      </c>
      <c r="G37" s="85">
        <v>920</v>
      </c>
      <c r="H37" s="86">
        <v>35280</v>
      </c>
    </row>
    <row r="38" spans="1:10" ht="15.75" outlineLevel="2" x14ac:dyDescent="0.25">
      <c r="A38" s="82">
        <v>2</v>
      </c>
      <c r="B38" s="83" t="s">
        <v>252</v>
      </c>
      <c r="C38" s="83" t="s">
        <v>231</v>
      </c>
      <c r="D38" s="84">
        <v>914656212</v>
      </c>
      <c r="E38" s="83">
        <v>198232323</v>
      </c>
      <c r="F38" s="83" t="s">
        <v>228</v>
      </c>
      <c r="G38" s="85">
        <v>750</v>
      </c>
      <c r="H38" s="86">
        <v>31778</v>
      </c>
    </row>
    <row r="39" spans="1:10" ht="15.75" outlineLevel="1" x14ac:dyDescent="0.25">
      <c r="A39" s="82"/>
      <c r="B39" s="83"/>
      <c r="C39" s="190" t="s">
        <v>360</v>
      </c>
      <c r="D39" s="84"/>
      <c r="E39" s="83"/>
      <c r="F39" s="83"/>
      <c r="G39" s="85">
        <f>SUBTOTAL(9,G32:G38)</f>
        <v>6395</v>
      </c>
      <c r="H39" s="86"/>
    </row>
    <row r="40" spans="1:10" ht="15.75" outlineLevel="2" x14ac:dyDescent="0.25">
      <c r="A40" s="82">
        <v>10</v>
      </c>
      <c r="B40" s="83" t="s">
        <v>241</v>
      </c>
      <c r="C40" s="83" t="s">
        <v>242</v>
      </c>
      <c r="D40" s="84">
        <v>917483454</v>
      </c>
      <c r="E40" s="83">
        <v>196755552</v>
      </c>
      <c r="F40" s="83" t="s">
        <v>228</v>
      </c>
      <c r="G40" s="85">
        <v>1550</v>
      </c>
      <c r="H40" s="86">
        <v>32964</v>
      </c>
    </row>
    <row r="41" spans="1:10" ht="15.75" outlineLevel="2" x14ac:dyDescent="0.25">
      <c r="A41" s="82">
        <v>5</v>
      </c>
      <c r="B41" s="83" t="s">
        <v>249</v>
      </c>
      <c r="C41" s="83" t="s">
        <v>242</v>
      </c>
      <c r="D41" s="84">
        <v>918323334</v>
      </c>
      <c r="E41" s="83">
        <v>196534212</v>
      </c>
      <c r="F41" s="83" t="s">
        <v>228</v>
      </c>
      <c r="G41" s="85">
        <v>1000</v>
      </c>
      <c r="H41" s="86">
        <v>29281</v>
      </c>
    </row>
    <row r="42" spans="1:10" ht="15.75" outlineLevel="2" x14ac:dyDescent="0.25">
      <c r="A42" s="82">
        <v>19</v>
      </c>
      <c r="B42" s="83" t="s">
        <v>254</v>
      </c>
      <c r="C42" s="83" t="s">
        <v>242</v>
      </c>
      <c r="D42" s="84">
        <v>967453239</v>
      </c>
      <c r="E42" s="83">
        <v>198646434</v>
      </c>
      <c r="F42" s="83" t="s">
        <v>131</v>
      </c>
      <c r="G42" s="85">
        <v>890</v>
      </c>
      <c r="H42" s="86">
        <v>34650</v>
      </c>
    </row>
    <row r="43" spans="1:10" ht="15.75" outlineLevel="1" x14ac:dyDescent="0.25">
      <c r="A43" s="82"/>
      <c r="B43" s="83"/>
      <c r="C43" s="190" t="s">
        <v>361</v>
      </c>
      <c r="D43" s="84"/>
      <c r="E43" s="83"/>
      <c r="F43" s="83"/>
      <c r="G43" s="85">
        <f>SUBTOTAL(9,G40:G42)</f>
        <v>3440</v>
      </c>
      <c r="H43" s="86"/>
    </row>
    <row r="44" spans="1:10" ht="15.75" outlineLevel="2" x14ac:dyDescent="0.25">
      <c r="A44" s="82">
        <v>9</v>
      </c>
      <c r="B44" s="83" t="s">
        <v>250</v>
      </c>
      <c r="C44" s="83" t="s">
        <v>251</v>
      </c>
      <c r="D44" s="84">
        <v>916353213</v>
      </c>
      <c r="E44" s="83">
        <v>193246522</v>
      </c>
      <c r="F44" s="83" t="s">
        <v>238</v>
      </c>
      <c r="G44" s="85">
        <v>2550</v>
      </c>
      <c r="H44" s="86">
        <v>25662</v>
      </c>
    </row>
    <row r="45" spans="1:10" ht="15.75" outlineLevel="2" x14ac:dyDescent="0.25">
      <c r="A45" s="82">
        <v>16</v>
      </c>
      <c r="B45" s="83" t="s">
        <v>255</v>
      </c>
      <c r="C45" s="83" t="s">
        <v>251</v>
      </c>
      <c r="D45" s="84">
        <v>964513123</v>
      </c>
      <c r="E45" s="83">
        <v>189656131</v>
      </c>
      <c r="F45" s="83" t="s">
        <v>240</v>
      </c>
      <c r="G45" s="85">
        <v>5500</v>
      </c>
      <c r="H45" s="86">
        <v>34123</v>
      </c>
    </row>
    <row r="46" spans="1:10" ht="15.75" outlineLevel="1" x14ac:dyDescent="0.25">
      <c r="A46" s="82"/>
      <c r="B46" s="83"/>
      <c r="C46" s="190" t="s">
        <v>362</v>
      </c>
      <c r="D46" s="84"/>
      <c r="E46" s="83"/>
      <c r="F46" s="83"/>
      <c r="G46" s="85">
        <f>SUBTOTAL(9,G44:G45)</f>
        <v>8050</v>
      </c>
      <c r="H46" s="86"/>
    </row>
    <row r="47" spans="1:10" ht="15.75" outlineLevel="2" x14ac:dyDescent="0.25">
      <c r="A47" s="82">
        <v>13</v>
      </c>
      <c r="B47" s="83" t="s">
        <v>225</v>
      </c>
      <c r="C47" s="83" t="s">
        <v>226</v>
      </c>
      <c r="D47" s="84">
        <v>962345821</v>
      </c>
      <c r="E47" s="83">
        <v>187901231</v>
      </c>
      <c r="F47" s="83" t="s">
        <v>131</v>
      </c>
      <c r="G47" s="85">
        <v>450</v>
      </c>
      <c r="H47" s="86">
        <v>32874</v>
      </c>
    </row>
    <row r="48" spans="1:10" ht="15.75" outlineLevel="2" x14ac:dyDescent="0.25">
      <c r="A48" s="82">
        <v>3</v>
      </c>
      <c r="B48" s="83" t="s">
        <v>227</v>
      </c>
      <c r="C48" s="83" t="s">
        <v>226</v>
      </c>
      <c r="D48" s="84">
        <v>934554566</v>
      </c>
      <c r="E48" s="83">
        <v>198435662</v>
      </c>
      <c r="F48" s="83" t="s">
        <v>228</v>
      </c>
      <c r="G48" s="85">
        <v>625</v>
      </c>
      <c r="H48" s="86">
        <v>35188</v>
      </c>
    </row>
    <row r="49" spans="1:8" ht="15.75" outlineLevel="2" x14ac:dyDescent="0.25">
      <c r="A49" s="82">
        <v>12</v>
      </c>
      <c r="B49" s="83" t="s">
        <v>235</v>
      </c>
      <c r="C49" s="83" t="s">
        <v>226</v>
      </c>
      <c r="D49" s="84">
        <v>937840907</v>
      </c>
      <c r="E49" s="83">
        <v>192736333</v>
      </c>
      <c r="F49" s="83" t="s">
        <v>236</v>
      </c>
      <c r="G49" s="85">
        <v>935</v>
      </c>
      <c r="H49" s="86">
        <v>32964</v>
      </c>
    </row>
    <row r="50" spans="1:8" ht="15.75" outlineLevel="2" x14ac:dyDescent="0.25">
      <c r="A50" s="82">
        <v>17</v>
      </c>
      <c r="B50" s="83" t="s">
        <v>237</v>
      </c>
      <c r="C50" s="83" t="s">
        <v>226</v>
      </c>
      <c r="D50" s="84">
        <v>916575449</v>
      </c>
      <c r="E50" s="83">
        <v>197654344</v>
      </c>
      <c r="F50" s="83" t="s">
        <v>238</v>
      </c>
      <c r="G50" s="85">
        <v>3550</v>
      </c>
      <c r="H50" s="86">
        <v>35157</v>
      </c>
    </row>
    <row r="51" spans="1:8" ht="15.75" outlineLevel="2" x14ac:dyDescent="0.25">
      <c r="A51" s="82">
        <v>14</v>
      </c>
      <c r="B51" s="83" t="s">
        <v>246</v>
      </c>
      <c r="C51" s="83" t="s">
        <v>226</v>
      </c>
      <c r="D51" s="84">
        <v>964534312</v>
      </c>
      <c r="E51" s="83">
        <v>198736453</v>
      </c>
      <c r="F51" s="83" t="s">
        <v>228</v>
      </c>
      <c r="G51" s="85">
        <v>1050</v>
      </c>
      <c r="H51" s="86">
        <v>32874</v>
      </c>
    </row>
    <row r="52" spans="1:8" ht="15.75" outlineLevel="2" x14ac:dyDescent="0.25">
      <c r="A52" s="82">
        <v>8</v>
      </c>
      <c r="B52" s="83" t="s">
        <v>248</v>
      </c>
      <c r="C52" s="83" t="s">
        <v>226</v>
      </c>
      <c r="D52" s="84">
        <v>916232333</v>
      </c>
      <c r="E52" s="83">
        <v>187255444</v>
      </c>
      <c r="F52" s="83" t="s">
        <v>131</v>
      </c>
      <c r="G52" s="85">
        <v>780</v>
      </c>
      <c r="H52" s="86">
        <v>35490</v>
      </c>
    </row>
    <row r="53" spans="1:8" ht="15.75" outlineLevel="1" x14ac:dyDescent="0.25">
      <c r="A53" s="82"/>
      <c r="B53" s="83"/>
      <c r="C53" s="190" t="s">
        <v>363</v>
      </c>
      <c r="D53" s="84"/>
      <c r="E53" s="83"/>
      <c r="F53" s="83"/>
      <c r="G53" s="85">
        <f>SUBTOTAL(9,G47:G52)</f>
        <v>7390</v>
      </c>
      <c r="H53" s="86"/>
    </row>
    <row r="54" spans="1:8" ht="15.75" outlineLevel="2" x14ac:dyDescent="0.25">
      <c r="A54" s="82">
        <v>20</v>
      </c>
      <c r="B54" s="83" t="s">
        <v>232</v>
      </c>
      <c r="C54" s="83" t="s">
        <v>233</v>
      </c>
      <c r="D54" s="84">
        <v>916454323</v>
      </c>
      <c r="E54" s="83">
        <v>197453784</v>
      </c>
      <c r="F54" s="83" t="s">
        <v>234</v>
      </c>
      <c r="G54" s="85">
        <v>990</v>
      </c>
      <c r="H54" s="86">
        <v>32977</v>
      </c>
    </row>
    <row r="55" spans="1:8" ht="16.5" outlineLevel="2" thickBot="1" x14ac:dyDescent="0.3">
      <c r="A55" s="89">
        <v>4</v>
      </c>
      <c r="B55" s="90" t="s">
        <v>253</v>
      </c>
      <c r="C55" s="90" t="s">
        <v>233</v>
      </c>
      <c r="D55" s="91">
        <v>965627262</v>
      </c>
      <c r="E55" s="90">
        <v>187263543</v>
      </c>
      <c r="F55" s="90" t="s">
        <v>131</v>
      </c>
      <c r="G55" s="92">
        <v>725</v>
      </c>
      <c r="H55" s="93">
        <v>35007</v>
      </c>
    </row>
    <row r="56" spans="1:8" ht="16.5" outlineLevel="1" thickTop="1" x14ac:dyDescent="0.25">
      <c r="A56" s="185"/>
      <c r="B56" s="186"/>
      <c r="C56" s="191" t="s">
        <v>364</v>
      </c>
      <c r="D56" s="187"/>
      <c r="E56" s="186"/>
      <c r="F56" s="186"/>
      <c r="G56" s="188">
        <f>SUBTOTAL(9,G54:G55)</f>
        <v>1715</v>
      </c>
      <c r="H56" s="189"/>
    </row>
    <row r="57" spans="1:8" ht="15.75" x14ac:dyDescent="0.25">
      <c r="A57" s="185"/>
      <c r="B57" s="186"/>
      <c r="C57" s="191" t="s">
        <v>351</v>
      </c>
      <c r="D57" s="187"/>
      <c r="E57" s="186"/>
      <c r="F57" s="186"/>
      <c r="G57" s="188">
        <f>SUBTOTAL(9,G32:G55)</f>
        <v>26990</v>
      </c>
      <c r="H57" s="189"/>
    </row>
  </sheetData>
  <sortState xmlns:xlrd2="http://schemas.microsoft.com/office/spreadsheetml/2017/richdata2" ref="A32:H55">
    <sortCondition ref="C32:C55"/>
  </sortState>
  <pageMargins left="0.7" right="0.7" top="0.75" bottom="0.75" header="0.3" footer="0.3"/>
  <pageSetup paperSize="9" orientation="portrait" horizontalDpi="300" verticalDpi="300" r:id="rId1"/>
  <rowBreaks count="11" manualBreakCount="11">
    <brk id="4" max="16383" man="1"/>
    <brk id="7" max="16383" man="1"/>
    <brk id="11" max="16383" man="1"/>
    <brk id="14" max="16383" man="1"/>
    <brk id="21" max="16383" man="1"/>
    <brk id="28" max="16383" man="1"/>
    <brk id="39" max="16383" man="1"/>
    <brk id="43" max="16383" man="1"/>
    <brk id="46" max="16383" man="1"/>
    <brk id="53" max="16383" man="1"/>
    <brk id="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52D0-439B-43E0-AF5A-F92788195B18}">
  <dimension ref="A1:P29"/>
  <sheetViews>
    <sheetView topLeftCell="A27" workbookViewId="0">
      <selection activeCell="K33" sqref="K33"/>
    </sheetView>
  </sheetViews>
  <sheetFormatPr defaultRowHeight="15" x14ac:dyDescent="0.25"/>
  <cols>
    <col min="1" max="1" width="8.28515625" customWidth="1"/>
    <col min="2" max="2" width="19.85546875" customWidth="1"/>
    <col min="3" max="3" width="17.5703125" customWidth="1"/>
    <col min="4" max="4" width="11.7109375" bestFit="1" customWidth="1"/>
    <col min="5" max="5" width="20" customWidth="1"/>
    <col min="6" max="7" width="16.85546875" customWidth="1"/>
    <col min="8" max="8" width="5.140625" customWidth="1"/>
    <col min="9" max="9" width="4.42578125" customWidth="1"/>
    <col min="10" max="10" width="5.140625" customWidth="1"/>
    <col min="11" max="11" width="17" customWidth="1"/>
    <col min="12" max="12" width="22.85546875" customWidth="1"/>
    <col min="14" max="14" width="14.42578125" customWidth="1"/>
    <col min="15" max="15" width="17.85546875" customWidth="1"/>
    <col min="16" max="16" width="19" customWidth="1"/>
  </cols>
  <sheetData>
    <row r="1" spans="1:16" x14ac:dyDescent="0.25">
      <c r="H1" s="44"/>
      <c r="K1" s="66" t="s">
        <v>155</v>
      </c>
    </row>
    <row r="2" spans="1:16" ht="18.75" x14ac:dyDescent="0.3">
      <c r="A2" s="45" t="s">
        <v>111</v>
      </c>
      <c r="B2" s="46" t="s">
        <v>112</v>
      </c>
      <c r="C2" s="45" t="s">
        <v>113</v>
      </c>
      <c r="D2" s="45" t="s">
        <v>114</v>
      </c>
      <c r="E2" s="45" t="s">
        <v>115</v>
      </c>
      <c r="F2" s="47" t="s">
        <v>116</v>
      </c>
      <c r="G2" s="47" t="s">
        <v>117</v>
      </c>
      <c r="H2" s="44"/>
      <c r="I2" s="48"/>
      <c r="J2" s="48"/>
      <c r="K2" t="s">
        <v>156</v>
      </c>
    </row>
    <row r="3" spans="1:16" x14ac:dyDescent="0.25">
      <c r="A3" s="49">
        <v>123572</v>
      </c>
      <c r="B3" s="50" t="s">
        <v>118</v>
      </c>
      <c r="C3" s="50" t="s">
        <v>119</v>
      </c>
      <c r="D3" s="50" t="s">
        <v>120</v>
      </c>
      <c r="E3" s="50" t="s">
        <v>121</v>
      </c>
      <c r="F3" s="51">
        <v>5</v>
      </c>
      <c r="G3" s="52">
        <v>2358</v>
      </c>
      <c r="H3" s="44"/>
      <c r="K3" t="s">
        <v>215</v>
      </c>
    </row>
    <row r="4" spans="1:16" x14ac:dyDescent="0.25">
      <c r="A4" s="49">
        <v>123580</v>
      </c>
      <c r="B4" s="50" t="s">
        <v>122</v>
      </c>
      <c r="C4" s="50" t="s">
        <v>119</v>
      </c>
      <c r="D4" s="50" t="s">
        <v>123</v>
      </c>
      <c r="E4" s="50" t="s">
        <v>124</v>
      </c>
      <c r="F4" s="51">
        <v>7</v>
      </c>
      <c r="G4" s="52">
        <v>1750</v>
      </c>
      <c r="H4" s="44"/>
      <c r="I4" s="1"/>
      <c r="K4" t="s">
        <v>216</v>
      </c>
    </row>
    <row r="5" spans="1:16" ht="15.75" x14ac:dyDescent="0.25">
      <c r="A5" s="49">
        <v>123588</v>
      </c>
      <c r="B5" s="50" t="s">
        <v>125</v>
      </c>
      <c r="C5" s="50" t="s">
        <v>119</v>
      </c>
      <c r="D5" s="50" t="s">
        <v>120</v>
      </c>
      <c r="E5" s="50" t="s">
        <v>126</v>
      </c>
      <c r="F5" s="51">
        <v>12</v>
      </c>
      <c r="G5" s="52">
        <v>1450</v>
      </c>
      <c r="H5" s="44"/>
      <c r="I5" s="1"/>
      <c r="K5" t="s">
        <v>218</v>
      </c>
      <c r="L5" s="54"/>
      <c r="M5" s="54"/>
      <c r="P5" s="55"/>
    </row>
    <row r="6" spans="1:16" x14ac:dyDescent="0.25">
      <c r="A6" s="49">
        <v>123596</v>
      </c>
      <c r="B6" s="50" t="s">
        <v>127</v>
      </c>
      <c r="C6" s="50" t="s">
        <v>128</v>
      </c>
      <c r="D6" s="50" t="s">
        <v>123</v>
      </c>
      <c r="E6" s="50" t="s">
        <v>124</v>
      </c>
      <c r="F6" s="51">
        <v>8</v>
      </c>
      <c r="G6" s="52">
        <v>1600</v>
      </c>
      <c r="H6" s="44"/>
      <c r="I6" s="1"/>
      <c r="L6" s="56"/>
      <c r="M6" s="56"/>
    </row>
    <row r="7" spans="1:16" x14ac:dyDescent="0.25">
      <c r="A7" s="49">
        <v>123604</v>
      </c>
      <c r="B7" s="50" t="s">
        <v>129</v>
      </c>
      <c r="C7" s="50" t="s">
        <v>130</v>
      </c>
      <c r="D7" s="50" t="s">
        <v>123</v>
      </c>
      <c r="E7" s="50" t="s">
        <v>131</v>
      </c>
      <c r="F7" s="51">
        <v>8</v>
      </c>
      <c r="G7" s="52">
        <v>1200</v>
      </c>
      <c r="H7" s="44"/>
      <c r="I7" s="1"/>
      <c r="K7" s="64" t="s">
        <v>158</v>
      </c>
      <c r="L7" s="63"/>
      <c r="M7" s="56"/>
      <c r="O7" s="63" t="s">
        <v>159</v>
      </c>
      <c r="P7" s="63"/>
    </row>
    <row r="8" spans="1:16" x14ac:dyDescent="0.25">
      <c r="A8" s="49">
        <v>123612</v>
      </c>
      <c r="B8" s="50" t="s">
        <v>132</v>
      </c>
      <c r="C8" s="50" t="s">
        <v>133</v>
      </c>
      <c r="D8" s="50" t="s">
        <v>120</v>
      </c>
      <c r="E8" s="50" t="s">
        <v>131</v>
      </c>
      <c r="F8" s="51">
        <v>17</v>
      </c>
      <c r="G8" s="52">
        <v>1250</v>
      </c>
      <c r="H8" s="44"/>
      <c r="I8" s="1"/>
      <c r="K8" s="57" t="s">
        <v>153</v>
      </c>
      <c r="L8" s="57" t="s">
        <v>96</v>
      </c>
      <c r="M8" s="56"/>
      <c r="O8" s="57" t="s">
        <v>153</v>
      </c>
      <c r="P8" s="57" t="s">
        <v>96</v>
      </c>
    </row>
    <row r="9" spans="1:16" ht="15.75" x14ac:dyDescent="0.25">
      <c r="A9" s="49">
        <v>123620</v>
      </c>
      <c r="B9" s="50" t="s">
        <v>134</v>
      </c>
      <c r="C9" s="50" t="s">
        <v>119</v>
      </c>
      <c r="D9" s="50" t="s">
        <v>123</v>
      </c>
      <c r="E9" s="50" t="s">
        <v>20</v>
      </c>
      <c r="F9" s="51">
        <v>5</v>
      </c>
      <c r="G9" s="52">
        <v>1600</v>
      </c>
      <c r="H9" s="44"/>
      <c r="I9" s="1"/>
      <c r="K9" s="59" t="s">
        <v>119</v>
      </c>
      <c r="L9" s="60">
        <f>COUNTIF($C$3:$C$23,K9)</f>
        <v>9</v>
      </c>
      <c r="M9" s="61"/>
      <c r="O9" s="59" t="s">
        <v>119</v>
      </c>
      <c r="P9" s="65">
        <f>SUMIF($C$3:$C$23,O9,$G$3:$G$23)</f>
        <v>15046</v>
      </c>
    </row>
    <row r="10" spans="1:16" ht="15.75" x14ac:dyDescent="0.25">
      <c r="A10" s="49">
        <v>123628</v>
      </c>
      <c r="B10" s="50" t="s">
        <v>135</v>
      </c>
      <c r="C10" s="50" t="s">
        <v>119</v>
      </c>
      <c r="D10" s="50" t="s">
        <v>120</v>
      </c>
      <c r="E10" s="50" t="s">
        <v>121</v>
      </c>
      <c r="F10" s="51">
        <v>11</v>
      </c>
      <c r="G10" s="52">
        <v>1250</v>
      </c>
      <c r="H10" s="44"/>
      <c r="K10" s="59" t="s">
        <v>133</v>
      </c>
      <c r="L10" s="60">
        <f t="shared" ref="L10:L12" si="0">COUNTIF($C$3:$C$23,K10)</f>
        <v>5</v>
      </c>
      <c r="M10" s="61"/>
      <c r="O10" s="59" t="s">
        <v>133</v>
      </c>
      <c r="P10" s="65">
        <f t="shared" ref="P10:P12" si="1">SUMIF($C$3:$C$23,O10,$G$3:$G$23)</f>
        <v>6350</v>
      </c>
    </row>
    <row r="11" spans="1:16" ht="15.75" x14ac:dyDescent="0.25">
      <c r="A11" s="49">
        <v>123636</v>
      </c>
      <c r="B11" s="50" t="s">
        <v>136</v>
      </c>
      <c r="C11" s="50" t="s">
        <v>133</v>
      </c>
      <c r="D11" s="50" t="s">
        <v>120</v>
      </c>
      <c r="E11" s="50" t="s">
        <v>131</v>
      </c>
      <c r="F11" s="51">
        <v>10</v>
      </c>
      <c r="G11" s="52">
        <v>950</v>
      </c>
      <c r="H11" s="44"/>
      <c r="K11" s="59" t="s">
        <v>128</v>
      </c>
      <c r="L11" s="60">
        <f t="shared" si="0"/>
        <v>5</v>
      </c>
      <c r="M11" s="61"/>
      <c r="O11" s="59" t="s">
        <v>128</v>
      </c>
      <c r="P11" s="65">
        <f t="shared" si="1"/>
        <v>9855</v>
      </c>
    </row>
    <row r="12" spans="1:16" ht="15.75" x14ac:dyDescent="0.25">
      <c r="A12" s="49">
        <v>123644</v>
      </c>
      <c r="B12" s="50" t="s">
        <v>137</v>
      </c>
      <c r="C12" s="50" t="s">
        <v>133</v>
      </c>
      <c r="D12" s="50" t="s">
        <v>138</v>
      </c>
      <c r="E12" s="50" t="s">
        <v>126</v>
      </c>
      <c r="F12" s="51">
        <v>5</v>
      </c>
      <c r="G12" s="52">
        <v>1300</v>
      </c>
      <c r="H12" s="44"/>
      <c r="K12" s="59" t="s">
        <v>130</v>
      </c>
      <c r="L12" s="60">
        <f t="shared" si="0"/>
        <v>2</v>
      </c>
      <c r="M12" s="61"/>
      <c r="O12" s="59" t="s">
        <v>130</v>
      </c>
      <c r="P12" s="65">
        <f t="shared" si="1"/>
        <v>2700</v>
      </c>
    </row>
    <row r="13" spans="1:16" ht="15.75" x14ac:dyDescent="0.25">
      <c r="A13" s="49">
        <v>123650</v>
      </c>
      <c r="B13" s="50" t="s">
        <v>139</v>
      </c>
      <c r="C13" s="50" t="s">
        <v>128</v>
      </c>
      <c r="D13" s="50" t="s">
        <v>140</v>
      </c>
      <c r="E13" s="50" t="s">
        <v>124</v>
      </c>
      <c r="F13" s="51">
        <v>7</v>
      </c>
      <c r="G13" s="52">
        <v>1850</v>
      </c>
      <c r="H13" s="44"/>
      <c r="K13" s="62" t="s">
        <v>154</v>
      </c>
      <c r="L13" s="60">
        <f>SUM(L9:L12)</f>
        <v>21</v>
      </c>
      <c r="M13" s="56"/>
      <c r="O13" s="58" t="s">
        <v>154</v>
      </c>
      <c r="P13" s="65">
        <f>SUM(P9:P12)</f>
        <v>33951</v>
      </c>
    </row>
    <row r="14" spans="1:16" x14ac:dyDescent="0.25">
      <c r="A14" s="49">
        <v>123657</v>
      </c>
      <c r="B14" s="50" t="s">
        <v>141</v>
      </c>
      <c r="C14" s="50" t="s">
        <v>119</v>
      </c>
      <c r="D14" s="50" t="s">
        <v>142</v>
      </c>
      <c r="E14" s="50" t="s">
        <v>121</v>
      </c>
      <c r="F14" s="51">
        <v>9</v>
      </c>
      <c r="G14" s="52">
        <v>1650</v>
      </c>
      <c r="H14" s="44"/>
    </row>
    <row r="15" spans="1:16" x14ac:dyDescent="0.25">
      <c r="A15" s="49">
        <v>123660</v>
      </c>
      <c r="B15" s="50" t="s">
        <v>143</v>
      </c>
      <c r="C15" s="50" t="s">
        <v>119</v>
      </c>
      <c r="D15" s="50" t="s">
        <v>123</v>
      </c>
      <c r="E15" s="50" t="s">
        <v>124</v>
      </c>
      <c r="F15" s="51">
        <v>12</v>
      </c>
      <c r="G15" s="52">
        <v>1418</v>
      </c>
      <c r="H15" s="44"/>
    </row>
    <row r="16" spans="1:16" x14ac:dyDescent="0.25">
      <c r="A16" s="49">
        <v>123666</v>
      </c>
      <c r="B16" s="50" t="s">
        <v>144</v>
      </c>
      <c r="C16" s="50" t="s">
        <v>133</v>
      </c>
      <c r="D16" s="50" t="s">
        <v>120</v>
      </c>
      <c r="E16" s="50" t="s">
        <v>29</v>
      </c>
      <c r="F16" s="51">
        <v>18</v>
      </c>
      <c r="G16" s="52">
        <v>1500</v>
      </c>
      <c r="H16" s="44"/>
      <c r="K16" s="64" t="s">
        <v>213</v>
      </c>
      <c r="L16" s="56"/>
      <c r="M16" s="56"/>
      <c r="O16" s="63" t="s">
        <v>214</v>
      </c>
    </row>
    <row r="17" spans="1:16" x14ac:dyDescent="0.25">
      <c r="A17" s="49">
        <v>123672</v>
      </c>
      <c r="B17" s="50" t="s">
        <v>145</v>
      </c>
      <c r="C17" s="50" t="s">
        <v>128</v>
      </c>
      <c r="D17" s="50" t="s">
        <v>120</v>
      </c>
      <c r="E17" s="50" t="s">
        <v>121</v>
      </c>
      <c r="F17" s="51">
        <v>21</v>
      </c>
      <c r="G17" s="52">
        <v>2520</v>
      </c>
      <c r="H17" s="44"/>
      <c r="L17" s="63"/>
      <c r="M17" s="56"/>
      <c r="P17" s="63"/>
    </row>
    <row r="18" spans="1:16" x14ac:dyDescent="0.25">
      <c r="A18" s="49">
        <v>123678</v>
      </c>
      <c r="B18" s="50" t="s">
        <v>146</v>
      </c>
      <c r="C18" s="50" t="s">
        <v>128</v>
      </c>
      <c r="D18" s="50" t="s">
        <v>123</v>
      </c>
      <c r="E18" s="50" t="s">
        <v>126</v>
      </c>
      <c r="F18" s="51">
        <v>20</v>
      </c>
      <c r="G18" s="52">
        <v>1685</v>
      </c>
      <c r="H18" s="44"/>
      <c r="K18" s="57" t="s">
        <v>115</v>
      </c>
      <c r="L18" s="57" t="s">
        <v>96</v>
      </c>
      <c r="M18" s="56"/>
      <c r="O18" s="57" t="s">
        <v>115</v>
      </c>
      <c r="P18" s="57" t="s">
        <v>96</v>
      </c>
    </row>
    <row r="19" spans="1:16" ht="15.75" x14ac:dyDescent="0.25">
      <c r="A19" s="49">
        <v>123678</v>
      </c>
      <c r="B19" s="50" t="s">
        <v>157</v>
      </c>
      <c r="C19" s="50" t="s">
        <v>130</v>
      </c>
      <c r="D19" s="50" t="s">
        <v>142</v>
      </c>
      <c r="E19" s="50" t="s">
        <v>126</v>
      </c>
      <c r="F19" s="51">
        <v>12</v>
      </c>
      <c r="G19" s="52">
        <v>1500</v>
      </c>
      <c r="H19" s="44"/>
      <c r="K19" s="59" t="s">
        <v>121</v>
      </c>
      <c r="L19" s="60">
        <f>COUNTIF($E$3:$E$23,K19)</f>
        <v>5</v>
      </c>
      <c r="M19" s="61"/>
      <c r="O19" s="59" t="s">
        <v>121</v>
      </c>
      <c r="P19" s="65">
        <f>SUMIF($E$3:$E$23,O19,$G$3:$G$23)</f>
        <v>9978</v>
      </c>
    </row>
    <row r="20" spans="1:16" ht="15.75" x14ac:dyDescent="0.25">
      <c r="A20" s="49">
        <v>123684</v>
      </c>
      <c r="B20" s="50" t="s">
        <v>147</v>
      </c>
      <c r="C20" s="50" t="s">
        <v>119</v>
      </c>
      <c r="D20" s="50" t="s">
        <v>148</v>
      </c>
      <c r="E20" s="50" t="s">
        <v>29</v>
      </c>
      <c r="F20" s="51">
        <v>12</v>
      </c>
      <c r="G20" s="52">
        <v>1800</v>
      </c>
      <c r="H20" s="44"/>
      <c r="K20" s="59" t="s">
        <v>124</v>
      </c>
      <c r="L20" s="60">
        <f t="shared" ref="L20:L22" si="2">COUNTIF($E$3:$E$23,K20)</f>
        <v>4</v>
      </c>
      <c r="M20" s="61"/>
      <c r="O20" s="59" t="s">
        <v>124</v>
      </c>
      <c r="P20" s="65">
        <f t="shared" ref="P20:P22" si="3">SUMIF($E$3:$E$23,O20,$G$3:$G$23)</f>
        <v>6618</v>
      </c>
    </row>
    <row r="21" spans="1:16" ht="15.75" x14ac:dyDescent="0.25">
      <c r="A21" s="49">
        <v>123690</v>
      </c>
      <c r="B21" s="50" t="s">
        <v>149</v>
      </c>
      <c r="C21" s="50" t="s">
        <v>119</v>
      </c>
      <c r="D21" s="50" t="s">
        <v>123</v>
      </c>
      <c r="E21" s="50" t="s">
        <v>126</v>
      </c>
      <c r="F21" s="51">
        <v>10</v>
      </c>
      <c r="G21" s="52">
        <v>1770</v>
      </c>
      <c r="H21" s="44"/>
      <c r="K21" s="59" t="s">
        <v>131</v>
      </c>
      <c r="L21" s="60">
        <f t="shared" si="2"/>
        <v>3</v>
      </c>
      <c r="M21" s="61"/>
      <c r="O21" s="59" t="s">
        <v>131</v>
      </c>
      <c r="P21" s="65">
        <f t="shared" si="3"/>
        <v>3400</v>
      </c>
    </row>
    <row r="22" spans="1:16" ht="15.75" x14ac:dyDescent="0.25">
      <c r="A22" s="49">
        <v>123696</v>
      </c>
      <c r="B22" s="50" t="s">
        <v>150</v>
      </c>
      <c r="C22" s="50" t="s">
        <v>133</v>
      </c>
      <c r="D22" s="50" t="s">
        <v>151</v>
      </c>
      <c r="E22" s="50" t="s">
        <v>29</v>
      </c>
      <c r="F22" s="51">
        <v>9</v>
      </c>
      <c r="G22" s="36">
        <v>1350</v>
      </c>
      <c r="H22" s="53"/>
      <c r="K22" s="59" t="s">
        <v>126</v>
      </c>
      <c r="L22" s="60">
        <f t="shared" si="2"/>
        <v>5</v>
      </c>
      <c r="M22" s="61"/>
      <c r="O22" s="59" t="s">
        <v>126</v>
      </c>
      <c r="P22" s="65">
        <f t="shared" si="3"/>
        <v>7705</v>
      </c>
    </row>
    <row r="23" spans="1:16" ht="15.75" x14ac:dyDescent="0.25">
      <c r="A23" s="49">
        <v>123702</v>
      </c>
      <c r="B23" s="50" t="s">
        <v>152</v>
      </c>
      <c r="C23" s="50" t="s">
        <v>128</v>
      </c>
      <c r="D23" s="50" t="s">
        <v>120</v>
      </c>
      <c r="E23" s="50" t="s">
        <v>121</v>
      </c>
      <c r="F23" s="51">
        <v>8</v>
      </c>
      <c r="G23" s="36">
        <v>2200</v>
      </c>
      <c r="H23" s="53"/>
      <c r="K23" s="62" t="s">
        <v>154</v>
      </c>
      <c r="L23" s="60">
        <f>SUM(L19:L22)</f>
        <v>17</v>
      </c>
      <c r="M23" s="56"/>
      <c r="O23" s="58" t="s">
        <v>154</v>
      </c>
      <c r="P23" s="65">
        <f>SUM(P19:P22)</f>
        <v>27701</v>
      </c>
    </row>
    <row r="25" spans="1:16" x14ac:dyDescent="0.25">
      <c r="K25" s="77" t="s">
        <v>217</v>
      </c>
    </row>
    <row r="26" spans="1:16" x14ac:dyDescent="0.25">
      <c r="K26" s="74" t="s">
        <v>209</v>
      </c>
      <c r="O26" s="75">
        <f>COUNTIFS(C3:C23,"=Lisboa",G3:G23,"&gt;1500")</f>
        <v>6</v>
      </c>
    </row>
    <row r="27" spans="1:16" x14ac:dyDescent="0.25">
      <c r="K27" s="74" t="s">
        <v>210</v>
      </c>
      <c r="O27" s="76">
        <f>SUMIFS($G$3:$G$23,$D$3:$D$23,"=Analista",C3:C23,"=Porto")</f>
        <v>3700</v>
      </c>
    </row>
    <row r="28" spans="1:16" x14ac:dyDescent="0.25">
      <c r="K28" s="74" t="s">
        <v>211</v>
      </c>
      <c r="O28" s="76">
        <f>SUMIFS($G$3:$G$23,$E$3:$E$23,"=Administração",$F$3:$F$23,"&gt;5")</f>
        <v>7620</v>
      </c>
    </row>
    <row r="29" spans="1:16" x14ac:dyDescent="0.25">
      <c r="K29" s="74" t="s">
        <v>212</v>
      </c>
      <c r="O29" s="51">
        <f>COUNTIFS($E$3:$E$23,"Contabilidade",$F$3:$F$23,"&gt;3")</f>
        <v>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5385-8B78-45F8-95EF-10A06253DC3E}">
  <dimension ref="B1:N17"/>
  <sheetViews>
    <sheetView workbookViewId="0">
      <selection activeCell="C5" sqref="C5"/>
    </sheetView>
  </sheetViews>
  <sheetFormatPr defaultRowHeight="15" x14ac:dyDescent="0.25"/>
  <cols>
    <col min="1" max="1" width="2.85546875" customWidth="1"/>
    <col min="2" max="2" width="19.140625" customWidth="1"/>
    <col min="3" max="3" width="12.140625" customWidth="1"/>
    <col min="6" max="6" width="17.42578125" customWidth="1"/>
    <col min="7" max="8" width="2.42578125" customWidth="1"/>
    <col min="9" max="9" width="15" customWidth="1"/>
    <col min="10" max="10" width="26" customWidth="1"/>
    <col min="11" max="11" width="17.140625" customWidth="1"/>
    <col min="12" max="12" width="19.140625" bestFit="1" customWidth="1"/>
    <col min="13" max="13" width="12.28515625" style="26" customWidth="1"/>
    <col min="14" max="14" width="12.28515625" customWidth="1"/>
  </cols>
  <sheetData>
    <row r="1" spans="2:14" x14ac:dyDescent="0.25">
      <c r="B1" s="95" t="s">
        <v>298</v>
      </c>
      <c r="C1" s="56"/>
      <c r="D1" s="56"/>
      <c r="E1" s="56"/>
      <c r="F1" s="56"/>
      <c r="G1" s="56"/>
      <c r="H1" s="56"/>
      <c r="I1" s="96" t="s">
        <v>257</v>
      </c>
      <c r="J1" s="96" t="s">
        <v>258</v>
      </c>
      <c r="K1" s="96" t="s">
        <v>259</v>
      </c>
      <c r="L1" s="96" t="s">
        <v>260</v>
      </c>
      <c r="M1" s="97" t="s">
        <v>261</v>
      </c>
      <c r="N1" s="96" t="s">
        <v>262</v>
      </c>
    </row>
    <row r="2" spans="2:14" x14ac:dyDescent="0.25">
      <c r="B2" s="56"/>
      <c r="C2" s="56"/>
      <c r="D2" s="56"/>
      <c r="E2" s="56"/>
      <c r="F2" s="56"/>
      <c r="G2" s="56"/>
      <c r="H2" s="56"/>
      <c r="I2" s="98" t="s">
        <v>263</v>
      </c>
      <c r="J2" s="17" t="s">
        <v>264</v>
      </c>
      <c r="K2" s="17" t="s">
        <v>265</v>
      </c>
      <c r="L2" s="17" t="s">
        <v>266</v>
      </c>
      <c r="M2" s="99" t="s">
        <v>267</v>
      </c>
      <c r="N2" s="100">
        <v>45691</v>
      </c>
    </row>
    <row r="3" spans="2:14" x14ac:dyDescent="0.25">
      <c r="B3" s="101"/>
      <c r="C3" s="101"/>
      <c r="D3" s="101"/>
      <c r="E3" s="101"/>
      <c r="F3" s="101"/>
      <c r="G3" s="56"/>
      <c r="H3" s="56"/>
      <c r="I3" s="98" t="s">
        <v>268</v>
      </c>
      <c r="J3" s="17" t="s">
        <v>269</v>
      </c>
      <c r="K3" s="17" t="s">
        <v>13</v>
      </c>
      <c r="L3" s="17" t="s">
        <v>270</v>
      </c>
      <c r="M3" s="99" t="s">
        <v>271</v>
      </c>
      <c r="N3" s="100">
        <v>45904</v>
      </c>
    </row>
    <row r="4" spans="2:14" ht="15.75" thickBot="1" x14ac:dyDescent="0.3">
      <c r="B4" s="101"/>
      <c r="C4" s="101"/>
      <c r="D4" s="101"/>
      <c r="E4" s="101"/>
      <c r="F4" s="101"/>
      <c r="G4" s="56"/>
      <c r="H4" s="56"/>
      <c r="I4" s="98" t="s">
        <v>272</v>
      </c>
      <c r="J4" s="17" t="s">
        <v>273</v>
      </c>
      <c r="K4" s="17" t="s">
        <v>274</v>
      </c>
      <c r="L4" s="17" t="s">
        <v>266</v>
      </c>
      <c r="M4" s="99" t="s">
        <v>275</v>
      </c>
      <c r="N4" s="100">
        <v>45782</v>
      </c>
    </row>
    <row r="5" spans="2:14" ht="15.75" thickBot="1" x14ac:dyDescent="0.3">
      <c r="B5" s="95" t="s">
        <v>257</v>
      </c>
      <c r="C5" s="117" t="s">
        <v>285</v>
      </c>
      <c r="D5" s="101"/>
      <c r="E5" s="101"/>
      <c r="F5" s="101"/>
      <c r="G5" s="56"/>
      <c r="H5" s="56"/>
      <c r="I5" s="98" t="s">
        <v>276</v>
      </c>
      <c r="J5" s="17" t="s">
        <v>277</v>
      </c>
      <c r="K5" s="17" t="s">
        <v>278</v>
      </c>
      <c r="L5" s="17" t="s">
        <v>270</v>
      </c>
      <c r="M5" s="99" t="s">
        <v>279</v>
      </c>
      <c r="N5" s="100">
        <v>45878</v>
      </c>
    </row>
    <row r="6" spans="2:14" ht="15.75" thickBot="1" x14ac:dyDescent="0.3">
      <c r="B6" s="101"/>
      <c r="C6" s="101"/>
      <c r="D6" s="101"/>
      <c r="E6" s="101"/>
      <c r="F6" s="101"/>
      <c r="G6" s="56"/>
      <c r="H6" s="56"/>
      <c r="I6" s="98" t="s">
        <v>280</v>
      </c>
      <c r="J6" s="17" t="s">
        <v>281</v>
      </c>
      <c r="K6" s="17" t="s">
        <v>282</v>
      </c>
      <c r="L6" s="17" t="s">
        <v>283</v>
      </c>
      <c r="M6" s="99" t="s">
        <v>284</v>
      </c>
      <c r="N6" s="100">
        <v>45911</v>
      </c>
    </row>
    <row r="7" spans="2:14" x14ac:dyDescent="0.25">
      <c r="B7" s="103"/>
      <c r="C7" s="104"/>
      <c r="D7" s="104"/>
      <c r="E7" s="104"/>
      <c r="F7" s="105"/>
      <c r="G7" s="56"/>
      <c r="H7" s="56"/>
      <c r="I7" s="98" t="s">
        <v>285</v>
      </c>
      <c r="J7" s="17" t="s">
        <v>286</v>
      </c>
      <c r="K7" s="17" t="s">
        <v>287</v>
      </c>
      <c r="L7" s="17" t="s">
        <v>288</v>
      </c>
      <c r="M7" s="99" t="s">
        <v>289</v>
      </c>
      <c r="N7" s="100">
        <v>45789</v>
      </c>
    </row>
    <row r="8" spans="2:14" x14ac:dyDescent="0.25">
      <c r="B8" s="106" t="s">
        <v>258</v>
      </c>
      <c r="C8" s="213" t="str">
        <f>VLOOKUP(C5,I2:N9,2,0)</f>
        <v>Herdade dos Mouros</v>
      </c>
      <c r="D8" s="213"/>
      <c r="E8" s="213"/>
      <c r="F8" s="214"/>
      <c r="G8" s="56"/>
      <c r="H8" s="56"/>
      <c r="I8" s="98" t="s">
        <v>280</v>
      </c>
      <c r="J8" s="17" t="s">
        <v>290</v>
      </c>
      <c r="K8" s="17" t="s">
        <v>291</v>
      </c>
      <c r="L8" s="17" t="s">
        <v>292</v>
      </c>
      <c r="M8" s="99" t="s">
        <v>293</v>
      </c>
      <c r="N8" s="100">
        <v>45790</v>
      </c>
    </row>
    <row r="9" spans="2:14" x14ac:dyDescent="0.25">
      <c r="B9" s="106" t="s">
        <v>259</v>
      </c>
      <c r="C9" s="215" t="str">
        <f>VLOOKUP(C5,I2:N9,3,0)</f>
        <v>Rita</v>
      </c>
      <c r="D9" s="215"/>
      <c r="E9" s="215"/>
      <c r="F9" s="216"/>
      <c r="G9" s="56"/>
      <c r="H9" s="56"/>
      <c r="I9" s="98" t="s">
        <v>294</v>
      </c>
      <c r="J9" s="17" t="s">
        <v>295</v>
      </c>
      <c r="K9" s="17" t="s">
        <v>278</v>
      </c>
      <c r="L9" s="17" t="s">
        <v>296</v>
      </c>
      <c r="M9" s="99" t="s">
        <v>297</v>
      </c>
      <c r="N9" s="100">
        <v>45791</v>
      </c>
    </row>
    <row r="10" spans="2:14" x14ac:dyDescent="0.25">
      <c r="B10" s="106" t="s">
        <v>261</v>
      </c>
      <c r="C10" s="107" t="str">
        <f>VLOOKUP(C5,I2:N9,5,0)</f>
        <v>320 Ha</v>
      </c>
      <c r="D10" s="108" t="s">
        <v>260</v>
      </c>
      <c r="E10" s="217" t="str">
        <f>VLOOKUP(C5,I2:N9,4,0)</f>
        <v>Évora</v>
      </c>
      <c r="F10" s="218"/>
      <c r="G10" s="56"/>
      <c r="H10" s="56"/>
      <c r="I10" s="56"/>
      <c r="J10" s="56"/>
      <c r="K10" s="56"/>
      <c r="L10" s="56"/>
      <c r="M10" s="102"/>
    </row>
    <row r="11" spans="2:14" x14ac:dyDescent="0.25">
      <c r="B11" s="109"/>
      <c r="C11" s="110"/>
      <c r="D11" s="110"/>
      <c r="E11" s="110"/>
      <c r="F11" s="111"/>
      <c r="G11" s="56"/>
      <c r="H11" s="56"/>
      <c r="I11" s="56"/>
      <c r="J11" s="56"/>
      <c r="K11" s="56"/>
      <c r="L11" s="56"/>
      <c r="M11" s="102"/>
    </row>
    <row r="12" spans="2:14" x14ac:dyDescent="0.25">
      <c r="B12" s="112" t="s">
        <v>262</v>
      </c>
      <c r="C12" s="219">
        <f>VLOOKUP(C5,I2:N9,6,0)</f>
        <v>45789</v>
      </c>
      <c r="D12" s="219"/>
      <c r="E12" s="110"/>
      <c r="F12" s="111"/>
      <c r="G12" s="56"/>
      <c r="H12" s="56"/>
      <c r="I12" s="56"/>
      <c r="J12" s="54" t="s">
        <v>365</v>
      </c>
      <c r="K12" s="56"/>
      <c r="L12" s="56"/>
      <c r="M12" s="102"/>
    </row>
    <row r="13" spans="2:14" ht="15.75" thickBot="1" x14ac:dyDescent="0.3">
      <c r="B13" s="113"/>
      <c r="C13" s="114"/>
      <c r="D13" s="114"/>
      <c r="E13" s="115"/>
      <c r="F13" s="116"/>
      <c r="G13" s="56"/>
      <c r="H13" s="56"/>
      <c r="I13" s="56"/>
      <c r="J13" s="56"/>
      <c r="K13" s="56"/>
      <c r="L13" s="56"/>
      <c r="M13" s="102"/>
    </row>
    <row r="14" spans="2:14" x14ac:dyDescent="0.25">
      <c r="B14" s="101"/>
      <c r="C14" s="101"/>
      <c r="D14" s="101"/>
      <c r="E14" s="101"/>
      <c r="F14" s="101"/>
      <c r="G14" s="56"/>
      <c r="H14" s="56"/>
      <c r="I14" s="56"/>
      <c r="J14" s="56"/>
      <c r="K14" s="56"/>
      <c r="L14" s="56"/>
      <c r="M14" s="102"/>
    </row>
    <row r="15" spans="2:14" x14ac:dyDescent="0.25">
      <c r="B15" s="66" t="s">
        <v>155</v>
      </c>
      <c r="C15" s="101"/>
      <c r="D15" s="101"/>
      <c r="E15" s="101"/>
      <c r="F15" s="101"/>
      <c r="G15" s="56"/>
      <c r="H15" s="56"/>
      <c r="I15" s="56"/>
      <c r="J15" s="56"/>
      <c r="K15" s="56"/>
      <c r="L15" s="56"/>
      <c r="M15" s="102"/>
    </row>
    <row r="16" spans="2:14" x14ac:dyDescent="0.25">
      <c r="B16" s="1" t="s">
        <v>299</v>
      </c>
    </row>
    <row r="17" spans="2:2" x14ac:dyDescent="0.25">
      <c r="B17" s="1" t="s">
        <v>300</v>
      </c>
    </row>
  </sheetData>
  <mergeCells count="4">
    <mergeCell ref="C8:F8"/>
    <mergeCell ref="C9:F9"/>
    <mergeCell ref="E10:F10"/>
    <mergeCell ref="C12:D12"/>
  </mergeCells>
  <phoneticPr fontId="31" type="noConversion"/>
  <dataValidations count="1">
    <dataValidation type="list" allowBlank="1" showInputMessage="1" showErrorMessage="1" sqref="C5" xr:uid="{C291655E-5864-4C13-B94C-8A147DDD1EE7}">
      <formula1>$I$2:$I$9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E8CF-4118-43BA-BABC-7DED6DDB61C4}">
  <dimension ref="A1:H8"/>
  <sheetViews>
    <sheetView zoomScale="120" zoomScaleNormal="120" workbookViewId="0">
      <selection activeCell="K23" sqref="K23"/>
    </sheetView>
  </sheetViews>
  <sheetFormatPr defaultRowHeight="15" x14ac:dyDescent="0.25"/>
  <cols>
    <col min="1" max="1" width="11.85546875" customWidth="1"/>
    <col min="2" max="3" width="13.140625" customWidth="1"/>
    <col min="4" max="4" width="14.85546875" bestFit="1" customWidth="1"/>
    <col min="8" max="8" width="33" customWidth="1"/>
  </cols>
  <sheetData>
    <row r="1" spans="1:8" ht="30" x14ac:dyDescent="0.25">
      <c r="A1" s="161" t="s">
        <v>96</v>
      </c>
      <c r="B1" s="161" t="s">
        <v>309</v>
      </c>
      <c r="C1" s="161" t="s">
        <v>310</v>
      </c>
      <c r="D1" s="161" t="s">
        <v>311</v>
      </c>
    </row>
    <row r="2" spans="1:8" ht="15.75" x14ac:dyDescent="0.25">
      <c r="A2" s="162" t="s">
        <v>312</v>
      </c>
      <c r="B2" s="163">
        <v>81</v>
      </c>
      <c r="C2" s="163">
        <v>33</v>
      </c>
      <c r="D2" s="163">
        <f>B2-C2</f>
        <v>48</v>
      </c>
      <c r="H2" s="67" t="s">
        <v>155</v>
      </c>
    </row>
    <row r="3" spans="1:8" x14ac:dyDescent="0.25">
      <c r="A3" s="162" t="s">
        <v>313</v>
      </c>
      <c r="B3" s="163">
        <v>94</v>
      </c>
      <c r="C3" s="163">
        <v>33</v>
      </c>
      <c r="D3" s="163">
        <f>B3-C3</f>
        <v>61</v>
      </c>
      <c r="H3" t="s">
        <v>319</v>
      </c>
    </row>
    <row r="4" spans="1:8" x14ac:dyDescent="0.25">
      <c r="A4" s="162" t="s">
        <v>314</v>
      </c>
      <c r="B4" s="163">
        <v>177</v>
      </c>
      <c r="C4" s="163">
        <v>46</v>
      </c>
      <c r="D4" s="163">
        <f>B4-C4</f>
        <v>131</v>
      </c>
      <c r="H4" t="s">
        <v>309</v>
      </c>
    </row>
    <row r="5" spans="1:8" x14ac:dyDescent="0.25">
      <c r="A5" s="162" t="s">
        <v>315</v>
      </c>
      <c r="B5" s="163">
        <v>283</v>
      </c>
      <c r="C5" s="163">
        <v>88</v>
      </c>
      <c r="D5" s="163">
        <f>B5-C5</f>
        <v>195</v>
      </c>
      <c r="H5" t="s">
        <v>316</v>
      </c>
    </row>
    <row r="6" spans="1:8" x14ac:dyDescent="0.25">
      <c r="A6" s="162" t="s">
        <v>317</v>
      </c>
      <c r="B6" s="163">
        <v>17</v>
      </c>
      <c r="C6" s="163">
        <v>9</v>
      </c>
      <c r="D6" s="163">
        <f>B6-C6</f>
        <v>8</v>
      </c>
      <c r="H6" t="s">
        <v>311</v>
      </c>
    </row>
    <row r="8" spans="1:8" x14ac:dyDescent="0.25">
      <c r="H8" t="s">
        <v>318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4EFB0-6A92-4EEA-AFA8-97810CBAB431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2.xml><?xml version="1.0" encoding="utf-8"?>
<ds:datastoreItem xmlns:ds="http://schemas.openxmlformats.org/officeDocument/2006/customXml" ds:itemID="{9D1F0CFC-7B34-4951-8056-A20A24989D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BD1E-5395-4A40-A812-30958A5EF7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Ex1</vt:lpstr>
      <vt:lpstr>Ex2</vt:lpstr>
      <vt:lpstr>Ex3</vt:lpstr>
      <vt:lpstr>Ex4</vt:lpstr>
      <vt:lpstr>Ex5</vt:lpstr>
      <vt:lpstr>Ex6</vt:lpstr>
      <vt:lpstr>Ex7</vt:lpstr>
      <vt:lpstr>Ex8</vt:lpstr>
      <vt:lpstr>Ex9</vt:lpstr>
      <vt:lpstr>Ex10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Narendra</dc:creator>
  <cp:lastModifiedBy>MANOEL BARATA</cp:lastModifiedBy>
  <dcterms:created xsi:type="dcterms:W3CDTF">2025-04-07T17:09:59Z</dcterms:created>
  <dcterms:modified xsi:type="dcterms:W3CDTF">2025-07-12T08:10:26Z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